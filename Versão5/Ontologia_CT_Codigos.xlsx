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UFRJ\"/>
    </mc:Choice>
  </mc:AlternateContent>
  <xr:revisionPtr revIDLastSave="0" documentId="13_ncr:1_{E1032C1C-B236-4799-9846-74E993B4A967}" xr6:coauthVersionLast="47" xr6:coauthVersionMax="47" xr10:uidLastSave="{00000000-0000-0000-0000-000000000000}"/>
  <bookViews>
    <workbookView xWindow="-120" yWindow="-120" windowWidth="24240" windowHeight="13290" xr2:uid="{00000000-000D-0000-FFFF-FFFF00000000}"/>
  </bookViews>
  <sheets>
    <sheet name="Projeto" sheetId="34" r:id="rId1"/>
    <sheet name="Classes" sheetId="35" r:id="rId2"/>
    <sheet name="Interop" sheetId="36" r:id="rId3"/>
    <sheet name="Disjunt" sheetId="37" r:id="rId4"/>
    <sheet name="FatosIn" sheetId="40" r:id="rId5"/>
    <sheet name="Siglas" sheetId="32" r:id="rId6"/>
    <sheet name="Mapa_Locação" sheetId="24" r:id="rId7"/>
    <sheet name="Códigos" sheetId="2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 i="34" l="1"/>
  <c r="X3" i="35" l="1"/>
  <c r="X4" i="35"/>
  <c r="X5" i="35"/>
  <c r="X6" i="35"/>
  <c r="X7" i="35"/>
  <c r="X8" i="35"/>
  <c r="X9" i="35"/>
  <c r="X10" i="35"/>
  <c r="X11" i="35"/>
  <c r="X12" i="35"/>
  <c r="X13" i="35"/>
  <c r="X14" i="35"/>
  <c r="X15" i="35"/>
  <c r="X16" i="35"/>
  <c r="X17" i="35"/>
  <c r="X18" i="35"/>
  <c r="X19" i="35"/>
  <c r="X20" i="35"/>
  <c r="X21" i="35"/>
  <c r="X22" i="35"/>
  <c r="X23" i="35"/>
  <c r="X24" i="35"/>
  <c r="X25" i="35"/>
  <c r="X26" i="35"/>
  <c r="X27" i="35"/>
  <c r="X28" i="35"/>
  <c r="X29" i="35"/>
  <c r="X30" i="35"/>
  <c r="X31" i="35"/>
  <c r="X32" i="35"/>
  <c r="X33" i="35"/>
  <c r="X34" i="35"/>
  <c r="X35" i="35"/>
  <c r="X36" i="35"/>
  <c r="X37" i="35"/>
  <c r="X38" i="35"/>
  <c r="X39" i="35"/>
  <c r="X40" i="35"/>
  <c r="X41" i="35"/>
  <c r="X42" i="35"/>
  <c r="X43" i="35"/>
  <c r="X44" i="35"/>
  <c r="X45" i="35"/>
  <c r="X46" i="35"/>
  <c r="X47" i="35"/>
  <c r="X48" i="35"/>
  <c r="X49" i="35"/>
  <c r="X50" i="35"/>
  <c r="X51" i="35"/>
  <c r="X52" i="35"/>
  <c r="X53" i="35"/>
  <c r="X54" i="35"/>
  <c r="X55" i="35"/>
  <c r="X56" i="35"/>
  <c r="X57" i="35"/>
  <c r="X58" i="35"/>
  <c r="X59" i="35"/>
  <c r="X60" i="35"/>
  <c r="X61" i="35"/>
  <c r="X62" i="35"/>
  <c r="X63" i="35"/>
  <c r="X64" i="35"/>
  <c r="X65" i="35"/>
  <c r="X66" i="35"/>
  <c r="X67" i="35"/>
  <c r="X68" i="35"/>
  <c r="X69" i="35"/>
  <c r="X70" i="35"/>
  <c r="X71" i="35"/>
  <c r="X72" i="35"/>
  <c r="X73" i="35"/>
  <c r="X74" i="35"/>
  <c r="X75" i="35"/>
  <c r="X76" i="35"/>
  <c r="X77" i="35"/>
  <c r="X78" i="35"/>
  <c r="X79" i="35"/>
  <c r="X80" i="35"/>
  <c r="X81" i="35"/>
  <c r="X82" i="35"/>
  <c r="X83" i="35"/>
  <c r="X84" i="35"/>
  <c r="X85" i="35"/>
  <c r="X86" i="35"/>
  <c r="X87" i="35"/>
  <c r="X88" i="35"/>
  <c r="X89" i="35"/>
  <c r="X90" i="35"/>
  <c r="X91" i="35"/>
  <c r="X92" i="35"/>
  <c r="X93" i="35"/>
  <c r="X94" i="35"/>
  <c r="X95" i="35"/>
  <c r="X96" i="35"/>
  <c r="X97" i="35"/>
  <c r="X98" i="35"/>
  <c r="X99" i="35"/>
  <c r="X100" i="35"/>
  <c r="X101" i="35"/>
  <c r="X102" i="35"/>
  <c r="X103" i="35"/>
  <c r="X104" i="35"/>
  <c r="X105" i="35"/>
  <c r="X106" i="35"/>
  <c r="X107" i="35"/>
  <c r="X108" i="35"/>
  <c r="X109" i="35"/>
  <c r="X110" i="35"/>
  <c r="X111" i="35"/>
  <c r="X112" i="35"/>
  <c r="X113" i="35"/>
  <c r="X114" i="35"/>
  <c r="X115" i="35"/>
  <c r="X116" i="35"/>
  <c r="X117" i="35"/>
  <c r="X118" i="35"/>
  <c r="X119" i="35"/>
  <c r="X120" i="35"/>
  <c r="X121" i="35"/>
  <c r="X122" i="35"/>
  <c r="X123" i="35"/>
  <c r="X124" i="35"/>
  <c r="X125" i="35"/>
  <c r="X126" i="35"/>
  <c r="X127" i="35"/>
  <c r="X128" i="35"/>
  <c r="X129" i="35"/>
  <c r="X130" i="35"/>
  <c r="X131" i="35"/>
  <c r="X132" i="35"/>
  <c r="X133" i="35"/>
  <c r="X134" i="35"/>
  <c r="X135" i="35"/>
  <c r="X136" i="35"/>
  <c r="X137" i="35"/>
  <c r="X138" i="35"/>
  <c r="X139" i="35"/>
  <c r="X140" i="35"/>
  <c r="X141" i="35"/>
  <c r="X142" i="35"/>
  <c r="X143" i="35"/>
  <c r="X144" i="35"/>
  <c r="X145" i="35"/>
  <c r="X146" i="35"/>
  <c r="X147" i="35"/>
  <c r="X148" i="35"/>
  <c r="X149" i="35"/>
  <c r="X150" i="35"/>
  <c r="X151" i="35"/>
  <c r="X152" i="35"/>
  <c r="X153" i="35"/>
  <c r="X154" i="35"/>
  <c r="X155" i="35"/>
  <c r="X156" i="35"/>
  <c r="X157" i="35"/>
  <c r="X158" i="35"/>
  <c r="X159" i="35"/>
  <c r="X160" i="35"/>
  <c r="X161" i="35"/>
  <c r="X162" i="35"/>
  <c r="X163" i="35"/>
  <c r="X164" i="35"/>
  <c r="X165" i="35"/>
  <c r="X166" i="35"/>
  <c r="X167" i="35"/>
  <c r="X168" i="35"/>
  <c r="X169" i="35"/>
  <c r="X170" i="35"/>
  <c r="X171" i="35"/>
  <c r="X172" i="35"/>
  <c r="X173" i="35"/>
  <c r="X174" i="35"/>
  <c r="X175" i="35"/>
  <c r="X176" i="35"/>
  <c r="X177" i="35"/>
  <c r="X178" i="35"/>
  <c r="X179" i="35"/>
  <c r="X180" i="35"/>
  <c r="X181" i="35"/>
  <c r="X182" i="35"/>
  <c r="X183" i="35"/>
  <c r="X184" i="35"/>
  <c r="X185" i="35"/>
  <c r="X186" i="35"/>
  <c r="X187" i="35"/>
  <c r="X188" i="35"/>
  <c r="X189" i="35"/>
  <c r="X190" i="35"/>
  <c r="X191" i="35"/>
  <c r="X192" i="35"/>
  <c r="X193" i="35"/>
  <c r="X194" i="35"/>
  <c r="X195" i="35"/>
  <c r="X196" i="35"/>
  <c r="X197" i="35"/>
  <c r="X198" i="35"/>
  <c r="X199" i="35"/>
  <c r="X200" i="35"/>
  <c r="X201" i="35"/>
  <c r="X202" i="35"/>
  <c r="X203" i="35"/>
  <c r="X204" i="35"/>
  <c r="X205" i="35"/>
  <c r="X206" i="35"/>
  <c r="X207" i="35"/>
  <c r="X208" i="35"/>
  <c r="X209" i="35"/>
  <c r="X210" i="35"/>
  <c r="X211" i="35"/>
  <c r="X212" i="35"/>
  <c r="X213" i="35"/>
  <c r="X214" i="35"/>
  <c r="X215" i="35"/>
  <c r="X216" i="35"/>
  <c r="X217" i="35"/>
  <c r="X218" i="35"/>
  <c r="X219" i="35"/>
  <c r="X220" i="35"/>
  <c r="X221" i="35"/>
  <c r="X222" i="35"/>
  <c r="X223" i="35"/>
  <c r="X224" i="35"/>
  <c r="X225" i="35"/>
  <c r="X226" i="35"/>
  <c r="X227" i="35"/>
  <c r="X228" i="35"/>
  <c r="X229" i="35"/>
  <c r="X230" i="35"/>
  <c r="X231" i="35"/>
  <c r="X232" i="35"/>
  <c r="X233" i="35"/>
  <c r="X234" i="35"/>
  <c r="X235" i="35"/>
  <c r="X236" i="35"/>
  <c r="X237" i="35"/>
  <c r="X238" i="35"/>
  <c r="X239" i="35"/>
  <c r="X240" i="35"/>
  <c r="X241" i="35"/>
  <c r="X242" i="35"/>
  <c r="X243" i="35"/>
  <c r="X244" i="35"/>
  <c r="X245" i="35"/>
  <c r="X246" i="35"/>
  <c r="X247" i="35"/>
  <c r="X248" i="35"/>
  <c r="X249" i="35"/>
  <c r="X250" i="35"/>
  <c r="X251" i="35"/>
  <c r="X252" i="35"/>
  <c r="X253" i="35"/>
  <c r="X254" i="35"/>
  <c r="X255" i="35"/>
  <c r="X256" i="35"/>
  <c r="X257" i="35"/>
  <c r="X258" i="35"/>
  <c r="X259" i="35"/>
  <c r="X260" i="35"/>
  <c r="X261" i="35"/>
  <c r="X262" i="35"/>
  <c r="X263" i="35"/>
  <c r="X264" i="35"/>
  <c r="X265" i="35"/>
  <c r="X266" i="35"/>
  <c r="X267" i="35"/>
  <c r="X268" i="35"/>
  <c r="X269" i="35"/>
  <c r="X270" i="35"/>
  <c r="X271" i="35"/>
  <c r="X272" i="35"/>
  <c r="X273" i="35"/>
  <c r="X274" i="35"/>
  <c r="X275" i="35"/>
  <c r="X276" i="35"/>
  <c r="X277" i="35"/>
  <c r="X278" i="35"/>
  <c r="X279" i="35"/>
  <c r="X280" i="35"/>
  <c r="X281" i="35"/>
  <c r="X282" i="35"/>
  <c r="X283" i="35"/>
  <c r="X284" i="35"/>
  <c r="X285" i="35"/>
  <c r="X286" i="35"/>
  <c r="X287" i="35"/>
  <c r="X288" i="35"/>
  <c r="X289" i="35"/>
  <c r="X290" i="35"/>
  <c r="X291" i="35"/>
  <c r="X292" i="35"/>
  <c r="X293" i="35"/>
  <c r="X294" i="35"/>
  <c r="X295" i="35"/>
  <c r="X296" i="35"/>
  <c r="X297" i="35"/>
  <c r="X298" i="35"/>
  <c r="X299" i="35"/>
  <c r="X300" i="35"/>
  <c r="X301" i="35"/>
  <c r="X302" i="35"/>
  <c r="X303" i="35"/>
  <c r="X304" i="35"/>
  <c r="X305" i="35"/>
  <c r="X306" i="35"/>
  <c r="X307" i="35"/>
  <c r="X308" i="35"/>
  <c r="X309" i="35"/>
  <c r="X310" i="35"/>
  <c r="X311" i="35"/>
  <c r="X312" i="35"/>
  <c r="X313" i="35"/>
  <c r="X314" i="35"/>
  <c r="X315" i="35"/>
  <c r="X316" i="35"/>
  <c r="X317" i="35"/>
  <c r="X318" i="35"/>
  <c r="X319" i="35"/>
  <c r="X320" i="35"/>
  <c r="X321" i="35"/>
  <c r="X322" i="35"/>
  <c r="X323" i="35"/>
  <c r="X324" i="35"/>
  <c r="X325" i="35"/>
  <c r="X326" i="35"/>
  <c r="X327" i="35"/>
  <c r="X328" i="35"/>
  <c r="X329" i="35"/>
  <c r="X330" i="35"/>
  <c r="X331" i="35"/>
  <c r="X332" i="35"/>
  <c r="X333" i="35"/>
  <c r="X334" i="35"/>
  <c r="X335" i="35"/>
  <c r="X336" i="35"/>
  <c r="X337" i="35"/>
  <c r="X338" i="35"/>
  <c r="X339" i="35"/>
  <c r="X340" i="35"/>
  <c r="X341" i="35"/>
  <c r="X342" i="35"/>
  <c r="X343" i="35"/>
  <c r="X344" i="35"/>
  <c r="X345" i="35"/>
  <c r="X346" i="35"/>
  <c r="X347" i="35"/>
  <c r="X348" i="35"/>
  <c r="X349" i="35"/>
  <c r="X350" i="35"/>
  <c r="X351" i="35"/>
  <c r="X352" i="35"/>
  <c r="X353" i="35"/>
  <c r="X354" i="35"/>
  <c r="X355" i="35"/>
  <c r="X356" i="35"/>
  <c r="X357" i="35"/>
  <c r="X358" i="35"/>
  <c r="X359" i="35"/>
  <c r="X360" i="35"/>
  <c r="X361" i="35"/>
  <c r="X362" i="35"/>
  <c r="X363" i="35"/>
  <c r="X364" i="35"/>
  <c r="X365" i="35"/>
  <c r="X366" i="35"/>
  <c r="X367" i="35"/>
  <c r="X368" i="35"/>
  <c r="X369" i="35"/>
  <c r="X370" i="35"/>
  <c r="X371" i="35"/>
  <c r="X372" i="35"/>
  <c r="X373" i="35"/>
  <c r="X374" i="35"/>
  <c r="X375" i="35"/>
  <c r="X376" i="35"/>
  <c r="X377" i="35"/>
  <c r="X378" i="35"/>
  <c r="X379" i="35"/>
  <c r="X380" i="35"/>
  <c r="X381" i="35"/>
  <c r="X382" i="35"/>
  <c r="X383" i="35"/>
  <c r="X384" i="35"/>
  <c r="X385" i="35"/>
  <c r="X386" i="35"/>
  <c r="X387" i="35"/>
  <c r="X388" i="35"/>
  <c r="X389" i="35"/>
  <c r="X390" i="35"/>
  <c r="X391" i="35"/>
  <c r="X392" i="35"/>
  <c r="X393" i="35"/>
  <c r="X394" i="35"/>
  <c r="X395" i="35"/>
  <c r="X396" i="35"/>
  <c r="X397" i="35"/>
  <c r="X398" i="35"/>
  <c r="X399" i="35"/>
  <c r="X400" i="35"/>
  <c r="X401" i="35"/>
  <c r="X402" i="35"/>
  <c r="X403" i="35"/>
  <c r="X404" i="35"/>
  <c r="X405" i="35"/>
  <c r="X406" i="35"/>
  <c r="X407" i="35"/>
  <c r="X408" i="35"/>
  <c r="X409" i="35"/>
  <c r="X410" i="35"/>
  <c r="X411" i="35"/>
  <c r="X412" i="35"/>
  <c r="X413" i="35"/>
  <c r="X414" i="35"/>
  <c r="X415" i="35"/>
  <c r="X416" i="35"/>
  <c r="X417" i="35"/>
  <c r="X418" i="35"/>
  <c r="X419" i="35"/>
  <c r="X420" i="35"/>
  <c r="X421" i="35"/>
  <c r="X422" i="35"/>
  <c r="X423" i="35"/>
  <c r="X424" i="35"/>
  <c r="X425" i="35"/>
  <c r="X426" i="35"/>
  <c r="X427" i="35"/>
  <c r="X428" i="35"/>
  <c r="X429" i="35"/>
  <c r="X430" i="35"/>
  <c r="X431" i="35"/>
  <c r="X432" i="35"/>
  <c r="X433" i="35"/>
  <c r="X434" i="35"/>
  <c r="X435" i="35"/>
  <c r="X436" i="35"/>
  <c r="X437" i="35"/>
  <c r="X438" i="35"/>
  <c r="X439" i="35"/>
  <c r="X440" i="35"/>
  <c r="X441" i="35"/>
  <c r="X442" i="35"/>
  <c r="X443" i="35"/>
  <c r="X444" i="35"/>
  <c r="X445" i="35"/>
  <c r="X446" i="35"/>
  <c r="X447" i="35"/>
  <c r="X448" i="35"/>
  <c r="X449" i="35"/>
  <c r="X450" i="35"/>
  <c r="X451" i="35"/>
  <c r="X452" i="35"/>
  <c r="X453" i="35"/>
  <c r="X454" i="35"/>
  <c r="X455" i="35"/>
  <c r="X456" i="35"/>
  <c r="X457" i="35"/>
  <c r="X458" i="35"/>
  <c r="X459" i="35"/>
  <c r="X460" i="35"/>
  <c r="X461" i="35"/>
  <c r="X462" i="35"/>
  <c r="X463" i="35"/>
  <c r="X464" i="35"/>
  <c r="X465" i="35"/>
  <c r="X466" i="35"/>
  <c r="X467" i="35"/>
  <c r="X468" i="35"/>
  <c r="X469" i="35"/>
  <c r="X470" i="35"/>
  <c r="X471" i="35"/>
  <c r="X472" i="35"/>
  <c r="X473" i="35"/>
  <c r="X474" i="35"/>
  <c r="X475" i="35"/>
  <c r="X476" i="35"/>
  <c r="X477" i="35"/>
  <c r="X478" i="35"/>
  <c r="X479" i="35"/>
  <c r="X480" i="35"/>
  <c r="X481" i="35"/>
  <c r="X482" i="35"/>
  <c r="X483" i="35"/>
  <c r="X484" i="35"/>
  <c r="X485" i="35"/>
  <c r="X486" i="35"/>
  <c r="X487" i="35"/>
  <c r="X488" i="35"/>
  <c r="X489" i="35"/>
  <c r="X490" i="35"/>
  <c r="X491" i="35"/>
  <c r="X492" i="35"/>
  <c r="X493" i="35"/>
  <c r="X494" i="35"/>
  <c r="X495" i="35"/>
  <c r="X496" i="35"/>
  <c r="X497" i="35"/>
  <c r="X498" i="35"/>
  <c r="X499" i="35"/>
  <c r="X500" i="35"/>
  <c r="X501" i="35"/>
  <c r="X502" i="35"/>
  <c r="X503" i="35"/>
  <c r="X504" i="35"/>
  <c r="X505" i="35"/>
  <c r="X506" i="35"/>
  <c r="X507" i="35"/>
  <c r="X508" i="35"/>
  <c r="X509" i="35"/>
  <c r="X510" i="35"/>
  <c r="X511" i="35"/>
  <c r="X512" i="35"/>
  <c r="X513" i="35"/>
  <c r="X514" i="35"/>
  <c r="X515" i="35"/>
  <c r="X516" i="35"/>
  <c r="X517" i="35"/>
  <c r="X518" i="35"/>
  <c r="X519" i="35"/>
  <c r="X520" i="35"/>
  <c r="X521" i="35"/>
  <c r="X522" i="35"/>
  <c r="X523" i="35"/>
  <c r="X524" i="35"/>
  <c r="X525" i="35"/>
  <c r="X526" i="35"/>
  <c r="X527" i="35"/>
  <c r="X528" i="35"/>
  <c r="X529" i="35"/>
  <c r="X530" i="35"/>
  <c r="X531" i="35"/>
  <c r="X532" i="35"/>
  <c r="X533" i="35"/>
  <c r="X534" i="35"/>
  <c r="X535" i="35"/>
  <c r="X536" i="35"/>
  <c r="X537" i="35"/>
  <c r="X538" i="35"/>
  <c r="X539" i="35"/>
  <c r="X540" i="35"/>
  <c r="X541" i="35"/>
  <c r="X542" i="35"/>
  <c r="X543" i="35"/>
  <c r="X544" i="35"/>
  <c r="X545" i="35"/>
  <c r="X546" i="35"/>
  <c r="X547" i="35"/>
  <c r="X548" i="35"/>
  <c r="X549" i="35"/>
  <c r="X550" i="35"/>
  <c r="X551" i="35"/>
  <c r="X552" i="35"/>
  <c r="X553" i="35"/>
  <c r="X554" i="35"/>
  <c r="X555" i="35"/>
  <c r="X556" i="35"/>
  <c r="X557" i="35"/>
  <c r="X558" i="35"/>
  <c r="X559" i="35"/>
  <c r="X560" i="35"/>
  <c r="X561" i="35"/>
  <c r="X562" i="35"/>
  <c r="X563" i="35"/>
  <c r="X564" i="35"/>
  <c r="X565" i="35"/>
  <c r="X566" i="35"/>
  <c r="X567" i="35"/>
  <c r="X568" i="35"/>
  <c r="X569" i="35"/>
  <c r="X570" i="35"/>
  <c r="X571" i="35"/>
  <c r="X572" i="35"/>
  <c r="X573" i="35"/>
  <c r="X574" i="35"/>
  <c r="X575" i="35"/>
  <c r="X576" i="35"/>
  <c r="X577" i="35"/>
  <c r="X578" i="35"/>
  <c r="X579" i="35"/>
  <c r="X580" i="35"/>
  <c r="X581" i="35"/>
  <c r="X582" i="35"/>
  <c r="X583" i="35"/>
  <c r="X584" i="35"/>
  <c r="X585" i="35"/>
  <c r="X586" i="35"/>
  <c r="X587" i="35"/>
  <c r="X588" i="35"/>
  <c r="X589" i="35"/>
  <c r="X590" i="35"/>
  <c r="X591" i="35"/>
  <c r="X592" i="35"/>
  <c r="X593" i="35"/>
  <c r="X594" i="35"/>
  <c r="X595" i="35"/>
  <c r="X596" i="35"/>
  <c r="X597" i="35"/>
  <c r="X598" i="35"/>
  <c r="X599" i="35"/>
  <c r="X600" i="35"/>
  <c r="X601" i="35"/>
  <c r="X602" i="35"/>
  <c r="X603" i="35"/>
  <c r="X604" i="35"/>
  <c r="X605" i="35"/>
  <c r="X606" i="35"/>
  <c r="X607" i="35"/>
  <c r="X608" i="35"/>
  <c r="X609" i="35"/>
  <c r="X610" i="35"/>
  <c r="X611" i="35"/>
  <c r="X612" i="35"/>
  <c r="X613" i="35"/>
  <c r="X614" i="35"/>
  <c r="X615" i="35"/>
  <c r="X616" i="35"/>
  <c r="X617" i="35"/>
  <c r="X618" i="35"/>
  <c r="X619" i="35"/>
  <c r="X620" i="35"/>
  <c r="X621" i="35"/>
  <c r="X622" i="35"/>
  <c r="X623" i="35"/>
  <c r="X624" i="35"/>
  <c r="X625" i="35"/>
  <c r="X626" i="35"/>
  <c r="X627" i="35"/>
  <c r="X628" i="35"/>
  <c r="X629" i="35"/>
  <c r="X630" i="35"/>
  <c r="X631" i="35"/>
  <c r="X632" i="35"/>
  <c r="X633" i="35"/>
  <c r="X634" i="35"/>
  <c r="X635" i="35"/>
  <c r="X636" i="35"/>
  <c r="X637" i="35"/>
  <c r="X638" i="35"/>
  <c r="X639" i="35"/>
  <c r="X640" i="35"/>
  <c r="X641" i="35"/>
  <c r="X642" i="35"/>
  <c r="X643" i="35"/>
  <c r="X644" i="35"/>
  <c r="X645" i="35"/>
  <c r="X646" i="35"/>
  <c r="X647" i="35"/>
  <c r="X648" i="35"/>
  <c r="X649" i="35"/>
  <c r="X650" i="35"/>
  <c r="X651" i="35"/>
  <c r="X652" i="35"/>
  <c r="X653" i="35"/>
  <c r="X654" i="35"/>
  <c r="X655" i="35"/>
  <c r="X656" i="35"/>
  <c r="X657" i="35"/>
  <c r="X658" i="35"/>
  <c r="X659" i="35"/>
  <c r="X660" i="35"/>
  <c r="X661" i="35"/>
  <c r="X662" i="35"/>
  <c r="X663" i="35"/>
  <c r="X664" i="35"/>
  <c r="X665" i="35"/>
  <c r="X666" i="35"/>
  <c r="X667" i="35"/>
  <c r="X668" i="35"/>
  <c r="X669" i="35"/>
  <c r="X670" i="35"/>
  <c r="X671" i="35"/>
  <c r="X672" i="35"/>
  <c r="X673" i="35"/>
  <c r="X674" i="35"/>
  <c r="X675" i="35"/>
  <c r="X676" i="35"/>
  <c r="X677" i="35"/>
  <c r="X678" i="35"/>
  <c r="X679" i="35"/>
  <c r="X680" i="35"/>
  <c r="X681" i="35"/>
  <c r="X682" i="35"/>
  <c r="X683" i="35"/>
  <c r="X684" i="35"/>
  <c r="X685" i="35"/>
  <c r="X686" i="35"/>
  <c r="X687" i="35"/>
  <c r="X688" i="35"/>
  <c r="X689" i="35"/>
  <c r="X690" i="35"/>
  <c r="X691" i="35"/>
  <c r="X692" i="35"/>
  <c r="X693" i="35"/>
  <c r="X694" i="35"/>
  <c r="X695" i="35"/>
  <c r="X696" i="35"/>
  <c r="X697" i="35"/>
  <c r="X698" i="35"/>
  <c r="X699" i="35"/>
  <c r="X700" i="35"/>
  <c r="X701" i="35"/>
  <c r="X702" i="35"/>
  <c r="X703" i="35"/>
  <c r="X704" i="35"/>
  <c r="X705" i="35"/>
  <c r="X706" i="35"/>
  <c r="X707" i="35"/>
  <c r="X708" i="35"/>
  <c r="X709" i="35"/>
  <c r="X710" i="35"/>
  <c r="X711" i="35"/>
  <c r="X712" i="35"/>
  <c r="X713" i="35"/>
  <c r="X714" i="35"/>
  <c r="X715" i="35"/>
  <c r="X716" i="35"/>
  <c r="X717" i="35"/>
  <c r="X718" i="35"/>
  <c r="X719" i="35"/>
  <c r="X720" i="35"/>
  <c r="X721" i="35"/>
  <c r="X722" i="35"/>
  <c r="X723" i="35"/>
  <c r="X724" i="35"/>
  <c r="X725" i="35"/>
  <c r="X726" i="35"/>
  <c r="X727" i="35"/>
  <c r="X728" i="35"/>
  <c r="X729" i="35"/>
  <c r="X730" i="35"/>
  <c r="X731" i="35"/>
  <c r="X732" i="35"/>
  <c r="X733" i="35"/>
  <c r="X734" i="35"/>
  <c r="X735" i="35"/>
  <c r="X736" i="35"/>
  <c r="X737" i="35"/>
  <c r="X738" i="35"/>
  <c r="X739" i="35"/>
  <c r="X740" i="35"/>
  <c r="X741" i="35"/>
  <c r="X742" i="35"/>
  <c r="X743" i="35"/>
  <c r="X744" i="35"/>
  <c r="X745" i="35"/>
  <c r="X746" i="35"/>
  <c r="X747" i="35"/>
  <c r="X748" i="35"/>
  <c r="X749" i="35"/>
  <c r="X750" i="35"/>
  <c r="X751" i="35"/>
  <c r="X752" i="35"/>
  <c r="X753" i="35"/>
  <c r="X754" i="35"/>
  <c r="X755" i="35"/>
  <c r="X756" i="35"/>
  <c r="X757" i="35"/>
  <c r="X758" i="35"/>
  <c r="X759" i="35"/>
  <c r="X760" i="35"/>
  <c r="X761" i="35"/>
  <c r="X762" i="35"/>
  <c r="X763" i="35"/>
  <c r="X764" i="35"/>
  <c r="X765" i="35"/>
  <c r="X766" i="35"/>
  <c r="X767" i="35"/>
  <c r="X768" i="35"/>
  <c r="X769" i="35"/>
  <c r="X770" i="35"/>
  <c r="X771" i="35"/>
  <c r="X772" i="35"/>
  <c r="X773" i="35"/>
  <c r="X774" i="35"/>
  <c r="X775" i="35"/>
  <c r="X776" i="35"/>
  <c r="X777" i="35"/>
  <c r="X778" i="35"/>
  <c r="X779" i="35"/>
  <c r="X780" i="35"/>
  <c r="X781" i="35"/>
  <c r="X782" i="35"/>
  <c r="X783" i="35"/>
  <c r="X784" i="35"/>
  <c r="X785" i="35"/>
  <c r="X786" i="35"/>
  <c r="X787" i="35"/>
  <c r="X788" i="35"/>
  <c r="X789" i="35"/>
  <c r="X790" i="35"/>
  <c r="X791" i="35"/>
  <c r="X792" i="35"/>
  <c r="X793" i="35"/>
  <c r="X794" i="35"/>
  <c r="X795" i="35"/>
  <c r="X796" i="35"/>
  <c r="X797" i="35"/>
  <c r="X798" i="35"/>
  <c r="X799" i="35"/>
  <c r="X800" i="35"/>
  <c r="X801" i="35"/>
  <c r="X802" i="35"/>
  <c r="X803" i="35"/>
  <c r="X804" i="35"/>
  <c r="X805" i="35"/>
  <c r="X806" i="35"/>
  <c r="X807" i="35"/>
  <c r="X808" i="35"/>
  <c r="X809" i="35"/>
  <c r="X810" i="35"/>
  <c r="X811" i="35"/>
  <c r="X812" i="35"/>
  <c r="X813" i="35"/>
  <c r="X814" i="35"/>
  <c r="X815" i="35"/>
  <c r="X816" i="35"/>
  <c r="X817" i="35"/>
  <c r="X818" i="35"/>
  <c r="X819" i="35"/>
  <c r="X820" i="35"/>
  <c r="X821" i="35"/>
  <c r="X822" i="35"/>
  <c r="X823" i="35"/>
  <c r="X824" i="35"/>
  <c r="X825" i="35"/>
  <c r="X826" i="35"/>
  <c r="X827" i="35"/>
  <c r="X828" i="35"/>
  <c r="X829" i="35"/>
  <c r="X830" i="35"/>
  <c r="X831" i="35"/>
  <c r="X832" i="35"/>
  <c r="X833" i="35"/>
  <c r="X834" i="35"/>
  <c r="X835" i="35"/>
  <c r="X836" i="35"/>
  <c r="X837" i="35"/>
  <c r="X838" i="35"/>
  <c r="X839" i="35"/>
  <c r="X840" i="35"/>
  <c r="X841" i="35"/>
  <c r="X842" i="35"/>
  <c r="X843" i="35"/>
  <c r="X844" i="35"/>
  <c r="X845" i="35"/>
  <c r="X846" i="35"/>
  <c r="X847" i="35"/>
  <c r="X848" i="35"/>
  <c r="X849" i="35"/>
  <c r="X850" i="35"/>
  <c r="X851" i="35"/>
  <c r="X852" i="35"/>
  <c r="X853" i="35"/>
  <c r="X854" i="35"/>
  <c r="X855" i="35"/>
  <c r="X856" i="35"/>
  <c r="X857" i="35"/>
  <c r="X858" i="35"/>
  <c r="X859" i="35"/>
  <c r="X860" i="35"/>
  <c r="X861" i="35"/>
  <c r="X862" i="35"/>
  <c r="X863" i="35"/>
  <c r="X864" i="35"/>
  <c r="X865" i="35"/>
  <c r="X866" i="35"/>
  <c r="X867" i="35"/>
  <c r="X868" i="35"/>
  <c r="X869" i="35"/>
  <c r="X870" i="35"/>
  <c r="X871" i="35"/>
  <c r="X872" i="35"/>
  <c r="X873" i="35"/>
  <c r="X874" i="35"/>
  <c r="X875" i="35"/>
  <c r="X876" i="35"/>
  <c r="X877" i="35"/>
  <c r="X878" i="35"/>
  <c r="X879" i="35"/>
  <c r="X880" i="35"/>
  <c r="X881" i="35"/>
  <c r="X882" i="35"/>
  <c r="X883" i="35"/>
  <c r="X884" i="35"/>
  <c r="X885" i="35"/>
  <c r="X886" i="35"/>
  <c r="X887" i="35"/>
  <c r="X888" i="35"/>
  <c r="X889" i="35"/>
  <c r="X890" i="35"/>
  <c r="X891" i="35"/>
  <c r="X892" i="35"/>
  <c r="X893" i="35"/>
  <c r="X894" i="35"/>
  <c r="X895" i="35"/>
  <c r="X896" i="35"/>
  <c r="X897" i="35"/>
  <c r="X898" i="35"/>
  <c r="X899" i="35"/>
  <c r="X900" i="35"/>
  <c r="X901" i="35"/>
  <c r="X902" i="35"/>
  <c r="X903" i="35"/>
  <c r="X904" i="35"/>
  <c r="X905" i="35"/>
  <c r="X906" i="35"/>
  <c r="X907" i="35"/>
  <c r="X908" i="35"/>
  <c r="X909" i="35"/>
  <c r="X910" i="35"/>
  <c r="X911" i="35"/>
  <c r="X912" i="35"/>
  <c r="X913" i="35"/>
  <c r="X914" i="35"/>
  <c r="X915" i="35"/>
  <c r="X916" i="35"/>
  <c r="X917" i="35"/>
  <c r="X918" i="35"/>
  <c r="X919" i="35"/>
  <c r="X920" i="35"/>
  <c r="X921" i="35"/>
  <c r="X922" i="35"/>
  <c r="X923" i="35"/>
  <c r="X924" i="35"/>
  <c r="X925" i="35"/>
  <c r="X926" i="35"/>
  <c r="X927" i="35"/>
  <c r="X928" i="35"/>
  <c r="X929" i="35"/>
  <c r="X930" i="35"/>
  <c r="X931" i="35"/>
  <c r="X932" i="35"/>
  <c r="X933" i="35"/>
  <c r="X934" i="35"/>
  <c r="X935" i="35"/>
  <c r="X936" i="35"/>
  <c r="X937" i="35"/>
  <c r="X938" i="35"/>
  <c r="X939" i="35"/>
  <c r="X940" i="35"/>
  <c r="X941" i="35"/>
  <c r="X942" i="35"/>
  <c r="X943" i="35"/>
  <c r="X944" i="35"/>
  <c r="X945" i="35"/>
  <c r="X946" i="35"/>
  <c r="X947" i="35"/>
  <c r="X948" i="35"/>
  <c r="X949" i="35"/>
  <c r="X950" i="35"/>
  <c r="X951" i="35"/>
  <c r="X952" i="35"/>
  <c r="X953" i="35"/>
  <c r="X954" i="35"/>
  <c r="X955" i="35"/>
  <c r="X956" i="35"/>
  <c r="X957" i="35"/>
  <c r="X958" i="35"/>
  <c r="X959" i="35"/>
  <c r="X960" i="35"/>
  <c r="X961" i="35"/>
  <c r="X962" i="35"/>
  <c r="X963" i="35"/>
  <c r="X964" i="35"/>
  <c r="X965" i="35"/>
  <c r="X966" i="35"/>
  <c r="X967" i="35"/>
  <c r="X968" i="35"/>
  <c r="X969" i="35"/>
  <c r="X970" i="35"/>
  <c r="X971" i="35"/>
  <c r="X972" i="35"/>
  <c r="X973" i="35"/>
  <c r="X974" i="35"/>
  <c r="X975" i="35"/>
  <c r="X976" i="35"/>
  <c r="X977" i="35"/>
  <c r="X978" i="35"/>
  <c r="X979" i="35"/>
  <c r="X980" i="35"/>
  <c r="X981" i="35"/>
  <c r="X982" i="35"/>
  <c r="X983" i="35"/>
  <c r="X984" i="35"/>
  <c r="X985" i="35"/>
  <c r="X986" i="35"/>
  <c r="X987" i="35"/>
  <c r="X988" i="35"/>
  <c r="X989" i="35"/>
  <c r="X990" i="35"/>
  <c r="X991" i="35"/>
  <c r="X992" i="35"/>
  <c r="X993" i="35"/>
  <c r="X994" i="35"/>
  <c r="X995" i="35"/>
  <c r="X996" i="35"/>
  <c r="X997" i="35"/>
  <c r="X998" i="35"/>
  <c r="X999" i="35"/>
  <c r="X1000" i="35"/>
  <c r="X1001" i="35"/>
  <c r="X1002" i="35"/>
  <c r="X1003" i="35"/>
  <c r="X1004" i="35"/>
  <c r="X1005" i="35"/>
  <c r="X1006" i="35"/>
  <c r="X1007" i="35"/>
  <c r="X1008" i="35"/>
  <c r="X1009" i="35"/>
  <c r="X1010" i="35"/>
  <c r="X1011" i="35"/>
  <c r="X1012" i="35"/>
  <c r="X1013" i="35"/>
  <c r="X1014" i="35"/>
  <c r="X1015" i="35"/>
  <c r="X1016" i="35"/>
  <c r="X1017" i="35"/>
  <c r="X1018" i="35"/>
  <c r="X1019" i="35"/>
  <c r="X1020" i="35"/>
  <c r="X1021" i="35"/>
  <c r="X1022" i="35"/>
  <c r="X1023" i="35"/>
  <c r="X1024" i="35"/>
  <c r="X1025" i="35"/>
  <c r="X1026" i="35"/>
  <c r="X1027" i="35"/>
  <c r="X1028" i="35"/>
  <c r="X1029" i="35"/>
  <c r="X1030" i="35"/>
  <c r="X1031" i="35"/>
  <c r="X1032" i="35"/>
  <c r="X1033" i="35"/>
  <c r="X1034" i="35"/>
  <c r="X1035" i="35"/>
  <c r="X1036" i="35"/>
  <c r="X1037" i="35"/>
  <c r="X1038" i="35"/>
  <c r="X1039" i="35"/>
  <c r="X1040" i="35"/>
  <c r="X1041" i="35"/>
  <c r="X1042" i="35"/>
  <c r="X1043" i="35"/>
  <c r="X1044" i="35"/>
  <c r="X1045" i="35"/>
  <c r="X1046" i="35"/>
  <c r="X1047" i="35"/>
  <c r="X1048" i="35"/>
  <c r="X1049" i="35"/>
  <c r="X1050" i="35"/>
  <c r="X1051" i="35"/>
  <c r="X1052" i="35"/>
  <c r="X1053" i="35"/>
  <c r="X1054" i="35"/>
  <c r="X1055" i="35"/>
  <c r="X1056" i="35"/>
  <c r="X1057" i="35"/>
  <c r="X1058" i="35"/>
  <c r="X1059" i="35"/>
  <c r="X1060" i="35"/>
  <c r="X1061" i="35"/>
  <c r="X1062" i="35"/>
  <c r="X1063" i="35"/>
  <c r="X1064" i="35"/>
  <c r="X1065" i="35"/>
  <c r="X1066" i="35"/>
  <c r="X1067" i="35"/>
  <c r="X1068" i="35"/>
  <c r="X1069" i="35"/>
  <c r="X1070" i="35"/>
  <c r="X1071" i="35"/>
  <c r="X1072" i="35"/>
  <c r="X1073" i="35"/>
  <c r="X1074" i="35"/>
  <c r="X1075" i="35"/>
  <c r="X1076" i="35"/>
  <c r="X1077" i="35"/>
  <c r="X1078" i="35"/>
  <c r="X1079" i="35"/>
  <c r="X1080" i="35"/>
  <c r="X1081" i="35"/>
  <c r="X1082" i="35"/>
  <c r="X1083" i="35"/>
  <c r="X1084" i="35"/>
  <c r="X1085" i="35"/>
  <c r="X1086" i="35"/>
  <c r="X1087" i="35"/>
  <c r="X1088" i="35"/>
  <c r="X1089" i="35"/>
  <c r="X1090" i="35"/>
  <c r="X1091" i="35"/>
  <c r="X1092" i="35"/>
  <c r="X1093" i="35"/>
  <c r="X1094" i="35"/>
  <c r="X1095" i="35"/>
  <c r="X1096" i="35"/>
  <c r="X1097" i="35"/>
  <c r="X1098" i="35"/>
  <c r="X1099" i="35"/>
  <c r="X1100" i="35"/>
  <c r="X1101" i="35"/>
  <c r="X1102" i="35"/>
  <c r="X1103" i="35"/>
  <c r="X1104" i="35"/>
  <c r="X1105" i="35"/>
  <c r="X1106" i="35"/>
  <c r="X1107" i="35"/>
  <c r="X1108" i="35"/>
  <c r="X1109" i="35"/>
  <c r="X1110" i="35"/>
  <c r="X1111" i="35"/>
  <c r="X1112" i="35"/>
  <c r="X1113" i="35"/>
  <c r="X1114" i="35"/>
  <c r="X1115" i="35"/>
  <c r="X1116" i="35"/>
  <c r="X1117" i="35"/>
  <c r="X1118" i="35"/>
  <c r="X1119" i="35"/>
  <c r="X1120" i="35"/>
  <c r="X1121" i="35"/>
  <c r="X1122" i="35"/>
  <c r="X1123" i="35"/>
  <c r="X1124" i="35"/>
  <c r="X1125" i="35"/>
  <c r="X1126" i="35"/>
  <c r="X1127" i="35"/>
  <c r="X1128" i="35"/>
  <c r="X1129" i="35"/>
  <c r="X1130" i="35"/>
  <c r="X1131" i="35"/>
  <c r="X1132" i="35"/>
  <c r="X1133" i="35"/>
  <c r="X1134" i="35"/>
  <c r="X1135" i="35"/>
  <c r="X1136" i="35"/>
  <c r="X1137" i="35"/>
  <c r="X1138" i="35"/>
  <c r="X1139" i="35"/>
  <c r="X1140" i="35"/>
  <c r="X1141" i="35"/>
  <c r="X1142" i="35"/>
  <c r="X1143" i="35"/>
  <c r="X1144" i="35"/>
  <c r="X1145" i="35"/>
  <c r="X1146" i="35"/>
  <c r="X1147" i="35"/>
  <c r="X1148" i="35"/>
  <c r="X1149" i="35"/>
  <c r="X1150" i="35"/>
  <c r="X1151" i="35"/>
  <c r="X1152" i="35"/>
  <c r="X1153" i="35"/>
  <c r="X1154" i="35"/>
  <c r="X1155" i="35"/>
  <c r="X1156" i="35"/>
  <c r="X1157" i="35"/>
  <c r="X1158" i="35"/>
  <c r="X1159" i="35"/>
  <c r="X1160" i="35"/>
  <c r="X1161" i="35"/>
  <c r="X1162" i="35"/>
  <c r="X1163" i="35"/>
  <c r="X1164" i="35"/>
  <c r="X1165" i="35"/>
  <c r="X1166" i="35"/>
  <c r="X1167" i="35"/>
  <c r="X1168" i="35"/>
  <c r="X1169" i="35"/>
  <c r="X1170" i="35"/>
  <c r="X1171" i="35"/>
  <c r="X1172" i="35"/>
  <c r="X1173" i="35"/>
  <c r="X1174" i="35"/>
  <c r="X1175" i="35"/>
  <c r="X1176" i="35"/>
  <c r="X1177" i="35"/>
  <c r="X1178" i="35"/>
  <c r="X1179" i="35"/>
  <c r="X1180" i="35"/>
  <c r="X1181" i="35"/>
  <c r="X1182" i="35"/>
  <c r="X1183" i="35"/>
  <c r="X1184" i="35"/>
  <c r="X2" i="35"/>
  <c r="V1184" i="35"/>
  <c r="U1184" i="35"/>
  <c r="T1184" i="35"/>
  <c r="O1184" i="35"/>
  <c r="N1184" i="35"/>
  <c r="M1184" i="35"/>
  <c r="L1184" i="35"/>
  <c r="V1183" i="35"/>
  <c r="U1183" i="35"/>
  <c r="T1183" i="35"/>
  <c r="O1183" i="35"/>
  <c r="N1183" i="35"/>
  <c r="M1183" i="35"/>
  <c r="L1183" i="35"/>
  <c r="V1182" i="35"/>
  <c r="U1182" i="35"/>
  <c r="T1182" i="35"/>
  <c r="O1182" i="35"/>
  <c r="N1182" i="35"/>
  <c r="M1182" i="35"/>
  <c r="L1182" i="35"/>
  <c r="V1181" i="35"/>
  <c r="U1181" i="35"/>
  <c r="T1181" i="35"/>
  <c r="O1181" i="35"/>
  <c r="N1181" i="35"/>
  <c r="M1181" i="35"/>
  <c r="L1181" i="35"/>
  <c r="V1180" i="35"/>
  <c r="U1180" i="35"/>
  <c r="T1180" i="35"/>
  <c r="O1180" i="35"/>
  <c r="N1180" i="35"/>
  <c r="M1180" i="35"/>
  <c r="L1180" i="35"/>
  <c r="V2" i="35" l="1"/>
  <c r="U2" i="35"/>
  <c r="T2" i="35"/>
  <c r="O2" i="35"/>
  <c r="N2" i="35"/>
  <c r="M2" i="35"/>
  <c r="L2" i="35"/>
  <c r="V1179" i="35"/>
  <c r="U1179" i="35"/>
  <c r="T1179" i="35"/>
  <c r="O1179" i="35"/>
  <c r="N1179" i="35"/>
  <c r="M1179" i="35"/>
  <c r="L1179" i="35"/>
  <c r="V1178" i="35"/>
  <c r="U1178" i="35"/>
  <c r="T1178" i="35"/>
  <c r="O1178" i="35"/>
  <c r="N1178" i="35"/>
  <c r="M1178" i="35"/>
  <c r="L1178" i="35"/>
  <c r="V1177" i="35"/>
  <c r="U1177" i="35"/>
  <c r="T1177" i="35"/>
  <c r="O1177" i="35"/>
  <c r="N1177" i="35"/>
  <c r="M1177" i="35"/>
  <c r="L1177" i="35"/>
  <c r="V1176" i="35"/>
  <c r="U1176" i="35"/>
  <c r="T1176" i="35"/>
  <c r="O1176" i="35"/>
  <c r="N1176" i="35"/>
  <c r="M1176" i="35"/>
  <c r="L1176" i="35"/>
  <c r="V1175" i="35"/>
  <c r="U1175" i="35"/>
  <c r="T1175" i="35"/>
  <c r="O1175" i="35"/>
  <c r="N1175" i="35"/>
  <c r="M1175" i="35"/>
  <c r="L1175" i="35"/>
  <c r="V1174" i="35"/>
  <c r="U1174" i="35"/>
  <c r="T1174" i="35"/>
  <c r="O1174" i="35"/>
  <c r="N1174" i="35"/>
  <c r="M1174" i="35"/>
  <c r="L1174" i="35"/>
  <c r="V1173" i="35"/>
  <c r="U1173" i="35"/>
  <c r="T1173" i="35"/>
  <c r="O1173" i="35"/>
  <c r="N1173" i="35"/>
  <c r="M1173" i="35"/>
  <c r="L1173" i="35"/>
  <c r="V1172" i="35"/>
  <c r="U1172" i="35"/>
  <c r="T1172" i="35"/>
  <c r="O1172" i="35"/>
  <c r="N1172" i="35"/>
  <c r="M1172" i="35"/>
  <c r="L1172" i="35"/>
  <c r="V1171" i="35"/>
  <c r="U1171" i="35"/>
  <c r="T1171" i="35"/>
  <c r="O1171" i="35"/>
  <c r="N1171" i="35"/>
  <c r="M1171" i="35"/>
  <c r="L1171" i="35"/>
  <c r="V1170" i="35"/>
  <c r="U1170" i="35"/>
  <c r="T1170" i="35"/>
  <c r="O1170" i="35"/>
  <c r="N1170" i="35"/>
  <c r="M1170" i="35"/>
  <c r="L1170" i="35"/>
  <c r="V1169" i="35"/>
  <c r="U1169" i="35"/>
  <c r="T1169" i="35"/>
  <c r="O1169" i="35"/>
  <c r="N1169" i="35"/>
  <c r="M1169" i="35"/>
  <c r="L1169" i="35"/>
  <c r="V1168" i="35"/>
  <c r="U1168" i="35"/>
  <c r="T1168" i="35"/>
  <c r="O1168" i="35"/>
  <c r="N1168" i="35"/>
  <c r="M1168" i="35"/>
  <c r="L1168" i="35"/>
  <c r="V1167" i="35"/>
  <c r="U1167" i="35"/>
  <c r="T1167" i="35"/>
  <c r="O1167" i="35"/>
  <c r="N1167" i="35"/>
  <c r="M1167" i="35"/>
  <c r="L1167" i="35"/>
  <c r="V1166" i="35"/>
  <c r="U1166" i="35"/>
  <c r="T1166" i="35"/>
  <c r="O1166" i="35"/>
  <c r="N1166" i="35"/>
  <c r="M1166" i="35"/>
  <c r="L1166" i="35"/>
  <c r="V1165" i="35"/>
  <c r="U1165" i="35"/>
  <c r="T1165" i="35"/>
  <c r="O1165" i="35"/>
  <c r="N1165" i="35"/>
  <c r="M1165" i="35"/>
  <c r="L1165" i="35"/>
  <c r="V1164" i="35"/>
  <c r="U1164" i="35"/>
  <c r="T1164" i="35"/>
  <c r="O1164" i="35"/>
  <c r="N1164" i="35"/>
  <c r="M1164" i="35"/>
  <c r="L1164" i="35"/>
  <c r="V1163" i="35"/>
  <c r="U1163" i="35"/>
  <c r="T1163" i="35"/>
  <c r="O1163" i="35"/>
  <c r="N1163" i="35"/>
  <c r="M1163" i="35"/>
  <c r="L1163" i="35"/>
  <c r="V1162" i="35"/>
  <c r="U1162" i="35"/>
  <c r="T1162" i="35"/>
  <c r="O1162" i="35"/>
  <c r="N1162" i="35"/>
  <c r="M1162" i="35"/>
  <c r="L1162" i="35"/>
  <c r="V1161" i="35"/>
  <c r="U1161" i="35"/>
  <c r="T1161" i="35"/>
  <c r="O1161" i="35"/>
  <c r="N1161" i="35"/>
  <c r="M1161" i="35"/>
  <c r="L1161" i="35"/>
  <c r="V1160" i="35"/>
  <c r="U1160" i="35"/>
  <c r="T1160" i="35"/>
  <c r="O1160" i="35"/>
  <c r="N1160" i="35"/>
  <c r="M1160" i="35"/>
  <c r="L1160" i="35"/>
  <c r="V1159" i="35"/>
  <c r="U1159" i="35"/>
  <c r="T1159" i="35"/>
  <c r="O1159" i="35"/>
  <c r="N1159" i="35"/>
  <c r="M1159" i="35"/>
  <c r="L1159" i="35"/>
  <c r="V1158" i="35"/>
  <c r="U1158" i="35"/>
  <c r="T1158" i="35"/>
  <c r="O1158" i="35"/>
  <c r="N1158" i="35"/>
  <c r="M1158" i="35"/>
  <c r="L1158" i="35"/>
  <c r="V1157" i="35"/>
  <c r="U1157" i="35"/>
  <c r="T1157" i="35"/>
  <c r="O1157" i="35"/>
  <c r="N1157" i="35"/>
  <c r="M1157" i="35"/>
  <c r="L1157" i="35"/>
  <c r="V1156" i="35"/>
  <c r="U1156" i="35"/>
  <c r="T1156" i="35"/>
  <c r="O1156" i="35"/>
  <c r="N1156" i="35"/>
  <c r="M1156" i="35"/>
  <c r="L1156" i="35"/>
  <c r="V1155" i="35"/>
  <c r="U1155" i="35"/>
  <c r="T1155" i="35"/>
  <c r="O1155" i="35"/>
  <c r="N1155" i="35"/>
  <c r="M1155" i="35"/>
  <c r="L1155" i="35"/>
  <c r="V1154" i="35"/>
  <c r="U1154" i="35"/>
  <c r="T1154" i="35"/>
  <c r="O1154" i="35"/>
  <c r="N1154" i="35"/>
  <c r="M1154" i="35"/>
  <c r="L1154" i="35"/>
  <c r="V1153" i="35"/>
  <c r="U1153" i="35"/>
  <c r="T1153" i="35"/>
  <c r="O1153" i="35"/>
  <c r="N1153" i="35"/>
  <c r="M1153" i="35"/>
  <c r="L1153" i="35"/>
  <c r="V1152" i="35"/>
  <c r="U1152" i="35"/>
  <c r="T1152" i="35"/>
  <c r="O1152" i="35"/>
  <c r="N1152" i="35"/>
  <c r="M1152" i="35"/>
  <c r="L1152" i="35"/>
  <c r="V1151" i="35"/>
  <c r="U1151" i="35"/>
  <c r="T1151" i="35"/>
  <c r="O1151" i="35"/>
  <c r="N1151" i="35"/>
  <c r="M1151" i="35"/>
  <c r="L1151" i="35"/>
  <c r="V1150" i="35"/>
  <c r="U1150" i="35"/>
  <c r="T1150" i="35"/>
  <c r="O1150" i="35"/>
  <c r="N1150" i="35"/>
  <c r="M1150" i="35"/>
  <c r="L1150" i="35"/>
  <c r="V1149" i="35"/>
  <c r="U1149" i="35"/>
  <c r="T1149" i="35"/>
  <c r="O1149" i="35"/>
  <c r="N1149" i="35"/>
  <c r="M1149" i="35"/>
  <c r="L1149" i="35"/>
  <c r="V1148" i="35"/>
  <c r="U1148" i="35"/>
  <c r="T1148" i="35"/>
  <c r="O1148" i="35"/>
  <c r="N1148" i="35"/>
  <c r="M1148" i="35"/>
  <c r="L1148" i="35"/>
  <c r="V1147" i="35"/>
  <c r="U1147" i="35"/>
  <c r="T1147" i="35"/>
  <c r="O1147" i="35"/>
  <c r="N1147" i="35"/>
  <c r="M1147" i="35"/>
  <c r="L1147" i="35"/>
  <c r="V1146" i="35"/>
  <c r="U1146" i="35"/>
  <c r="T1146" i="35"/>
  <c r="O1146" i="35"/>
  <c r="N1146" i="35"/>
  <c r="M1146" i="35"/>
  <c r="L1146" i="35"/>
  <c r="V1145" i="35"/>
  <c r="U1145" i="35"/>
  <c r="T1145" i="35"/>
  <c r="O1145" i="35"/>
  <c r="N1145" i="35"/>
  <c r="M1145" i="35"/>
  <c r="L1145" i="35"/>
  <c r="V1144" i="35"/>
  <c r="U1144" i="35"/>
  <c r="T1144" i="35"/>
  <c r="O1144" i="35"/>
  <c r="N1144" i="35"/>
  <c r="M1144" i="35"/>
  <c r="L1144" i="35"/>
  <c r="V1143" i="35"/>
  <c r="U1143" i="35"/>
  <c r="T1143" i="35"/>
  <c r="O1143" i="35"/>
  <c r="N1143" i="35"/>
  <c r="M1143" i="35"/>
  <c r="L1143" i="35"/>
  <c r="V1142" i="35"/>
  <c r="U1142" i="35"/>
  <c r="T1142" i="35"/>
  <c r="O1142" i="35"/>
  <c r="N1142" i="35"/>
  <c r="M1142" i="35"/>
  <c r="L1142" i="35"/>
  <c r="V1141" i="35"/>
  <c r="U1141" i="35"/>
  <c r="T1141" i="35"/>
  <c r="O1141" i="35"/>
  <c r="N1141" i="35"/>
  <c r="M1141" i="35"/>
  <c r="L1141" i="35"/>
  <c r="V1140" i="35"/>
  <c r="U1140" i="35"/>
  <c r="T1140" i="35"/>
  <c r="O1140" i="35"/>
  <c r="N1140" i="35"/>
  <c r="M1140" i="35"/>
  <c r="L1140" i="35"/>
  <c r="V1139" i="35"/>
  <c r="U1139" i="35"/>
  <c r="T1139" i="35"/>
  <c r="O1139" i="35"/>
  <c r="N1139" i="35"/>
  <c r="M1139" i="35"/>
  <c r="L1139" i="35"/>
  <c r="V1138" i="35"/>
  <c r="U1138" i="35"/>
  <c r="T1138" i="35"/>
  <c r="O1138" i="35"/>
  <c r="N1138" i="35"/>
  <c r="M1138" i="35"/>
  <c r="L1138" i="35"/>
  <c r="V1137" i="35"/>
  <c r="U1137" i="35"/>
  <c r="T1137" i="35"/>
  <c r="O1137" i="35"/>
  <c r="N1137" i="35"/>
  <c r="M1137" i="35"/>
  <c r="L1137" i="35"/>
  <c r="V1136" i="35"/>
  <c r="U1136" i="35"/>
  <c r="T1136" i="35"/>
  <c r="O1136" i="35"/>
  <c r="N1136" i="35"/>
  <c r="M1136" i="35"/>
  <c r="L1136" i="35"/>
  <c r="V1135" i="35"/>
  <c r="U1135" i="35"/>
  <c r="T1135" i="35"/>
  <c r="O1135" i="35"/>
  <c r="N1135" i="35"/>
  <c r="M1135" i="35"/>
  <c r="L1135" i="35"/>
  <c r="V1134" i="35"/>
  <c r="U1134" i="35"/>
  <c r="T1134" i="35"/>
  <c r="O1134" i="35"/>
  <c r="N1134" i="35"/>
  <c r="M1134" i="35"/>
  <c r="L1134" i="35"/>
  <c r="V1133" i="35"/>
  <c r="U1133" i="35"/>
  <c r="T1133" i="35"/>
  <c r="O1133" i="35"/>
  <c r="N1133" i="35"/>
  <c r="M1133" i="35"/>
  <c r="L1133" i="35"/>
  <c r="V1132" i="35"/>
  <c r="U1132" i="35"/>
  <c r="T1132" i="35"/>
  <c r="O1132" i="35"/>
  <c r="N1132" i="35"/>
  <c r="M1132" i="35"/>
  <c r="L1132" i="35"/>
  <c r="V1131" i="35"/>
  <c r="U1131" i="35"/>
  <c r="T1131" i="35"/>
  <c r="O1131" i="35"/>
  <c r="N1131" i="35"/>
  <c r="M1131" i="35"/>
  <c r="L1131" i="35"/>
  <c r="V1130" i="35"/>
  <c r="U1130" i="35"/>
  <c r="T1130" i="35"/>
  <c r="O1130" i="35"/>
  <c r="N1130" i="35"/>
  <c r="M1130" i="35"/>
  <c r="L1130" i="35"/>
  <c r="V1129" i="35"/>
  <c r="U1129" i="35"/>
  <c r="T1129" i="35"/>
  <c r="O1129" i="35"/>
  <c r="N1129" i="35"/>
  <c r="M1129" i="35"/>
  <c r="L1129" i="35"/>
  <c r="V1128" i="35"/>
  <c r="U1128" i="35"/>
  <c r="T1128" i="35"/>
  <c r="O1128" i="35"/>
  <c r="N1128" i="35"/>
  <c r="M1128" i="35"/>
  <c r="L1128" i="35"/>
  <c r="V1127" i="35"/>
  <c r="U1127" i="35"/>
  <c r="T1127" i="35"/>
  <c r="O1127" i="35"/>
  <c r="N1127" i="35"/>
  <c r="M1127" i="35"/>
  <c r="L1127" i="35"/>
  <c r="V1126" i="35"/>
  <c r="U1126" i="35"/>
  <c r="T1126" i="35"/>
  <c r="O1126" i="35"/>
  <c r="N1126" i="35"/>
  <c r="M1126" i="35"/>
  <c r="L1126" i="35"/>
  <c r="V1125" i="35"/>
  <c r="U1125" i="35"/>
  <c r="T1125" i="35"/>
  <c r="O1125" i="35"/>
  <c r="N1125" i="35"/>
  <c r="M1125" i="35"/>
  <c r="L1125" i="35"/>
  <c r="V1124" i="35"/>
  <c r="U1124" i="35"/>
  <c r="T1124" i="35"/>
  <c r="O1124" i="35"/>
  <c r="N1124" i="35"/>
  <c r="M1124" i="35"/>
  <c r="L1124" i="35"/>
  <c r="V1123" i="35"/>
  <c r="U1123" i="35"/>
  <c r="T1123" i="35"/>
  <c r="O1123" i="35"/>
  <c r="N1123" i="35"/>
  <c r="M1123" i="35"/>
  <c r="L1123" i="35"/>
  <c r="V1122" i="35"/>
  <c r="U1122" i="35"/>
  <c r="T1122" i="35"/>
  <c r="O1122" i="35"/>
  <c r="N1122" i="35"/>
  <c r="M1122" i="35"/>
  <c r="L1122" i="35"/>
  <c r="V1121" i="35"/>
  <c r="U1121" i="35"/>
  <c r="T1121" i="35"/>
  <c r="O1121" i="35"/>
  <c r="N1121" i="35"/>
  <c r="M1121" i="35"/>
  <c r="L1121" i="35"/>
  <c r="V1120" i="35"/>
  <c r="U1120" i="35"/>
  <c r="T1120" i="35"/>
  <c r="O1120" i="35"/>
  <c r="N1120" i="35"/>
  <c r="M1120" i="35"/>
  <c r="L1120" i="35"/>
  <c r="V1119" i="35"/>
  <c r="U1119" i="35"/>
  <c r="T1119" i="35"/>
  <c r="O1119" i="35"/>
  <c r="N1119" i="35"/>
  <c r="M1119" i="35"/>
  <c r="L1119" i="35"/>
  <c r="V1118" i="35"/>
  <c r="U1118" i="35"/>
  <c r="T1118" i="35"/>
  <c r="O1118" i="35"/>
  <c r="N1118" i="35"/>
  <c r="M1118" i="35"/>
  <c r="L1118" i="35"/>
  <c r="V1117" i="35"/>
  <c r="U1117" i="35"/>
  <c r="T1117" i="35"/>
  <c r="O1117" i="35"/>
  <c r="N1117" i="35"/>
  <c r="M1117" i="35"/>
  <c r="L1117" i="35"/>
  <c r="V1116" i="35"/>
  <c r="U1116" i="35"/>
  <c r="T1116" i="35"/>
  <c r="O1116" i="35"/>
  <c r="N1116" i="35"/>
  <c r="M1116" i="35"/>
  <c r="L1116" i="35"/>
  <c r="V1115" i="35"/>
  <c r="U1115" i="35"/>
  <c r="T1115" i="35"/>
  <c r="O1115" i="35"/>
  <c r="N1115" i="35"/>
  <c r="M1115" i="35"/>
  <c r="L1115" i="35"/>
  <c r="V1114" i="35"/>
  <c r="U1114" i="35"/>
  <c r="T1114" i="35"/>
  <c r="O1114" i="35"/>
  <c r="N1114" i="35"/>
  <c r="M1114" i="35"/>
  <c r="L1114" i="35"/>
  <c r="V1113" i="35"/>
  <c r="U1113" i="35"/>
  <c r="T1113" i="35"/>
  <c r="O1113" i="35"/>
  <c r="N1113" i="35"/>
  <c r="M1113" i="35"/>
  <c r="L1113" i="35"/>
  <c r="V1112" i="35"/>
  <c r="U1112" i="35"/>
  <c r="T1112" i="35"/>
  <c r="O1112" i="35"/>
  <c r="N1112" i="35"/>
  <c r="M1112" i="35"/>
  <c r="L1112" i="35"/>
  <c r="V1111" i="35"/>
  <c r="U1111" i="35"/>
  <c r="T1111" i="35"/>
  <c r="O1111" i="35"/>
  <c r="N1111" i="35"/>
  <c r="M1111" i="35"/>
  <c r="L1111" i="35"/>
  <c r="V1110" i="35"/>
  <c r="U1110" i="35"/>
  <c r="T1110" i="35"/>
  <c r="O1110" i="35"/>
  <c r="N1110" i="35"/>
  <c r="M1110" i="35"/>
  <c r="L1110" i="35"/>
  <c r="V1109" i="35"/>
  <c r="U1109" i="35"/>
  <c r="T1109" i="35"/>
  <c r="O1109" i="35"/>
  <c r="N1109" i="35"/>
  <c r="M1109" i="35"/>
  <c r="L1109" i="35"/>
  <c r="V1108" i="35"/>
  <c r="U1108" i="35"/>
  <c r="T1108" i="35"/>
  <c r="O1108" i="35"/>
  <c r="N1108" i="35"/>
  <c r="M1108" i="35"/>
  <c r="L1108" i="35"/>
  <c r="V1107" i="35"/>
  <c r="U1107" i="35"/>
  <c r="T1107" i="35"/>
  <c r="O1107" i="35"/>
  <c r="N1107" i="35"/>
  <c r="M1107" i="35"/>
  <c r="L1107" i="35"/>
  <c r="V1106" i="35"/>
  <c r="U1106" i="35"/>
  <c r="T1106" i="35"/>
  <c r="O1106" i="35"/>
  <c r="N1106" i="35"/>
  <c r="M1106" i="35"/>
  <c r="L1106" i="35"/>
  <c r="V1105" i="35"/>
  <c r="U1105" i="35"/>
  <c r="T1105" i="35"/>
  <c r="O1105" i="35"/>
  <c r="N1105" i="35"/>
  <c r="M1105" i="35"/>
  <c r="L1105" i="35"/>
  <c r="V1104" i="35"/>
  <c r="U1104" i="35"/>
  <c r="T1104" i="35"/>
  <c r="O1104" i="35"/>
  <c r="N1104" i="35"/>
  <c r="M1104" i="35"/>
  <c r="L1104" i="35"/>
  <c r="V1103" i="35"/>
  <c r="U1103" i="35"/>
  <c r="T1103" i="35"/>
  <c r="O1103" i="35"/>
  <c r="N1103" i="35"/>
  <c r="M1103" i="35"/>
  <c r="L1103" i="35"/>
  <c r="V1102" i="35"/>
  <c r="U1102" i="35"/>
  <c r="T1102" i="35"/>
  <c r="O1102" i="35"/>
  <c r="N1102" i="35"/>
  <c r="M1102" i="35"/>
  <c r="L1102" i="35"/>
  <c r="V1101" i="35"/>
  <c r="U1101" i="35"/>
  <c r="T1101" i="35"/>
  <c r="O1101" i="35"/>
  <c r="N1101" i="35"/>
  <c r="M1101" i="35"/>
  <c r="L1101" i="35"/>
  <c r="V1100" i="35"/>
  <c r="U1100" i="35"/>
  <c r="T1100" i="35"/>
  <c r="O1100" i="35"/>
  <c r="N1100" i="35"/>
  <c r="M1100" i="35"/>
  <c r="L1100" i="35"/>
  <c r="V1099" i="35"/>
  <c r="U1099" i="35"/>
  <c r="T1099" i="35"/>
  <c r="O1099" i="35"/>
  <c r="N1099" i="35"/>
  <c r="M1099" i="35"/>
  <c r="L1099" i="35"/>
  <c r="V1098" i="35"/>
  <c r="U1098" i="35"/>
  <c r="T1098" i="35"/>
  <c r="O1098" i="35"/>
  <c r="N1098" i="35"/>
  <c r="M1098" i="35"/>
  <c r="L1098" i="35"/>
  <c r="V1097" i="35"/>
  <c r="U1097" i="35"/>
  <c r="T1097" i="35"/>
  <c r="O1097" i="35"/>
  <c r="N1097" i="35"/>
  <c r="M1097" i="35"/>
  <c r="L1097" i="35"/>
  <c r="V1096" i="35"/>
  <c r="U1096" i="35"/>
  <c r="T1096" i="35"/>
  <c r="O1096" i="35"/>
  <c r="N1096" i="35"/>
  <c r="M1096" i="35"/>
  <c r="L1096" i="35"/>
  <c r="V1095" i="35"/>
  <c r="U1095" i="35"/>
  <c r="T1095" i="35"/>
  <c r="O1095" i="35"/>
  <c r="N1095" i="35"/>
  <c r="M1095" i="35"/>
  <c r="L1095" i="35"/>
  <c r="V1094" i="35"/>
  <c r="U1094" i="35"/>
  <c r="T1094" i="35"/>
  <c r="O1094" i="35"/>
  <c r="N1094" i="35"/>
  <c r="M1094" i="35"/>
  <c r="L1094" i="35"/>
  <c r="V1093" i="35"/>
  <c r="U1093" i="35"/>
  <c r="T1093" i="35"/>
  <c r="O1093" i="35"/>
  <c r="N1093" i="35"/>
  <c r="M1093" i="35"/>
  <c r="L1093" i="35"/>
  <c r="V1092" i="35"/>
  <c r="U1092" i="35"/>
  <c r="T1092" i="35"/>
  <c r="O1092" i="35"/>
  <c r="N1092" i="35"/>
  <c r="M1092" i="35"/>
  <c r="L1092" i="35"/>
  <c r="V1091" i="35"/>
  <c r="U1091" i="35"/>
  <c r="T1091" i="35"/>
  <c r="O1091" i="35"/>
  <c r="N1091" i="35"/>
  <c r="M1091" i="35"/>
  <c r="L1091" i="35"/>
  <c r="V1090" i="35"/>
  <c r="U1090" i="35"/>
  <c r="T1090" i="35"/>
  <c r="O1090" i="35"/>
  <c r="N1090" i="35"/>
  <c r="M1090" i="35"/>
  <c r="L1090" i="35"/>
  <c r="V1089" i="35"/>
  <c r="U1089" i="35"/>
  <c r="T1089" i="35"/>
  <c r="O1089" i="35"/>
  <c r="N1089" i="35"/>
  <c r="M1089" i="35"/>
  <c r="L1089" i="35"/>
  <c r="V1088" i="35"/>
  <c r="U1088" i="35"/>
  <c r="T1088" i="35"/>
  <c r="O1088" i="35"/>
  <c r="N1088" i="35"/>
  <c r="M1088" i="35"/>
  <c r="L1088" i="35"/>
  <c r="V1087" i="35"/>
  <c r="U1087" i="35"/>
  <c r="T1087" i="35"/>
  <c r="O1087" i="35"/>
  <c r="N1087" i="35"/>
  <c r="M1087" i="35"/>
  <c r="L1087" i="35"/>
  <c r="V1086" i="35"/>
  <c r="U1086" i="35"/>
  <c r="T1086" i="35"/>
  <c r="O1086" i="35"/>
  <c r="N1086" i="35"/>
  <c r="M1086" i="35"/>
  <c r="L1086" i="35"/>
  <c r="V1085" i="35"/>
  <c r="U1085" i="35"/>
  <c r="T1085" i="35"/>
  <c r="O1085" i="35"/>
  <c r="N1085" i="35"/>
  <c r="M1085" i="35"/>
  <c r="L1085" i="35"/>
  <c r="V1084" i="35"/>
  <c r="U1084" i="35"/>
  <c r="T1084" i="35"/>
  <c r="O1084" i="35"/>
  <c r="N1084" i="35"/>
  <c r="M1084" i="35"/>
  <c r="L1084" i="35"/>
  <c r="V1083" i="35"/>
  <c r="U1083" i="35"/>
  <c r="T1083" i="35"/>
  <c r="O1083" i="35"/>
  <c r="N1083" i="35"/>
  <c r="M1083" i="35"/>
  <c r="L1083" i="35"/>
  <c r="V1082" i="35"/>
  <c r="U1082" i="35"/>
  <c r="T1082" i="35"/>
  <c r="O1082" i="35"/>
  <c r="N1082" i="35"/>
  <c r="M1082" i="35"/>
  <c r="L1082" i="35"/>
  <c r="V1081" i="35"/>
  <c r="U1081" i="35"/>
  <c r="T1081" i="35"/>
  <c r="O1081" i="35"/>
  <c r="N1081" i="35"/>
  <c r="M1081" i="35"/>
  <c r="L1081" i="35"/>
  <c r="V1080" i="35"/>
  <c r="U1080" i="35"/>
  <c r="T1080" i="35"/>
  <c r="O1080" i="35"/>
  <c r="N1080" i="35"/>
  <c r="M1080" i="35"/>
  <c r="L1080" i="35"/>
  <c r="V1079" i="35"/>
  <c r="U1079" i="35"/>
  <c r="T1079" i="35"/>
  <c r="O1079" i="35"/>
  <c r="N1079" i="35"/>
  <c r="M1079" i="35"/>
  <c r="L1079" i="35"/>
  <c r="V1078" i="35"/>
  <c r="U1078" i="35"/>
  <c r="T1078" i="35"/>
  <c r="O1078" i="35"/>
  <c r="N1078" i="35"/>
  <c r="M1078" i="35"/>
  <c r="L1078" i="35"/>
  <c r="V1077" i="35"/>
  <c r="U1077" i="35"/>
  <c r="T1077" i="35"/>
  <c r="O1077" i="35"/>
  <c r="N1077" i="35"/>
  <c r="M1077" i="35"/>
  <c r="L1077" i="35"/>
  <c r="V1076" i="35"/>
  <c r="U1076" i="35"/>
  <c r="T1076" i="35"/>
  <c r="O1076" i="35"/>
  <c r="N1076" i="35"/>
  <c r="M1076" i="35"/>
  <c r="L1076" i="35"/>
  <c r="V1075" i="35"/>
  <c r="U1075" i="35"/>
  <c r="T1075" i="35"/>
  <c r="O1075" i="35"/>
  <c r="N1075" i="35"/>
  <c r="M1075" i="35"/>
  <c r="L1075" i="35"/>
  <c r="V1074" i="35"/>
  <c r="U1074" i="35"/>
  <c r="T1074" i="35"/>
  <c r="O1074" i="35"/>
  <c r="N1074" i="35"/>
  <c r="M1074" i="35"/>
  <c r="L1074" i="35"/>
  <c r="V1073" i="35"/>
  <c r="U1073" i="35"/>
  <c r="T1073" i="35"/>
  <c r="O1073" i="35"/>
  <c r="N1073" i="35"/>
  <c r="M1073" i="35"/>
  <c r="L1073" i="35"/>
  <c r="V1072" i="35"/>
  <c r="U1072" i="35"/>
  <c r="T1072" i="35"/>
  <c r="O1072" i="35"/>
  <c r="N1072" i="35"/>
  <c r="M1072" i="35"/>
  <c r="L1072" i="35"/>
  <c r="V1071" i="35"/>
  <c r="U1071" i="35"/>
  <c r="T1071" i="35"/>
  <c r="O1071" i="35"/>
  <c r="N1071" i="35"/>
  <c r="M1071" i="35"/>
  <c r="L1071" i="35"/>
  <c r="V1070" i="35"/>
  <c r="U1070" i="35"/>
  <c r="T1070" i="35"/>
  <c r="O1070" i="35"/>
  <c r="N1070" i="35"/>
  <c r="M1070" i="35"/>
  <c r="L1070" i="35"/>
  <c r="V1069" i="35"/>
  <c r="U1069" i="35"/>
  <c r="T1069" i="35"/>
  <c r="O1069" i="35"/>
  <c r="N1069" i="35"/>
  <c r="M1069" i="35"/>
  <c r="L1069" i="35"/>
  <c r="V1068" i="35"/>
  <c r="U1068" i="35"/>
  <c r="T1068" i="35"/>
  <c r="O1068" i="35"/>
  <c r="N1068" i="35"/>
  <c r="M1068" i="35"/>
  <c r="L1068" i="35"/>
  <c r="V1067" i="35"/>
  <c r="U1067" i="35"/>
  <c r="T1067" i="35"/>
  <c r="O1067" i="35"/>
  <c r="N1067" i="35"/>
  <c r="M1067" i="35"/>
  <c r="L1067" i="35"/>
  <c r="V1066" i="35"/>
  <c r="U1066" i="35"/>
  <c r="T1066" i="35"/>
  <c r="O1066" i="35"/>
  <c r="N1066" i="35"/>
  <c r="M1066" i="35"/>
  <c r="L1066" i="35"/>
  <c r="V1065" i="35"/>
  <c r="U1065" i="35"/>
  <c r="T1065" i="35"/>
  <c r="O1065" i="35"/>
  <c r="N1065" i="35"/>
  <c r="M1065" i="35"/>
  <c r="L1065" i="35"/>
  <c r="V1064" i="35"/>
  <c r="U1064" i="35"/>
  <c r="T1064" i="35"/>
  <c r="O1064" i="35"/>
  <c r="N1064" i="35"/>
  <c r="M1064" i="35"/>
  <c r="L1064" i="35"/>
  <c r="V1063" i="35"/>
  <c r="U1063" i="35"/>
  <c r="T1063" i="35"/>
  <c r="O1063" i="35"/>
  <c r="N1063" i="35"/>
  <c r="M1063" i="35"/>
  <c r="L1063" i="35"/>
  <c r="V1062" i="35"/>
  <c r="U1062" i="35"/>
  <c r="T1062" i="35"/>
  <c r="O1062" i="35"/>
  <c r="N1062" i="35"/>
  <c r="M1062" i="35"/>
  <c r="L1062" i="35"/>
  <c r="V1061" i="35"/>
  <c r="U1061" i="35"/>
  <c r="T1061" i="35"/>
  <c r="O1061" i="35"/>
  <c r="N1061" i="35"/>
  <c r="M1061" i="35"/>
  <c r="L1061" i="35"/>
  <c r="V1060" i="35"/>
  <c r="U1060" i="35"/>
  <c r="T1060" i="35"/>
  <c r="O1060" i="35"/>
  <c r="N1060" i="35"/>
  <c r="M1060" i="35"/>
  <c r="L1060" i="35"/>
  <c r="V1059" i="35"/>
  <c r="U1059" i="35"/>
  <c r="T1059" i="35"/>
  <c r="O1059" i="35"/>
  <c r="N1059" i="35"/>
  <c r="M1059" i="35"/>
  <c r="L1059" i="35"/>
  <c r="V1058" i="35"/>
  <c r="U1058" i="35"/>
  <c r="T1058" i="35"/>
  <c r="O1058" i="35"/>
  <c r="N1058" i="35"/>
  <c r="M1058" i="35"/>
  <c r="L1058" i="35"/>
  <c r="V1057" i="35"/>
  <c r="U1057" i="35"/>
  <c r="T1057" i="35"/>
  <c r="O1057" i="35"/>
  <c r="N1057" i="35"/>
  <c r="M1057" i="35"/>
  <c r="L1057" i="35"/>
  <c r="V1056" i="35"/>
  <c r="U1056" i="35"/>
  <c r="T1056" i="35"/>
  <c r="O1056" i="35"/>
  <c r="N1056" i="35"/>
  <c r="M1056" i="35"/>
  <c r="L1056" i="35"/>
  <c r="V1055" i="35"/>
  <c r="U1055" i="35"/>
  <c r="T1055" i="35"/>
  <c r="O1055" i="35"/>
  <c r="N1055" i="35"/>
  <c r="M1055" i="35"/>
  <c r="L1055" i="35"/>
  <c r="V1054" i="35"/>
  <c r="U1054" i="35"/>
  <c r="T1054" i="35"/>
  <c r="O1054" i="35"/>
  <c r="N1054" i="35"/>
  <c r="M1054" i="35"/>
  <c r="L1054" i="35"/>
  <c r="V1053" i="35"/>
  <c r="U1053" i="35"/>
  <c r="T1053" i="35"/>
  <c r="O1053" i="35"/>
  <c r="N1053" i="35"/>
  <c r="M1053" i="35"/>
  <c r="L1053" i="35"/>
  <c r="V1052" i="35"/>
  <c r="U1052" i="35"/>
  <c r="T1052" i="35"/>
  <c r="O1052" i="35"/>
  <c r="N1052" i="35"/>
  <c r="M1052" i="35"/>
  <c r="L1052" i="35"/>
  <c r="V1051" i="35"/>
  <c r="U1051" i="35"/>
  <c r="T1051" i="35"/>
  <c r="O1051" i="35"/>
  <c r="N1051" i="35"/>
  <c r="M1051" i="35"/>
  <c r="L1051" i="35"/>
  <c r="V1050" i="35"/>
  <c r="U1050" i="35"/>
  <c r="T1050" i="35"/>
  <c r="O1050" i="35"/>
  <c r="N1050" i="35"/>
  <c r="M1050" i="35"/>
  <c r="L1050" i="35"/>
  <c r="V1049" i="35"/>
  <c r="U1049" i="35"/>
  <c r="T1049" i="35"/>
  <c r="O1049" i="35"/>
  <c r="N1049" i="35"/>
  <c r="M1049" i="35"/>
  <c r="L1049" i="35"/>
  <c r="V1048" i="35"/>
  <c r="U1048" i="35"/>
  <c r="T1048" i="35"/>
  <c r="O1048" i="35"/>
  <c r="N1048" i="35"/>
  <c r="M1048" i="35"/>
  <c r="L1048" i="35"/>
  <c r="V1047" i="35"/>
  <c r="U1047" i="35"/>
  <c r="T1047" i="35"/>
  <c r="O1047" i="35"/>
  <c r="N1047" i="35"/>
  <c r="M1047" i="35"/>
  <c r="L1047" i="35"/>
  <c r="V1046" i="35"/>
  <c r="U1046" i="35"/>
  <c r="T1046" i="35"/>
  <c r="O1046" i="35"/>
  <c r="N1046" i="35"/>
  <c r="M1046" i="35"/>
  <c r="L1046" i="35"/>
  <c r="V1045" i="35"/>
  <c r="U1045" i="35"/>
  <c r="T1045" i="35"/>
  <c r="O1045" i="35"/>
  <c r="N1045" i="35"/>
  <c r="M1045" i="35"/>
  <c r="L1045" i="35"/>
  <c r="V1044" i="35"/>
  <c r="U1044" i="35"/>
  <c r="T1044" i="35"/>
  <c r="O1044" i="35"/>
  <c r="N1044" i="35"/>
  <c r="M1044" i="35"/>
  <c r="L1044" i="35"/>
  <c r="V1043" i="35"/>
  <c r="U1043" i="35"/>
  <c r="T1043" i="35"/>
  <c r="O1043" i="35"/>
  <c r="N1043" i="35"/>
  <c r="M1043" i="35"/>
  <c r="L1043" i="35"/>
  <c r="V1042" i="35"/>
  <c r="U1042" i="35"/>
  <c r="T1042" i="35"/>
  <c r="O1042" i="35"/>
  <c r="N1042" i="35"/>
  <c r="M1042" i="35"/>
  <c r="L1042" i="35"/>
  <c r="V1041" i="35"/>
  <c r="U1041" i="35"/>
  <c r="T1041" i="35"/>
  <c r="O1041" i="35"/>
  <c r="N1041" i="35"/>
  <c r="M1041" i="35"/>
  <c r="L1041" i="35"/>
  <c r="V1040" i="35"/>
  <c r="U1040" i="35"/>
  <c r="T1040" i="35"/>
  <c r="O1040" i="35"/>
  <c r="N1040" i="35"/>
  <c r="M1040" i="35"/>
  <c r="L1040" i="35"/>
  <c r="V1039" i="35"/>
  <c r="U1039" i="35"/>
  <c r="T1039" i="35"/>
  <c r="O1039" i="35"/>
  <c r="N1039" i="35"/>
  <c r="M1039" i="35"/>
  <c r="L1039" i="35"/>
  <c r="V1038" i="35"/>
  <c r="U1038" i="35"/>
  <c r="T1038" i="35"/>
  <c r="O1038" i="35"/>
  <c r="N1038" i="35"/>
  <c r="M1038" i="35"/>
  <c r="L1038" i="35"/>
  <c r="V1037" i="35"/>
  <c r="U1037" i="35"/>
  <c r="T1037" i="35"/>
  <c r="O1037" i="35"/>
  <c r="N1037" i="35"/>
  <c r="M1037" i="35"/>
  <c r="L1037" i="35"/>
  <c r="V1036" i="35"/>
  <c r="U1036" i="35"/>
  <c r="T1036" i="35"/>
  <c r="O1036" i="35"/>
  <c r="N1036" i="35"/>
  <c r="M1036" i="35"/>
  <c r="L1036" i="35"/>
  <c r="V1035" i="35"/>
  <c r="U1035" i="35"/>
  <c r="T1035" i="35"/>
  <c r="O1035" i="35"/>
  <c r="N1035" i="35"/>
  <c r="M1035" i="35"/>
  <c r="L1035" i="35"/>
  <c r="V1034" i="35"/>
  <c r="U1034" i="35"/>
  <c r="T1034" i="35"/>
  <c r="O1034" i="35"/>
  <c r="N1034" i="35"/>
  <c r="M1034" i="35"/>
  <c r="L1034" i="35"/>
  <c r="V1033" i="35"/>
  <c r="U1033" i="35"/>
  <c r="T1033" i="35"/>
  <c r="O1033" i="35"/>
  <c r="N1033" i="35"/>
  <c r="M1033" i="35"/>
  <c r="L1033" i="35"/>
  <c r="V1032" i="35"/>
  <c r="U1032" i="35"/>
  <c r="T1032" i="35"/>
  <c r="O1032" i="35"/>
  <c r="N1032" i="35"/>
  <c r="M1032" i="35"/>
  <c r="L1032" i="35"/>
  <c r="V1031" i="35"/>
  <c r="U1031" i="35"/>
  <c r="T1031" i="35"/>
  <c r="O1031" i="35"/>
  <c r="N1031" i="35"/>
  <c r="M1031" i="35"/>
  <c r="L1031" i="35"/>
  <c r="V1030" i="35"/>
  <c r="U1030" i="35"/>
  <c r="T1030" i="35"/>
  <c r="O1030" i="35"/>
  <c r="N1030" i="35"/>
  <c r="M1030" i="35"/>
  <c r="L1030" i="35"/>
  <c r="V1029" i="35"/>
  <c r="U1029" i="35"/>
  <c r="T1029" i="35"/>
  <c r="O1029" i="35"/>
  <c r="N1029" i="35"/>
  <c r="M1029" i="35"/>
  <c r="L1029" i="35"/>
  <c r="V1028" i="35"/>
  <c r="U1028" i="35"/>
  <c r="T1028" i="35"/>
  <c r="O1028" i="35"/>
  <c r="N1028" i="35"/>
  <c r="M1028" i="35"/>
  <c r="L1028" i="35"/>
  <c r="V1027" i="35"/>
  <c r="U1027" i="35"/>
  <c r="T1027" i="35"/>
  <c r="O1027" i="35"/>
  <c r="N1027" i="35"/>
  <c r="M1027" i="35"/>
  <c r="L1027" i="35"/>
  <c r="V1026" i="35"/>
  <c r="U1026" i="35"/>
  <c r="T1026" i="35"/>
  <c r="O1026" i="35"/>
  <c r="N1026" i="35"/>
  <c r="M1026" i="35"/>
  <c r="L1026" i="35"/>
  <c r="V1025" i="35"/>
  <c r="U1025" i="35"/>
  <c r="T1025" i="35"/>
  <c r="O1025" i="35"/>
  <c r="N1025" i="35"/>
  <c r="M1025" i="35"/>
  <c r="L1025" i="35"/>
  <c r="V1024" i="35"/>
  <c r="U1024" i="35"/>
  <c r="T1024" i="35"/>
  <c r="O1024" i="35"/>
  <c r="N1024" i="35"/>
  <c r="M1024" i="35"/>
  <c r="L1024" i="35"/>
  <c r="V1023" i="35"/>
  <c r="U1023" i="35"/>
  <c r="T1023" i="35"/>
  <c r="O1023" i="35"/>
  <c r="N1023" i="35"/>
  <c r="M1023" i="35"/>
  <c r="L1023" i="35"/>
  <c r="V1022" i="35"/>
  <c r="U1022" i="35"/>
  <c r="T1022" i="35"/>
  <c r="O1022" i="35"/>
  <c r="N1022" i="35"/>
  <c r="M1022" i="35"/>
  <c r="L1022" i="35"/>
  <c r="V1021" i="35"/>
  <c r="U1021" i="35"/>
  <c r="T1021" i="35"/>
  <c r="O1021" i="35"/>
  <c r="N1021" i="35"/>
  <c r="M1021" i="35"/>
  <c r="L1021" i="35"/>
  <c r="V1020" i="35"/>
  <c r="U1020" i="35"/>
  <c r="T1020" i="35"/>
  <c r="O1020" i="35"/>
  <c r="N1020" i="35"/>
  <c r="M1020" i="35"/>
  <c r="L1020" i="35"/>
  <c r="V1019" i="35"/>
  <c r="U1019" i="35"/>
  <c r="T1019" i="35"/>
  <c r="O1019" i="35"/>
  <c r="N1019" i="35"/>
  <c r="M1019" i="35"/>
  <c r="L1019" i="35"/>
  <c r="V1018" i="35"/>
  <c r="U1018" i="35"/>
  <c r="T1018" i="35"/>
  <c r="O1018" i="35"/>
  <c r="N1018" i="35"/>
  <c r="M1018" i="35"/>
  <c r="L1018" i="35"/>
  <c r="V1017" i="35"/>
  <c r="U1017" i="35"/>
  <c r="T1017" i="35"/>
  <c r="O1017" i="35"/>
  <c r="N1017" i="35"/>
  <c r="M1017" i="35"/>
  <c r="L1017" i="35"/>
  <c r="V1016" i="35"/>
  <c r="U1016" i="35"/>
  <c r="T1016" i="35"/>
  <c r="O1016" i="35"/>
  <c r="N1016" i="35"/>
  <c r="M1016" i="35"/>
  <c r="L1016" i="35"/>
  <c r="V1015" i="35"/>
  <c r="U1015" i="35"/>
  <c r="T1015" i="35"/>
  <c r="O1015" i="35"/>
  <c r="N1015" i="35"/>
  <c r="M1015" i="35"/>
  <c r="L1015" i="35"/>
  <c r="V1014" i="35"/>
  <c r="U1014" i="35"/>
  <c r="T1014" i="35"/>
  <c r="O1014" i="35"/>
  <c r="N1014" i="35"/>
  <c r="M1014" i="35"/>
  <c r="L1014" i="35"/>
  <c r="V1013" i="35"/>
  <c r="U1013" i="35"/>
  <c r="T1013" i="35"/>
  <c r="O1013" i="35"/>
  <c r="N1013" i="35"/>
  <c r="M1013" i="35"/>
  <c r="L1013" i="35"/>
  <c r="V1012" i="35"/>
  <c r="U1012" i="35"/>
  <c r="T1012" i="35"/>
  <c r="O1012" i="35"/>
  <c r="N1012" i="35"/>
  <c r="M1012" i="35"/>
  <c r="L1012" i="35"/>
  <c r="V1011" i="35"/>
  <c r="U1011" i="35"/>
  <c r="T1011" i="35"/>
  <c r="O1011" i="35"/>
  <c r="N1011" i="35"/>
  <c r="M1011" i="35"/>
  <c r="L1011" i="35"/>
  <c r="V1010" i="35"/>
  <c r="U1010" i="35"/>
  <c r="T1010" i="35"/>
  <c r="O1010" i="35"/>
  <c r="N1010" i="35"/>
  <c r="M1010" i="35"/>
  <c r="L1010" i="35"/>
  <c r="V1009" i="35"/>
  <c r="U1009" i="35"/>
  <c r="T1009" i="35"/>
  <c r="O1009" i="35"/>
  <c r="N1009" i="35"/>
  <c r="M1009" i="35"/>
  <c r="L1009" i="35"/>
  <c r="V1008" i="35"/>
  <c r="U1008" i="35"/>
  <c r="T1008" i="35"/>
  <c r="O1008" i="35"/>
  <c r="N1008" i="35"/>
  <c r="M1008" i="35"/>
  <c r="L1008" i="35"/>
  <c r="V1007" i="35"/>
  <c r="U1007" i="35"/>
  <c r="T1007" i="35"/>
  <c r="O1007" i="35"/>
  <c r="N1007" i="35"/>
  <c r="M1007" i="35"/>
  <c r="L1007" i="35"/>
  <c r="V1006" i="35"/>
  <c r="U1006" i="35"/>
  <c r="T1006" i="35"/>
  <c r="O1006" i="35"/>
  <c r="N1006" i="35"/>
  <c r="M1006" i="35"/>
  <c r="L1006" i="35"/>
  <c r="V1005" i="35"/>
  <c r="U1005" i="35"/>
  <c r="T1005" i="35"/>
  <c r="O1005" i="35"/>
  <c r="N1005" i="35"/>
  <c r="M1005" i="35"/>
  <c r="L1005" i="35"/>
  <c r="V1004" i="35"/>
  <c r="U1004" i="35"/>
  <c r="T1004" i="35"/>
  <c r="O1004" i="35"/>
  <c r="N1004" i="35"/>
  <c r="M1004" i="35"/>
  <c r="L1004" i="35"/>
  <c r="V1003" i="35"/>
  <c r="U1003" i="35"/>
  <c r="T1003" i="35"/>
  <c r="O1003" i="35"/>
  <c r="N1003" i="35"/>
  <c r="M1003" i="35"/>
  <c r="L1003" i="35"/>
  <c r="V1002" i="35"/>
  <c r="U1002" i="35"/>
  <c r="T1002" i="35"/>
  <c r="O1002" i="35"/>
  <c r="N1002" i="35"/>
  <c r="M1002" i="35"/>
  <c r="L1002" i="35"/>
  <c r="V1001" i="35"/>
  <c r="U1001" i="35"/>
  <c r="T1001" i="35"/>
  <c r="O1001" i="35"/>
  <c r="N1001" i="35"/>
  <c r="M1001" i="35"/>
  <c r="L1001" i="35"/>
  <c r="V1000" i="35"/>
  <c r="U1000" i="35"/>
  <c r="T1000" i="35"/>
  <c r="O1000" i="35"/>
  <c r="N1000" i="35"/>
  <c r="M1000" i="35"/>
  <c r="L1000" i="35"/>
  <c r="V999" i="35"/>
  <c r="U999" i="35"/>
  <c r="T999" i="35"/>
  <c r="O999" i="35"/>
  <c r="N999" i="35"/>
  <c r="M999" i="35"/>
  <c r="L999" i="35"/>
  <c r="V998" i="35"/>
  <c r="U998" i="35"/>
  <c r="T998" i="35"/>
  <c r="O998" i="35"/>
  <c r="N998" i="35"/>
  <c r="M998" i="35"/>
  <c r="L998" i="35"/>
  <c r="V997" i="35"/>
  <c r="U997" i="35"/>
  <c r="T997" i="35"/>
  <c r="O997" i="35"/>
  <c r="N997" i="35"/>
  <c r="M997" i="35"/>
  <c r="L997" i="35"/>
  <c r="V996" i="35"/>
  <c r="U996" i="35"/>
  <c r="T996" i="35"/>
  <c r="O996" i="35"/>
  <c r="N996" i="35"/>
  <c r="M996" i="35"/>
  <c r="L996" i="35"/>
  <c r="V995" i="35"/>
  <c r="U995" i="35"/>
  <c r="T995" i="35"/>
  <c r="O995" i="35"/>
  <c r="N995" i="35"/>
  <c r="M995" i="35"/>
  <c r="L995" i="35"/>
  <c r="V994" i="35"/>
  <c r="U994" i="35"/>
  <c r="T994" i="35"/>
  <c r="O994" i="35"/>
  <c r="N994" i="35"/>
  <c r="M994" i="35"/>
  <c r="L994" i="35"/>
  <c r="V993" i="35"/>
  <c r="U993" i="35"/>
  <c r="T993" i="35"/>
  <c r="O993" i="35"/>
  <c r="N993" i="35"/>
  <c r="M993" i="35"/>
  <c r="L993" i="35"/>
  <c r="V992" i="35"/>
  <c r="U992" i="35"/>
  <c r="T992" i="35"/>
  <c r="O992" i="35"/>
  <c r="N992" i="35"/>
  <c r="M992" i="35"/>
  <c r="L992" i="35"/>
  <c r="V991" i="35"/>
  <c r="U991" i="35"/>
  <c r="T991" i="35"/>
  <c r="O991" i="35"/>
  <c r="N991" i="35"/>
  <c r="M991" i="35"/>
  <c r="L991" i="35"/>
  <c r="V990" i="35"/>
  <c r="U990" i="35"/>
  <c r="T990" i="35"/>
  <c r="O990" i="35"/>
  <c r="N990" i="35"/>
  <c r="M990" i="35"/>
  <c r="L990" i="35"/>
  <c r="V989" i="35"/>
  <c r="U989" i="35"/>
  <c r="T989" i="35"/>
  <c r="O989" i="35"/>
  <c r="N989" i="35"/>
  <c r="M989" i="35"/>
  <c r="L989" i="35"/>
  <c r="V988" i="35"/>
  <c r="U988" i="35"/>
  <c r="T988" i="35"/>
  <c r="O988" i="35"/>
  <c r="N988" i="35"/>
  <c r="M988" i="35"/>
  <c r="L988" i="35"/>
  <c r="V987" i="35"/>
  <c r="U987" i="35"/>
  <c r="T987" i="35"/>
  <c r="O987" i="35"/>
  <c r="N987" i="35"/>
  <c r="M987" i="35"/>
  <c r="L987" i="35"/>
  <c r="V986" i="35"/>
  <c r="U986" i="35"/>
  <c r="T986" i="35"/>
  <c r="O986" i="35"/>
  <c r="N986" i="35"/>
  <c r="M986" i="35"/>
  <c r="L986" i="35"/>
  <c r="V985" i="35"/>
  <c r="U985" i="35"/>
  <c r="T985" i="35"/>
  <c r="O985" i="35"/>
  <c r="N985" i="35"/>
  <c r="M985" i="35"/>
  <c r="L985" i="35"/>
  <c r="V984" i="35"/>
  <c r="U984" i="35"/>
  <c r="T984" i="35"/>
  <c r="O984" i="35"/>
  <c r="N984" i="35"/>
  <c r="M984" i="35"/>
  <c r="L984" i="35"/>
  <c r="V983" i="35"/>
  <c r="U983" i="35"/>
  <c r="T983" i="35"/>
  <c r="O983" i="35"/>
  <c r="N983" i="35"/>
  <c r="M983" i="35"/>
  <c r="L983" i="35"/>
  <c r="V982" i="35"/>
  <c r="U982" i="35"/>
  <c r="T982" i="35"/>
  <c r="O982" i="35"/>
  <c r="N982" i="35"/>
  <c r="M982" i="35"/>
  <c r="L982" i="35"/>
  <c r="V981" i="35"/>
  <c r="U981" i="35"/>
  <c r="T981" i="35"/>
  <c r="O981" i="35"/>
  <c r="N981" i="35"/>
  <c r="M981" i="35"/>
  <c r="L981" i="35"/>
  <c r="V980" i="35"/>
  <c r="U980" i="35"/>
  <c r="T980" i="35"/>
  <c r="O980" i="35"/>
  <c r="N980" i="35"/>
  <c r="M980" i="35"/>
  <c r="L980" i="35"/>
  <c r="V979" i="35"/>
  <c r="U979" i="35"/>
  <c r="T979" i="35"/>
  <c r="O979" i="35"/>
  <c r="N979" i="35"/>
  <c r="M979" i="35"/>
  <c r="L979" i="35"/>
  <c r="V978" i="35"/>
  <c r="U978" i="35"/>
  <c r="T978" i="35"/>
  <c r="O978" i="35"/>
  <c r="N978" i="35"/>
  <c r="M978" i="35"/>
  <c r="L978" i="35"/>
  <c r="V977" i="35"/>
  <c r="U977" i="35"/>
  <c r="T977" i="35"/>
  <c r="O977" i="35"/>
  <c r="N977" i="35"/>
  <c r="M977" i="35"/>
  <c r="L977" i="35"/>
  <c r="V976" i="35"/>
  <c r="U976" i="35"/>
  <c r="T976" i="35"/>
  <c r="O976" i="35"/>
  <c r="N976" i="35"/>
  <c r="M976" i="35"/>
  <c r="L976" i="35"/>
  <c r="V975" i="35"/>
  <c r="U975" i="35"/>
  <c r="T975" i="35"/>
  <c r="O975" i="35"/>
  <c r="N975" i="35"/>
  <c r="M975" i="35"/>
  <c r="L975" i="35"/>
  <c r="V974" i="35"/>
  <c r="U974" i="35"/>
  <c r="T974" i="35"/>
  <c r="O974" i="35"/>
  <c r="N974" i="35"/>
  <c r="M974" i="35"/>
  <c r="L974" i="35"/>
  <c r="V973" i="35"/>
  <c r="U973" i="35"/>
  <c r="T973" i="35"/>
  <c r="O973" i="35"/>
  <c r="N973" i="35"/>
  <c r="M973" i="35"/>
  <c r="L973" i="35"/>
  <c r="V972" i="35"/>
  <c r="U972" i="35"/>
  <c r="T972" i="35"/>
  <c r="O972" i="35"/>
  <c r="N972" i="35"/>
  <c r="M972" i="35"/>
  <c r="L972" i="35"/>
  <c r="V971" i="35"/>
  <c r="U971" i="35"/>
  <c r="T971" i="35"/>
  <c r="O971" i="35"/>
  <c r="N971" i="35"/>
  <c r="M971" i="35"/>
  <c r="L971" i="35"/>
  <c r="V970" i="35"/>
  <c r="U970" i="35"/>
  <c r="T970" i="35"/>
  <c r="O970" i="35"/>
  <c r="N970" i="35"/>
  <c r="M970" i="35"/>
  <c r="L970" i="35"/>
  <c r="V969" i="35"/>
  <c r="U969" i="35"/>
  <c r="T969" i="35"/>
  <c r="O969" i="35"/>
  <c r="N969" i="35"/>
  <c r="M969" i="35"/>
  <c r="L969" i="35"/>
  <c r="V968" i="35"/>
  <c r="U968" i="35"/>
  <c r="T968" i="35"/>
  <c r="O968" i="35"/>
  <c r="N968" i="35"/>
  <c r="M968" i="35"/>
  <c r="L968" i="35"/>
  <c r="V967" i="35"/>
  <c r="U967" i="35"/>
  <c r="T967" i="35"/>
  <c r="O967" i="35"/>
  <c r="N967" i="35"/>
  <c r="M967" i="35"/>
  <c r="L967" i="35"/>
  <c r="V966" i="35"/>
  <c r="U966" i="35"/>
  <c r="T966" i="35"/>
  <c r="O966" i="35"/>
  <c r="N966" i="35"/>
  <c r="M966" i="35"/>
  <c r="L966" i="35"/>
  <c r="V965" i="35"/>
  <c r="U965" i="35"/>
  <c r="T965" i="35"/>
  <c r="O965" i="35"/>
  <c r="N965" i="35"/>
  <c r="M965" i="35"/>
  <c r="L965" i="35"/>
  <c r="V964" i="35"/>
  <c r="U964" i="35"/>
  <c r="T964" i="35"/>
  <c r="O964" i="35"/>
  <c r="N964" i="35"/>
  <c r="M964" i="35"/>
  <c r="L964" i="35"/>
  <c r="V963" i="35"/>
  <c r="U963" i="35"/>
  <c r="T963" i="35"/>
  <c r="O963" i="35"/>
  <c r="N963" i="35"/>
  <c r="M963" i="35"/>
  <c r="L963" i="35"/>
  <c r="V962" i="35"/>
  <c r="U962" i="35"/>
  <c r="T962" i="35"/>
  <c r="O962" i="35"/>
  <c r="N962" i="35"/>
  <c r="M962" i="35"/>
  <c r="L962" i="35"/>
  <c r="V961" i="35"/>
  <c r="U961" i="35"/>
  <c r="T961" i="35"/>
  <c r="O961" i="35"/>
  <c r="N961" i="35"/>
  <c r="M961" i="35"/>
  <c r="L961" i="35"/>
  <c r="V960" i="35"/>
  <c r="U960" i="35"/>
  <c r="T960" i="35"/>
  <c r="O960" i="35"/>
  <c r="N960" i="35"/>
  <c r="M960" i="35"/>
  <c r="L960" i="35"/>
  <c r="V959" i="35"/>
  <c r="U959" i="35"/>
  <c r="T959" i="35"/>
  <c r="O959" i="35"/>
  <c r="N959" i="35"/>
  <c r="M959" i="35"/>
  <c r="L959" i="35"/>
  <c r="V958" i="35"/>
  <c r="U958" i="35"/>
  <c r="T958" i="35"/>
  <c r="O958" i="35"/>
  <c r="N958" i="35"/>
  <c r="M958" i="35"/>
  <c r="L958" i="35"/>
  <c r="V957" i="35"/>
  <c r="U957" i="35"/>
  <c r="T957" i="35"/>
  <c r="O957" i="35"/>
  <c r="N957" i="35"/>
  <c r="M957" i="35"/>
  <c r="L957" i="35"/>
  <c r="V956" i="35"/>
  <c r="U956" i="35"/>
  <c r="T956" i="35"/>
  <c r="O956" i="35"/>
  <c r="N956" i="35"/>
  <c r="M956" i="35"/>
  <c r="L956" i="35"/>
  <c r="V955" i="35"/>
  <c r="U955" i="35"/>
  <c r="T955" i="35"/>
  <c r="O955" i="35"/>
  <c r="N955" i="35"/>
  <c r="M955" i="35"/>
  <c r="L955" i="35"/>
  <c r="V954" i="35"/>
  <c r="U954" i="35"/>
  <c r="T954" i="35"/>
  <c r="O954" i="35"/>
  <c r="N954" i="35"/>
  <c r="M954" i="35"/>
  <c r="L954" i="35"/>
  <c r="V953" i="35"/>
  <c r="U953" i="35"/>
  <c r="T953" i="35"/>
  <c r="O953" i="35"/>
  <c r="N953" i="35"/>
  <c r="M953" i="35"/>
  <c r="L953" i="35"/>
  <c r="V952" i="35"/>
  <c r="U952" i="35"/>
  <c r="T952" i="35"/>
  <c r="O952" i="35"/>
  <c r="N952" i="35"/>
  <c r="M952" i="35"/>
  <c r="L952" i="35"/>
  <c r="V951" i="35"/>
  <c r="U951" i="35"/>
  <c r="T951" i="35"/>
  <c r="O951" i="35"/>
  <c r="N951" i="35"/>
  <c r="M951" i="35"/>
  <c r="L951" i="35"/>
  <c r="V950" i="35"/>
  <c r="U950" i="35"/>
  <c r="T950" i="35"/>
  <c r="O950" i="35"/>
  <c r="N950" i="35"/>
  <c r="M950" i="35"/>
  <c r="L950" i="35"/>
  <c r="V949" i="35"/>
  <c r="U949" i="35"/>
  <c r="T949" i="35"/>
  <c r="O949" i="35"/>
  <c r="N949" i="35"/>
  <c r="M949" i="35"/>
  <c r="L949" i="35"/>
  <c r="V948" i="35"/>
  <c r="U948" i="35"/>
  <c r="T948" i="35"/>
  <c r="O948" i="35"/>
  <c r="N948" i="35"/>
  <c r="M948" i="35"/>
  <c r="L948" i="35"/>
  <c r="V947" i="35"/>
  <c r="U947" i="35"/>
  <c r="T947" i="35"/>
  <c r="O947" i="35"/>
  <c r="N947" i="35"/>
  <c r="M947" i="35"/>
  <c r="L947" i="35"/>
  <c r="V946" i="35"/>
  <c r="U946" i="35"/>
  <c r="T946" i="35"/>
  <c r="O946" i="35"/>
  <c r="N946" i="35"/>
  <c r="M946" i="35"/>
  <c r="L946" i="35"/>
  <c r="V945" i="35"/>
  <c r="U945" i="35"/>
  <c r="T945" i="35"/>
  <c r="O945" i="35"/>
  <c r="N945" i="35"/>
  <c r="M945" i="35"/>
  <c r="L945" i="35"/>
  <c r="V944" i="35"/>
  <c r="U944" i="35"/>
  <c r="T944" i="35"/>
  <c r="O944" i="35"/>
  <c r="N944" i="35"/>
  <c r="M944" i="35"/>
  <c r="L944" i="35"/>
  <c r="V943" i="35"/>
  <c r="U943" i="35"/>
  <c r="T943" i="35"/>
  <c r="O943" i="35"/>
  <c r="N943" i="35"/>
  <c r="M943" i="35"/>
  <c r="L943" i="35"/>
  <c r="V942" i="35"/>
  <c r="U942" i="35"/>
  <c r="T942" i="35"/>
  <c r="O942" i="35"/>
  <c r="N942" i="35"/>
  <c r="M942" i="35"/>
  <c r="L942" i="35"/>
  <c r="V941" i="35"/>
  <c r="U941" i="35"/>
  <c r="T941" i="35"/>
  <c r="O941" i="35"/>
  <c r="N941" i="35"/>
  <c r="M941" i="35"/>
  <c r="L941" i="35"/>
  <c r="V940" i="35"/>
  <c r="U940" i="35"/>
  <c r="T940" i="35"/>
  <c r="O940" i="35"/>
  <c r="N940" i="35"/>
  <c r="M940" i="35"/>
  <c r="L940" i="35"/>
  <c r="V939" i="35"/>
  <c r="U939" i="35"/>
  <c r="T939" i="35"/>
  <c r="O939" i="35"/>
  <c r="N939" i="35"/>
  <c r="M939" i="35"/>
  <c r="L939" i="35"/>
  <c r="V938" i="35"/>
  <c r="U938" i="35"/>
  <c r="T938" i="35"/>
  <c r="O938" i="35"/>
  <c r="N938" i="35"/>
  <c r="M938" i="35"/>
  <c r="L938" i="35"/>
  <c r="V937" i="35"/>
  <c r="U937" i="35"/>
  <c r="T937" i="35"/>
  <c r="O937" i="35"/>
  <c r="N937" i="35"/>
  <c r="M937" i="35"/>
  <c r="L937" i="35"/>
  <c r="V936" i="35"/>
  <c r="U936" i="35"/>
  <c r="T936" i="35"/>
  <c r="O936" i="35"/>
  <c r="N936" i="35"/>
  <c r="M936" i="35"/>
  <c r="L936" i="35"/>
  <c r="V935" i="35"/>
  <c r="U935" i="35"/>
  <c r="T935" i="35"/>
  <c r="O935" i="35"/>
  <c r="N935" i="35"/>
  <c r="M935" i="35"/>
  <c r="L935" i="35"/>
  <c r="V934" i="35"/>
  <c r="U934" i="35"/>
  <c r="T934" i="35"/>
  <c r="O934" i="35"/>
  <c r="N934" i="35"/>
  <c r="M934" i="35"/>
  <c r="L934" i="35"/>
  <c r="V933" i="35"/>
  <c r="U933" i="35"/>
  <c r="T933" i="35"/>
  <c r="O933" i="35"/>
  <c r="N933" i="35"/>
  <c r="M933" i="35"/>
  <c r="L933" i="35"/>
  <c r="V932" i="35"/>
  <c r="U932" i="35"/>
  <c r="T932" i="35"/>
  <c r="O932" i="35"/>
  <c r="N932" i="35"/>
  <c r="M932" i="35"/>
  <c r="L932" i="35"/>
  <c r="V931" i="35"/>
  <c r="U931" i="35"/>
  <c r="T931" i="35"/>
  <c r="O931" i="35"/>
  <c r="N931" i="35"/>
  <c r="M931" i="35"/>
  <c r="L931" i="35"/>
  <c r="V930" i="35"/>
  <c r="U930" i="35"/>
  <c r="T930" i="35"/>
  <c r="O930" i="35"/>
  <c r="N930" i="35"/>
  <c r="M930" i="35"/>
  <c r="L930" i="35"/>
  <c r="V929" i="35"/>
  <c r="U929" i="35"/>
  <c r="T929" i="35"/>
  <c r="O929" i="35"/>
  <c r="N929" i="35"/>
  <c r="M929" i="35"/>
  <c r="L929" i="35"/>
  <c r="V928" i="35"/>
  <c r="U928" i="35"/>
  <c r="T928" i="35"/>
  <c r="O928" i="35"/>
  <c r="N928" i="35"/>
  <c r="M928" i="35"/>
  <c r="L928" i="35"/>
  <c r="V927" i="35"/>
  <c r="U927" i="35"/>
  <c r="T927" i="35"/>
  <c r="O927" i="35"/>
  <c r="N927" i="35"/>
  <c r="M927" i="35"/>
  <c r="L927" i="35"/>
  <c r="V926" i="35"/>
  <c r="U926" i="35"/>
  <c r="T926" i="35"/>
  <c r="O926" i="35"/>
  <c r="N926" i="35"/>
  <c r="M926" i="35"/>
  <c r="L926" i="35"/>
  <c r="V925" i="35"/>
  <c r="U925" i="35"/>
  <c r="T925" i="35"/>
  <c r="O925" i="35"/>
  <c r="N925" i="35"/>
  <c r="M925" i="35"/>
  <c r="L925" i="35"/>
  <c r="V924" i="35"/>
  <c r="U924" i="35"/>
  <c r="T924" i="35"/>
  <c r="O924" i="35"/>
  <c r="N924" i="35"/>
  <c r="M924" i="35"/>
  <c r="L924" i="35"/>
  <c r="V923" i="35"/>
  <c r="U923" i="35"/>
  <c r="T923" i="35"/>
  <c r="O923" i="35"/>
  <c r="N923" i="35"/>
  <c r="M923" i="35"/>
  <c r="L923" i="35"/>
  <c r="V922" i="35"/>
  <c r="U922" i="35"/>
  <c r="T922" i="35"/>
  <c r="O922" i="35"/>
  <c r="N922" i="35"/>
  <c r="M922" i="35"/>
  <c r="L922" i="35"/>
  <c r="V921" i="35"/>
  <c r="U921" i="35"/>
  <c r="T921" i="35"/>
  <c r="O921" i="35"/>
  <c r="N921" i="35"/>
  <c r="M921" i="35"/>
  <c r="L921" i="35"/>
  <c r="V920" i="35"/>
  <c r="U920" i="35"/>
  <c r="T920" i="35"/>
  <c r="O920" i="35"/>
  <c r="N920" i="35"/>
  <c r="M920" i="35"/>
  <c r="L920" i="35"/>
  <c r="V919" i="35"/>
  <c r="U919" i="35"/>
  <c r="T919" i="35"/>
  <c r="O919" i="35"/>
  <c r="N919" i="35"/>
  <c r="M919" i="35"/>
  <c r="L919" i="35"/>
  <c r="V918" i="35"/>
  <c r="U918" i="35"/>
  <c r="T918" i="35"/>
  <c r="O918" i="35"/>
  <c r="N918" i="35"/>
  <c r="M918" i="35"/>
  <c r="L918" i="35"/>
  <c r="V917" i="35"/>
  <c r="U917" i="35"/>
  <c r="T917" i="35"/>
  <c r="O917" i="35"/>
  <c r="N917" i="35"/>
  <c r="M917" i="35"/>
  <c r="L917" i="35"/>
  <c r="V916" i="35"/>
  <c r="U916" i="35"/>
  <c r="T916" i="35"/>
  <c r="O916" i="35"/>
  <c r="N916" i="35"/>
  <c r="M916" i="35"/>
  <c r="L916" i="35"/>
  <c r="V915" i="35"/>
  <c r="U915" i="35"/>
  <c r="T915" i="35"/>
  <c r="O915" i="35"/>
  <c r="N915" i="35"/>
  <c r="M915" i="35"/>
  <c r="L915" i="35"/>
  <c r="V914" i="35"/>
  <c r="U914" i="35"/>
  <c r="T914" i="35"/>
  <c r="O914" i="35"/>
  <c r="N914" i="35"/>
  <c r="M914" i="35"/>
  <c r="L914" i="35"/>
  <c r="V913" i="35"/>
  <c r="U913" i="35"/>
  <c r="T913" i="35"/>
  <c r="O913" i="35"/>
  <c r="N913" i="35"/>
  <c r="M913" i="35"/>
  <c r="L913" i="35"/>
  <c r="V912" i="35"/>
  <c r="U912" i="35"/>
  <c r="T912" i="35"/>
  <c r="O912" i="35"/>
  <c r="N912" i="35"/>
  <c r="M912" i="35"/>
  <c r="L912" i="35"/>
  <c r="V911" i="35"/>
  <c r="U911" i="35"/>
  <c r="T911" i="35"/>
  <c r="O911" i="35"/>
  <c r="N911" i="35"/>
  <c r="M911" i="35"/>
  <c r="L911" i="35"/>
  <c r="V910" i="35"/>
  <c r="U910" i="35"/>
  <c r="T910" i="35"/>
  <c r="O910" i="35"/>
  <c r="N910" i="35"/>
  <c r="M910" i="35"/>
  <c r="L910" i="35"/>
  <c r="V909" i="35"/>
  <c r="U909" i="35"/>
  <c r="T909" i="35"/>
  <c r="O909" i="35"/>
  <c r="N909" i="35"/>
  <c r="M909" i="35"/>
  <c r="L909" i="35"/>
  <c r="V908" i="35"/>
  <c r="U908" i="35"/>
  <c r="T908" i="35"/>
  <c r="O908" i="35"/>
  <c r="N908" i="35"/>
  <c r="M908" i="35"/>
  <c r="L908" i="35"/>
  <c r="V907" i="35"/>
  <c r="U907" i="35"/>
  <c r="T907" i="35"/>
  <c r="O907" i="35"/>
  <c r="N907" i="35"/>
  <c r="M907" i="35"/>
  <c r="L907" i="35"/>
  <c r="V906" i="35"/>
  <c r="U906" i="35"/>
  <c r="T906" i="35"/>
  <c r="O906" i="35"/>
  <c r="N906" i="35"/>
  <c r="M906" i="35"/>
  <c r="L906" i="35"/>
  <c r="V905" i="35"/>
  <c r="U905" i="35"/>
  <c r="T905" i="35"/>
  <c r="O905" i="35"/>
  <c r="N905" i="35"/>
  <c r="M905" i="35"/>
  <c r="L905" i="35"/>
  <c r="V904" i="35"/>
  <c r="U904" i="35"/>
  <c r="T904" i="35"/>
  <c r="O904" i="35"/>
  <c r="N904" i="35"/>
  <c r="M904" i="35"/>
  <c r="L904" i="35"/>
  <c r="V903" i="35"/>
  <c r="U903" i="35"/>
  <c r="T903" i="35"/>
  <c r="O903" i="35"/>
  <c r="N903" i="35"/>
  <c r="M903" i="35"/>
  <c r="L903" i="35"/>
  <c r="V902" i="35"/>
  <c r="U902" i="35"/>
  <c r="T902" i="35"/>
  <c r="O902" i="35"/>
  <c r="N902" i="35"/>
  <c r="M902" i="35"/>
  <c r="L902" i="35"/>
  <c r="V901" i="35"/>
  <c r="U901" i="35"/>
  <c r="T901" i="35"/>
  <c r="O901" i="35"/>
  <c r="N901" i="35"/>
  <c r="M901" i="35"/>
  <c r="L901" i="35"/>
  <c r="V900" i="35"/>
  <c r="U900" i="35"/>
  <c r="T900" i="35"/>
  <c r="O900" i="35"/>
  <c r="N900" i="35"/>
  <c r="M900" i="35"/>
  <c r="L900" i="35"/>
  <c r="V899" i="35"/>
  <c r="U899" i="35"/>
  <c r="T899" i="35"/>
  <c r="O899" i="35"/>
  <c r="N899" i="35"/>
  <c r="M899" i="35"/>
  <c r="L899" i="35"/>
  <c r="V898" i="35"/>
  <c r="U898" i="35"/>
  <c r="T898" i="35"/>
  <c r="O898" i="35"/>
  <c r="N898" i="35"/>
  <c r="M898" i="35"/>
  <c r="L898" i="35"/>
  <c r="V897" i="35"/>
  <c r="U897" i="35"/>
  <c r="T897" i="35"/>
  <c r="O897" i="35"/>
  <c r="N897" i="35"/>
  <c r="M897" i="35"/>
  <c r="L897" i="35"/>
  <c r="V896" i="35"/>
  <c r="U896" i="35"/>
  <c r="T896" i="35"/>
  <c r="O896" i="35"/>
  <c r="N896" i="35"/>
  <c r="M896" i="35"/>
  <c r="L896" i="35"/>
  <c r="V895" i="35"/>
  <c r="U895" i="35"/>
  <c r="T895" i="35"/>
  <c r="O895" i="35"/>
  <c r="N895" i="35"/>
  <c r="M895" i="35"/>
  <c r="L895" i="35"/>
  <c r="V894" i="35"/>
  <c r="U894" i="35"/>
  <c r="T894" i="35"/>
  <c r="O894" i="35"/>
  <c r="N894" i="35"/>
  <c r="M894" i="35"/>
  <c r="L894" i="35"/>
  <c r="V893" i="35"/>
  <c r="U893" i="35"/>
  <c r="T893" i="35"/>
  <c r="O893" i="35"/>
  <c r="N893" i="35"/>
  <c r="M893" i="35"/>
  <c r="L893" i="35"/>
  <c r="V892" i="35"/>
  <c r="U892" i="35"/>
  <c r="T892" i="35"/>
  <c r="O892" i="35"/>
  <c r="N892" i="35"/>
  <c r="M892" i="35"/>
  <c r="L892" i="35"/>
  <c r="V891" i="35"/>
  <c r="U891" i="35"/>
  <c r="T891" i="35"/>
  <c r="O891" i="35"/>
  <c r="N891" i="35"/>
  <c r="M891" i="35"/>
  <c r="L891" i="35"/>
  <c r="V890" i="35"/>
  <c r="U890" i="35"/>
  <c r="T890" i="35"/>
  <c r="O890" i="35"/>
  <c r="N890" i="35"/>
  <c r="M890" i="35"/>
  <c r="L890" i="35"/>
  <c r="V889" i="35"/>
  <c r="U889" i="35"/>
  <c r="T889" i="35"/>
  <c r="O889" i="35"/>
  <c r="N889" i="35"/>
  <c r="M889" i="35"/>
  <c r="L889" i="35"/>
  <c r="V888" i="35"/>
  <c r="U888" i="35"/>
  <c r="T888" i="35"/>
  <c r="O888" i="35"/>
  <c r="N888" i="35"/>
  <c r="M888" i="35"/>
  <c r="L888" i="35"/>
  <c r="V887" i="35"/>
  <c r="U887" i="35"/>
  <c r="T887" i="35"/>
  <c r="O887" i="35"/>
  <c r="N887" i="35"/>
  <c r="M887" i="35"/>
  <c r="L887" i="35"/>
  <c r="V886" i="35"/>
  <c r="U886" i="35"/>
  <c r="T886" i="35"/>
  <c r="O886" i="35"/>
  <c r="N886" i="35"/>
  <c r="M886" i="35"/>
  <c r="L886" i="35"/>
  <c r="V885" i="35"/>
  <c r="U885" i="35"/>
  <c r="T885" i="35"/>
  <c r="O885" i="35"/>
  <c r="N885" i="35"/>
  <c r="M885" i="35"/>
  <c r="L885" i="35"/>
  <c r="V884" i="35"/>
  <c r="U884" i="35"/>
  <c r="T884" i="35"/>
  <c r="O884" i="35"/>
  <c r="N884" i="35"/>
  <c r="M884" i="35"/>
  <c r="L884" i="35"/>
  <c r="V883" i="35"/>
  <c r="U883" i="35"/>
  <c r="T883" i="35"/>
  <c r="O883" i="35"/>
  <c r="N883" i="35"/>
  <c r="M883" i="35"/>
  <c r="L883" i="35"/>
  <c r="V882" i="35"/>
  <c r="U882" i="35"/>
  <c r="T882" i="35"/>
  <c r="O882" i="35"/>
  <c r="N882" i="35"/>
  <c r="M882" i="35"/>
  <c r="L882" i="35"/>
  <c r="V881" i="35"/>
  <c r="U881" i="35"/>
  <c r="T881" i="35"/>
  <c r="O881" i="35"/>
  <c r="N881" i="35"/>
  <c r="M881" i="35"/>
  <c r="L881" i="35"/>
  <c r="V880" i="35"/>
  <c r="U880" i="35"/>
  <c r="T880" i="35"/>
  <c r="O880" i="35"/>
  <c r="N880" i="35"/>
  <c r="M880" i="35"/>
  <c r="L880" i="35"/>
  <c r="V879" i="35"/>
  <c r="U879" i="35"/>
  <c r="T879" i="35"/>
  <c r="O879" i="35"/>
  <c r="N879" i="35"/>
  <c r="M879" i="35"/>
  <c r="L879" i="35"/>
  <c r="V878" i="35"/>
  <c r="U878" i="35"/>
  <c r="T878" i="35"/>
  <c r="O878" i="35"/>
  <c r="N878" i="35"/>
  <c r="M878" i="35"/>
  <c r="L878" i="35"/>
  <c r="V877" i="35"/>
  <c r="U877" i="35"/>
  <c r="T877" i="35"/>
  <c r="O877" i="35"/>
  <c r="N877" i="35"/>
  <c r="M877" i="35"/>
  <c r="L877" i="35"/>
  <c r="V876" i="35"/>
  <c r="U876" i="35"/>
  <c r="T876" i="35"/>
  <c r="O876" i="35"/>
  <c r="N876" i="35"/>
  <c r="M876" i="35"/>
  <c r="L876" i="35"/>
  <c r="V875" i="35"/>
  <c r="U875" i="35"/>
  <c r="T875" i="35"/>
  <c r="O875" i="35"/>
  <c r="N875" i="35"/>
  <c r="M875" i="35"/>
  <c r="L875" i="35"/>
  <c r="V874" i="35"/>
  <c r="U874" i="35"/>
  <c r="T874" i="35"/>
  <c r="O874" i="35"/>
  <c r="N874" i="35"/>
  <c r="M874" i="35"/>
  <c r="L874" i="35"/>
  <c r="V873" i="35"/>
  <c r="U873" i="35"/>
  <c r="T873" i="35"/>
  <c r="O873" i="35"/>
  <c r="N873" i="35"/>
  <c r="M873" i="35"/>
  <c r="L873" i="35"/>
  <c r="V872" i="35"/>
  <c r="U872" i="35"/>
  <c r="T872" i="35"/>
  <c r="O872" i="35"/>
  <c r="N872" i="35"/>
  <c r="M872" i="35"/>
  <c r="L872" i="35"/>
  <c r="V871" i="35"/>
  <c r="U871" i="35"/>
  <c r="T871" i="35"/>
  <c r="O871" i="35"/>
  <c r="N871" i="35"/>
  <c r="M871" i="35"/>
  <c r="L871" i="35"/>
  <c r="V870" i="35"/>
  <c r="U870" i="35"/>
  <c r="T870" i="35"/>
  <c r="O870" i="35"/>
  <c r="N870" i="35"/>
  <c r="M870" i="35"/>
  <c r="L870" i="35"/>
  <c r="V869" i="35"/>
  <c r="U869" i="35"/>
  <c r="T869" i="35"/>
  <c r="O869" i="35"/>
  <c r="N869" i="35"/>
  <c r="M869" i="35"/>
  <c r="L869" i="35"/>
  <c r="V868" i="35"/>
  <c r="U868" i="35"/>
  <c r="T868" i="35"/>
  <c r="O868" i="35"/>
  <c r="N868" i="35"/>
  <c r="M868" i="35"/>
  <c r="L868" i="35"/>
  <c r="V867" i="35"/>
  <c r="U867" i="35"/>
  <c r="T867" i="35"/>
  <c r="O867" i="35"/>
  <c r="N867" i="35"/>
  <c r="M867" i="35"/>
  <c r="L867" i="35"/>
  <c r="V866" i="35"/>
  <c r="U866" i="35"/>
  <c r="T866" i="35"/>
  <c r="O866" i="35"/>
  <c r="N866" i="35"/>
  <c r="M866" i="35"/>
  <c r="L866" i="35"/>
  <c r="V865" i="35"/>
  <c r="U865" i="35"/>
  <c r="T865" i="35"/>
  <c r="O865" i="35"/>
  <c r="N865" i="35"/>
  <c r="M865" i="35"/>
  <c r="L865" i="35"/>
  <c r="V864" i="35"/>
  <c r="U864" i="35"/>
  <c r="T864" i="35"/>
  <c r="O864" i="35"/>
  <c r="N864" i="35"/>
  <c r="M864" i="35"/>
  <c r="L864" i="35"/>
  <c r="I864" i="35"/>
  <c r="V863" i="35"/>
  <c r="U863" i="35"/>
  <c r="T863" i="35"/>
  <c r="O863" i="35"/>
  <c r="N863" i="35"/>
  <c r="M863" i="35"/>
  <c r="L863" i="35"/>
  <c r="V862" i="35"/>
  <c r="U862" i="35"/>
  <c r="T862" i="35"/>
  <c r="O862" i="35"/>
  <c r="N862" i="35"/>
  <c r="M862" i="35"/>
  <c r="L862" i="35"/>
  <c r="V861" i="35"/>
  <c r="U861" i="35"/>
  <c r="T861" i="35"/>
  <c r="O861" i="35"/>
  <c r="N861" i="35"/>
  <c r="M861" i="35"/>
  <c r="L861" i="35"/>
  <c r="K861" i="35"/>
  <c r="V860" i="35"/>
  <c r="U860" i="35"/>
  <c r="T860" i="35"/>
  <c r="O860" i="35"/>
  <c r="N860" i="35"/>
  <c r="M860" i="35"/>
  <c r="L860" i="35"/>
  <c r="K860" i="35"/>
  <c r="V859" i="35"/>
  <c r="U859" i="35"/>
  <c r="T859" i="35"/>
  <c r="O859" i="35"/>
  <c r="N859" i="35"/>
  <c r="M859" i="35"/>
  <c r="L859" i="35"/>
  <c r="K859" i="35"/>
  <c r="V858" i="35"/>
  <c r="U858" i="35"/>
  <c r="T858" i="35"/>
  <c r="O858" i="35"/>
  <c r="N858" i="35"/>
  <c r="M858" i="35"/>
  <c r="L858" i="35"/>
  <c r="K858" i="35"/>
  <c r="V857" i="35"/>
  <c r="U857" i="35"/>
  <c r="T857" i="35"/>
  <c r="O857" i="35"/>
  <c r="N857" i="35"/>
  <c r="M857" i="35"/>
  <c r="L857" i="35"/>
  <c r="K857" i="35"/>
  <c r="V856" i="35"/>
  <c r="U856" i="35"/>
  <c r="T856" i="35"/>
  <c r="O856" i="35"/>
  <c r="N856" i="35"/>
  <c r="M856" i="35"/>
  <c r="L856" i="35"/>
  <c r="V855" i="35"/>
  <c r="U855" i="35"/>
  <c r="T855" i="35"/>
  <c r="O855" i="35"/>
  <c r="N855" i="35"/>
  <c r="M855" i="35"/>
  <c r="L855" i="35"/>
  <c r="V854" i="35"/>
  <c r="U854" i="35"/>
  <c r="T854" i="35"/>
  <c r="O854" i="35"/>
  <c r="N854" i="35"/>
  <c r="M854" i="35"/>
  <c r="L854" i="35"/>
  <c r="V853" i="35"/>
  <c r="U853" i="35"/>
  <c r="T853" i="35"/>
  <c r="O853" i="35"/>
  <c r="N853" i="35"/>
  <c r="M853" i="35"/>
  <c r="L853" i="35"/>
  <c r="V852" i="35"/>
  <c r="U852" i="35"/>
  <c r="T852" i="35"/>
  <c r="O852" i="35"/>
  <c r="N852" i="35"/>
  <c r="M852" i="35"/>
  <c r="L852" i="35"/>
  <c r="V851" i="35"/>
  <c r="U851" i="35"/>
  <c r="T851" i="35"/>
  <c r="O851" i="35"/>
  <c r="N851" i="35"/>
  <c r="M851" i="35"/>
  <c r="L851" i="35"/>
  <c r="V850" i="35"/>
  <c r="U850" i="35"/>
  <c r="T850" i="35"/>
  <c r="O850" i="35"/>
  <c r="N850" i="35"/>
  <c r="M850" i="35"/>
  <c r="L850" i="35"/>
  <c r="V849" i="35"/>
  <c r="U849" i="35"/>
  <c r="T849" i="35"/>
  <c r="O849" i="35"/>
  <c r="N849" i="35"/>
  <c r="M849" i="35"/>
  <c r="L849" i="35"/>
  <c r="V848" i="35"/>
  <c r="U848" i="35"/>
  <c r="T848" i="35"/>
  <c r="O848" i="35"/>
  <c r="N848" i="35"/>
  <c r="M848" i="35"/>
  <c r="L848" i="35"/>
  <c r="V847" i="35"/>
  <c r="U847" i="35"/>
  <c r="T847" i="35"/>
  <c r="O847" i="35"/>
  <c r="N847" i="35"/>
  <c r="M847" i="35"/>
  <c r="L847" i="35"/>
  <c r="V846" i="35"/>
  <c r="U846" i="35"/>
  <c r="T846" i="35"/>
  <c r="O846" i="35"/>
  <c r="N846" i="35"/>
  <c r="M846" i="35"/>
  <c r="L846" i="35"/>
  <c r="V845" i="35"/>
  <c r="U845" i="35"/>
  <c r="T845" i="35"/>
  <c r="O845" i="35"/>
  <c r="N845" i="35"/>
  <c r="M845" i="35"/>
  <c r="L845" i="35"/>
  <c r="K845" i="35"/>
  <c r="J845" i="35"/>
  <c r="V844" i="35"/>
  <c r="U844" i="35"/>
  <c r="T844" i="35"/>
  <c r="O844" i="35"/>
  <c r="N844" i="35"/>
  <c r="M844" i="35"/>
  <c r="L844" i="35"/>
  <c r="K844" i="35"/>
  <c r="J844" i="35"/>
  <c r="H844" i="35"/>
  <c r="V843" i="35"/>
  <c r="U843" i="35"/>
  <c r="T843" i="35"/>
  <c r="O843" i="35"/>
  <c r="N843" i="35"/>
  <c r="M843" i="35"/>
  <c r="L843" i="35"/>
  <c r="V842" i="35"/>
  <c r="U842" i="35"/>
  <c r="T842" i="35"/>
  <c r="O842" i="35"/>
  <c r="N842" i="35"/>
  <c r="M842" i="35"/>
  <c r="L842" i="35"/>
  <c r="V841" i="35"/>
  <c r="U841" i="35"/>
  <c r="T841" i="35"/>
  <c r="O841" i="35"/>
  <c r="N841" i="35"/>
  <c r="M841" i="35"/>
  <c r="L841" i="35"/>
  <c r="V840" i="35"/>
  <c r="U840" i="35"/>
  <c r="T840" i="35"/>
  <c r="O840" i="35"/>
  <c r="N840" i="35"/>
  <c r="M840" i="35"/>
  <c r="L840" i="35"/>
  <c r="V839" i="35"/>
  <c r="U839" i="35"/>
  <c r="T839" i="35"/>
  <c r="O839" i="35"/>
  <c r="N839" i="35"/>
  <c r="M839" i="35"/>
  <c r="L839" i="35"/>
  <c r="V838" i="35"/>
  <c r="U838" i="35"/>
  <c r="T838" i="35"/>
  <c r="O838" i="35"/>
  <c r="N838" i="35"/>
  <c r="M838" i="35"/>
  <c r="L838" i="35"/>
  <c r="V837" i="35"/>
  <c r="U837" i="35"/>
  <c r="T837" i="35"/>
  <c r="O837" i="35"/>
  <c r="N837" i="35"/>
  <c r="M837" i="35"/>
  <c r="L837" i="35"/>
  <c r="V836" i="35"/>
  <c r="U836" i="35"/>
  <c r="T836" i="35"/>
  <c r="O836" i="35"/>
  <c r="N836" i="35"/>
  <c r="M836" i="35"/>
  <c r="L836" i="35"/>
  <c r="V835" i="35"/>
  <c r="U835" i="35"/>
  <c r="T835" i="35"/>
  <c r="O835" i="35"/>
  <c r="N835" i="35"/>
  <c r="M835" i="35"/>
  <c r="L835" i="35"/>
  <c r="V834" i="35"/>
  <c r="U834" i="35"/>
  <c r="T834" i="35"/>
  <c r="O834" i="35"/>
  <c r="N834" i="35"/>
  <c r="M834" i="35"/>
  <c r="L834" i="35"/>
  <c r="V833" i="35"/>
  <c r="U833" i="35"/>
  <c r="T833" i="35"/>
  <c r="O833" i="35"/>
  <c r="N833" i="35"/>
  <c r="M833" i="35"/>
  <c r="L833" i="35"/>
  <c r="V832" i="35"/>
  <c r="U832" i="35"/>
  <c r="T832" i="35"/>
  <c r="O832" i="35"/>
  <c r="N832" i="35"/>
  <c r="M832" i="35"/>
  <c r="L832" i="35"/>
  <c r="V831" i="35"/>
  <c r="U831" i="35"/>
  <c r="T831" i="35"/>
  <c r="O831" i="35"/>
  <c r="N831" i="35"/>
  <c r="M831" i="35"/>
  <c r="L831" i="35"/>
  <c r="V830" i="35"/>
  <c r="U830" i="35"/>
  <c r="T830" i="35"/>
  <c r="O830" i="35"/>
  <c r="N830" i="35"/>
  <c r="M830" i="35"/>
  <c r="L830" i="35"/>
  <c r="V829" i="35"/>
  <c r="U829" i="35"/>
  <c r="T829" i="35"/>
  <c r="O829" i="35"/>
  <c r="N829" i="35"/>
  <c r="M829" i="35"/>
  <c r="L829" i="35"/>
  <c r="V828" i="35"/>
  <c r="U828" i="35"/>
  <c r="T828" i="35"/>
  <c r="O828" i="35"/>
  <c r="N828" i="35"/>
  <c r="M828" i="35"/>
  <c r="L828" i="35"/>
  <c r="V827" i="35"/>
  <c r="U827" i="35"/>
  <c r="T827" i="35"/>
  <c r="O827" i="35"/>
  <c r="N827" i="35"/>
  <c r="M827" i="35"/>
  <c r="L827" i="35"/>
  <c r="V826" i="35"/>
  <c r="U826" i="35"/>
  <c r="T826" i="35"/>
  <c r="O826" i="35"/>
  <c r="N826" i="35"/>
  <c r="M826" i="35"/>
  <c r="L826" i="35"/>
  <c r="V825" i="35"/>
  <c r="U825" i="35"/>
  <c r="T825" i="35"/>
  <c r="O825" i="35"/>
  <c r="N825" i="35"/>
  <c r="M825" i="35"/>
  <c r="L825" i="35"/>
  <c r="V824" i="35"/>
  <c r="U824" i="35"/>
  <c r="T824" i="35"/>
  <c r="O824" i="35"/>
  <c r="N824" i="35"/>
  <c r="M824" i="35"/>
  <c r="L824" i="35"/>
  <c r="V823" i="35"/>
  <c r="U823" i="35"/>
  <c r="T823" i="35"/>
  <c r="O823" i="35"/>
  <c r="N823" i="35"/>
  <c r="M823" i="35"/>
  <c r="L823" i="35"/>
  <c r="V822" i="35"/>
  <c r="U822" i="35"/>
  <c r="T822" i="35"/>
  <c r="O822" i="35"/>
  <c r="N822" i="35"/>
  <c r="M822" i="35"/>
  <c r="L822" i="35"/>
  <c r="V821" i="35"/>
  <c r="U821" i="35"/>
  <c r="T821" i="35"/>
  <c r="O821" i="35"/>
  <c r="N821" i="35"/>
  <c r="M821" i="35"/>
  <c r="L821" i="35"/>
  <c r="V820" i="35"/>
  <c r="U820" i="35"/>
  <c r="T820" i="35"/>
  <c r="O820" i="35"/>
  <c r="N820" i="35"/>
  <c r="M820" i="35"/>
  <c r="L820" i="35"/>
  <c r="V819" i="35"/>
  <c r="U819" i="35"/>
  <c r="T819" i="35"/>
  <c r="O819" i="35"/>
  <c r="N819" i="35"/>
  <c r="M819" i="35"/>
  <c r="L819" i="35"/>
  <c r="V818" i="35"/>
  <c r="U818" i="35"/>
  <c r="T818" i="35"/>
  <c r="O818" i="35"/>
  <c r="N818" i="35"/>
  <c r="M818" i="35"/>
  <c r="L818" i="35"/>
  <c r="K818" i="35"/>
  <c r="V817" i="35"/>
  <c r="U817" i="35"/>
  <c r="T817" i="35"/>
  <c r="O817" i="35"/>
  <c r="N817" i="35"/>
  <c r="M817" i="35"/>
  <c r="L817" i="35"/>
  <c r="K817" i="35"/>
  <c r="V816" i="35"/>
  <c r="U816" i="35"/>
  <c r="T816" i="35"/>
  <c r="O816" i="35"/>
  <c r="N816" i="35"/>
  <c r="M816" i="35"/>
  <c r="L816" i="35"/>
  <c r="K816" i="35"/>
  <c r="V815" i="35"/>
  <c r="U815" i="35"/>
  <c r="T815" i="35"/>
  <c r="O815" i="35"/>
  <c r="N815" i="35"/>
  <c r="M815" i="35"/>
  <c r="L815" i="35"/>
  <c r="K815" i="35"/>
  <c r="V814" i="35"/>
  <c r="U814" i="35"/>
  <c r="T814" i="35"/>
  <c r="O814" i="35"/>
  <c r="N814" i="35"/>
  <c r="M814" i="35"/>
  <c r="L814" i="35"/>
  <c r="K814" i="35"/>
  <c r="V813" i="35"/>
  <c r="U813" i="35"/>
  <c r="T813" i="35"/>
  <c r="O813" i="35"/>
  <c r="N813" i="35"/>
  <c r="M813" i="35"/>
  <c r="L813" i="35"/>
  <c r="K813" i="35"/>
  <c r="V812" i="35"/>
  <c r="U812" i="35"/>
  <c r="T812" i="35"/>
  <c r="O812" i="35"/>
  <c r="N812" i="35"/>
  <c r="M812" i="35"/>
  <c r="L812" i="35"/>
  <c r="K812" i="35"/>
  <c r="V811" i="35"/>
  <c r="U811" i="35"/>
  <c r="T811" i="35"/>
  <c r="O811" i="35"/>
  <c r="N811" i="35"/>
  <c r="M811" i="35"/>
  <c r="L811" i="35"/>
  <c r="K811" i="35"/>
  <c r="V810" i="35"/>
  <c r="U810" i="35"/>
  <c r="T810" i="35"/>
  <c r="O810" i="35"/>
  <c r="N810" i="35"/>
  <c r="M810" i="35"/>
  <c r="L810" i="35"/>
  <c r="K810" i="35"/>
  <c r="V809" i="35"/>
  <c r="U809" i="35"/>
  <c r="T809" i="35"/>
  <c r="O809" i="35"/>
  <c r="N809" i="35"/>
  <c r="M809" i="35"/>
  <c r="L809" i="35"/>
  <c r="K809" i="35"/>
  <c r="V808" i="35"/>
  <c r="U808" i="35"/>
  <c r="T808" i="35"/>
  <c r="O808" i="35"/>
  <c r="N808" i="35"/>
  <c r="M808" i="35"/>
  <c r="L808" i="35"/>
  <c r="K808" i="35"/>
  <c r="V807" i="35"/>
  <c r="U807" i="35"/>
  <c r="T807" i="35"/>
  <c r="O807" i="35"/>
  <c r="N807" i="35"/>
  <c r="M807" i="35"/>
  <c r="L807" i="35"/>
  <c r="K807" i="35"/>
  <c r="V806" i="35"/>
  <c r="U806" i="35"/>
  <c r="T806" i="35"/>
  <c r="O806" i="35"/>
  <c r="N806" i="35"/>
  <c r="M806" i="35"/>
  <c r="L806" i="35"/>
  <c r="K806" i="35"/>
  <c r="V805" i="35"/>
  <c r="U805" i="35"/>
  <c r="T805" i="35"/>
  <c r="O805" i="35"/>
  <c r="N805" i="35"/>
  <c r="M805" i="35"/>
  <c r="L805" i="35"/>
  <c r="K805" i="35"/>
  <c r="V804" i="35"/>
  <c r="U804" i="35"/>
  <c r="T804" i="35"/>
  <c r="O804" i="35"/>
  <c r="N804" i="35"/>
  <c r="M804" i="35"/>
  <c r="L804" i="35"/>
  <c r="K804" i="35"/>
  <c r="V803" i="35"/>
  <c r="U803" i="35"/>
  <c r="T803" i="35"/>
  <c r="O803" i="35"/>
  <c r="N803" i="35"/>
  <c r="M803" i="35"/>
  <c r="L803" i="35"/>
  <c r="K803" i="35"/>
  <c r="V802" i="35"/>
  <c r="U802" i="35"/>
  <c r="T802" i="35"/>
  <c r="O802" i="35"/>
  <c r="N802" i="35"/>
  <c r="M802" i="35"/>
  <c r="L802" i="35"/>
  <c r="K802" i="35"/>
  <c r="V801" i="35"/>
  <c r="U801" i="35"/>
  <c r="T801" i="35"/>
  <c r="O801" i="35"/>
  <c r="N801" i="35"/>
  <c r="M801" i="35"/>
  <c r="L801" i="35"/>
  <c r="K801" i="35"/>
  <c r="V800" i="35"/>
  <c r="U800" i="35"/>
  <c r="T800" i="35"/>
  <c r="O800" i="35"/>
  <c r="N800" i="35"/>
  <c r="M800" i="35"/>
  <c r="L800" i="35"/>
  <c r="V799" i="35"/>
  <c r="U799" i="35"/>
  <c r="T799" i="35"/>
  <c r="O799" i="35"/>
  <c r="N799" i="35"/>
  <c r="M799" i="35"/>
  <c r="L799" i="35"/>
  <c r="K799" i="35"/>
  <c r="V798" i="35"/>
  <c r="U798" i="35"/>
  <c r="T798" i="35"/>
  <c r="O798" i="35"/>
  <c r="N798" i="35"/>
  <c r="M798" i="35"/>
  <c r="L798" i="35"/>
  <c r="V797" i="35"/>
  <c r="U797" i="35"/>
  <c r="T797" i="35"/>
  <c r="O797" i="35"/>
  <c r="N797" i="35"/>
  <c r="M797" i="35"/>
  <c r="L797" i="35"/>
  <c r="V796" i="35"/>
  <c r="U796" i="35"/>
  <c r="T796" i="35"/>
  <c r="O796" i="35"/>
  <c r="N796" i="35"/>
  <c r="M796" i="35"/>
  <c r="L796" i="35"/>
  <c r="V795" i="35"/>
  <c r="U795" i="35"/>
  <c r="T795" i="35"/>
  <c r="O795" i="35"/>
  <c r="N795" i="35"/>
  <c r="M795" i="35"/>
  <c r="L795" i="35"/>
  <c r="V794" i="35"/>
  <c r="U794" i="35"/>
  <c r="T794" i="35"/>
  <c r="O794" i="35"/>
  <c r="N794" i="35"/>
  <c r="M794" i="35"/>
  <c r="L794" i="35"/>
  <c r="K794" i="35"/>
  <c r="V793" i="35"/>
  <c r="U793" i="35"/>
  <c r="T793" i="35"/>
  <c r="O793" i="35"/>
  <c r="N793" i="35"/>
  <c r="M793" i="35"/>
  <c r="L793" i="35"/>
  <c r="V792" i="35"/>
  <c r="U792" i="35"/>
  <c r="T792" i="35"/>
  <c r="O792" i="35"/>
  <c r="N792" i="35"/>
  <c r="M792" i="35"/>
  <c r="L792" i="35"/>
  <c r="V791" i="35"/>
  <c r="U791" i="35"/>
  <c r="T791" i="35"/>
  <c r="O791" i="35"/>
  <c r="N791" i="35"/>
  <c r="M791" i="35"/>
  <c r="L791" i="35"/>
  <c r="H791" i="35"/>
  <c r="G791" i="35"/>
  <c r="Q2" i="35"/>
  <c r="Q808" i="35"/>
  <c r="Q797" i="35"/>
  <c r="Q798" i="35"/>
  <c r="Q807" i="35"/>
  <c r="Q812" i="35"/>
  <c r="Q809" i="35"/>
  <c r="Q796" i="35"/>
  <c r="Q813" i="35"/>
  <c r="Q805" i="35"/>
  <c r="Q806" i="35"/>
  <c r="Q804" i="35"/>
  <c r="Q810" i="35"/>
  <c r="Q811" i="35"/>
  <c r="Q803" i="35"/>
  <c r="K3" i="40" l="1"/>
  <c r="K337" i="40" l="1"/>
  <c r="K336" i="40"/>
  <c r="K335" i="40"/>
  <c r="K334" i="40"/>
  <c r="K333" i="40"/>
  <c r="K332" i="40"/>
  <c r="K331" i="40"/>
  <c r="K330" i="40"/>
  <c r="K329" i="40"/>
  <c r="K328" i="40"/>
  <c r="K327" i="40"/>
  <c r="K326" i="40"/>
  <c r="K325" i="40"/>
  <c r="K324" i="40"/>
  <c r="K323" i="40"/>
  <c r="K322" i="40"/>
  <c r="K321" i="40"/>
  <c r="K320" i="40"/>
  <c r="K26" i="40"/>
  <c r="K25" i="40"/>
  <c r="K24" i="40"/>
  <c r="K23" i="40"/>
  <c r="K22" i="40"/>
  <c r="K21" i="40"/>
  <c r="K20" i="40"/>
  <c r="K19" i="40"/>
  <c r="K18" i="40"/>
  <c r="K17" i="40"/>
  <c r="K16" i="40"/>
  <c r="K15" i="40"/>
  <c r="K14" i="40"/>
  <c r="K13" i="40"/>
  <c r="K12" i="40"/>
  <c r="K11" i="40"/>
  <c r="K10" i="40"/>
  <c r="K9" i="40"/>
  <c r="K8" i="40"/>
  <c r="K7" i="40"/>
  <c r="K6" i="40"/>
  <c r="K5" i="40"/>
  <c r="K4" i="40"/>
  <c r="K319" i="40"/>
  <c r="K318" i="40"/>
  <c r="K317" i="40"/>
  <c r="K316" i="40"/>
  <c r="K315" i="40"/>
  <c r="K314" i="40"/>
  <c r="K313" i="40"/>
  <c r="K312" i="40"/>
  <c r="K311" i="40"/>
  <c r="K310" i="40"/>
  <c r="K309" i="40"/>
  <c r="K308" i="40"/>
  <c r="K307" i="40"/>
  <c r="K306" i="40"/>
  <c r="K305" i="40"/>
  <c r="K304" i="40"/>
  <c r="K303" i="40"/>
  <c r="K302" i="40"/>
  <c r="K301" i="40"/>
  <c r="K300" i="40"/>
  <c r="K299" i="40"/>
  <c r="K298" i="40"/>
  <c r="K297" i="40"/>
  <c r="K296" i="40"/>
  <c r="K295" i="40"/>
  <c r="K294" i="40"/>
  <c r="K293" i="40"/>
  <c r="K292" i="40"/>
  <c r="K291" i="40"/>
  <c r="K290" i="40"/>
  <c r="K289" i="40"/>
  <c r="K288" i="40"/>
  <c r="K287" i="40"/>
  <c r="K286" i="40"/>
  <c r="K285" i="40"/>
  <c r="K284" i="40"/>
  <c r="K283" i="40"/>
  <c r="K282" i="40"/>
  <c r="K281" i="40"/>
  <c r="K280" i="40"/>
  <c r="K279" i="40"/>
  <c r="K278" i="40"/>
  <c r="K277" i="40"/>
  <c r="K276" i="40"/>
  <c r="K275" i="40"/>
  <c r="K274" i="40"/>
  <c r="K273" i="40"/>
  <c r="K272" i="40"/>
  <c r="K271" i="40"/>
  <c r="K270" i="40"/>
  <c r="K269" i="40"/>
  <c r="K268" i="40"/>
  <c r="K267" i="40"/>
  <c r="K266" i="40"/>
  <c r="K265" i="40"/>
  <c r="K264" i="40"/>
  <c r="K263" i="40"/>
  <c r="K262" i="40"/>
  <c r="K261" i="40"/>
  <c r="K260" i="40"/>
  <c r="K259" i="40"/>
  <c r="K258" i="40"/>
  <c r="K257" i="40"/>
  <c r="K256" i="40"/>
  <c r="K255" i="40"/>
  <c r="K254" i="40"/>
  <c r="K253" i="40"/>
  <c r="K252" i="40"/>
  <c r="K251" i="40"/>
  <c r="K250" i="40"/>
  <c r="K249" i="40"/>
  <c r="K248" i="40"/>
  <c r="K247" i="40"/>
  <c r="K246" i="40"/>
  <c r="K245" i="40"/>
  <c r="K244" i="40"/>
  <c r="K243" i="40"/>
  <c r="K242" i="40"/>
  <c r="K241" i="40"/>
  <c r="K240" i="40"/>
  <c r="K239" i="40"/>
  <c r="K238" i="40"/>
  <c r="K237" i="40"/>
  <c r="K236" i="40"/>
  <c r="K235" i="40"/>
  <c r="K234" i="40"/>
  <c r="K233" i="40"/>
  <c r="K232" i="40"/>
  <c r="K231" i="40"/>
  <c r="K230" i="40"/>
  <c r="K229" i="40"/>
  <c r="K228" i="40"/>
  <c r="K227" i="40"/>
  <c r="K226" i="40"/>
  <c r="K225" i="40"/>
  <c r="K224" i="40"/>
  <c r="K223" i="40"/>
  <c r="K222" i="40"/>
  <c r="K221" i="40"/>
  <c r="K220" i="40"/>
  <c r="K219" i="40"/>
  <c r="K218" i="40"/>
  <c r="K217" i="40"/>
  <c r="K216" i="40"/>
  <c r="K215" i="40"/>
  <c r="K214" i="40"/>
  <c r="K213" i="40"/>
  <c r="K212" i="40"/>
  <c r="K211" i="40"/>
  <c r="K210" i="40"/>
  <c r="K209" i="40"/>
  <c r="K208" i="40"/>
  <c r="K207" i="40"/>
  <c r="K206" i="40"/>
  <c r="K205" i="40"/>
  <c r="K204" i="40"/>
  <c r="K203" i="40"/>
  <c r="K202" i="40"/>
  <c r="K201" i="40"/>
  <c r="K200" i="40"/>
  <c r="K199" i="40"/>
  <c r="K198" i="40"/>
  <c r="K197" i="40"/>
  <c r="K196" i="40"/>
  <c r="K195" i="40"/>
  <c r="K194" i="40"/>
  <c r="K193" i="40"/>
  <c r="K192" i="40"/>
  <c r="K191" i="40"/>
  <c r="K190" i="40"/>
  <c r="K189" i="40"/>
  <c r="K188" i="40"/>
  <c r="K187" i="40"/>
  <c r="K186" i="40"/>
  <c r="K185" i="40"/>
  <c r="K184" i="40"/>
  <c r="K183" i="40"/>
  <c r="K182" i="40"/>
  <c r="K181" i="40"/>
  <c r="K180" i="40"/>
  <c r="K179" i="40"/>
  <c r="K178" i="40"/>
  <c r="K177" i="40"/>
  <c r="K176" i="40"/>
  <c r="K175" i="40"/>
  <c r="K174" i="40"/>
  <c r="K173" i="40"/>
  <c r="K172" i="40"/>
  <c r="K171" i="40"/>
  <c r="K170" i="40"/>
  <c r="K169" i="40"/>
  <c r="K168" i="40"/>
  <c r="K167" i="40"/>
  <c r="K166" i="40"/>
  <c r="K165" i="40"/>
  <c r="K164" i="40"/>
  <c r="K163" i="40"/>
  <c r="K162" i="40"/>
  <c r="K161" i="40"/>
  <c r="K160" i="40"/>
  <c r="K159" i="40"/>
  <c r="K158" i="40"/>
  <c r="K157" i="40"/>
  <c r="K156" i="40"/>
  <c r="K155" i="40"/>
  <c r="K154" i="40"/>
  <c r="K153" i="40"/>
  <c r="K152" i="40"/>
  <c r="K151" i="40"/>
  <c r="K150" i="40"/>
  <c r="K149" i="40"/>
  <c r="K148" i="40"/>
  <c r="K147" i="40"/>
  <c r="K146" i="40"/>
  <c r="K145" i="40"/>
  <c r="K144" i="40"/>
  <c r="K143" i="40"/>
  <c r="K142" i="40"/>
  <c r="K141" i="40"/>
  <c r="K140" i="40"/>
  <c r="K139" i="40"/>
  <c r="K138" i="40"/>
  <c r="K137" i="40"/>
  <c r="K136" i="40"/>
  <c r="K135" i="40"/>
  <c r="K134" i="40"/>
  <c r="K133" i="40"/>
  <c r="K132" i="40"/>
  <c r="K131" i="40"/>
  <c r="K130" i="40"/>
  <c r="K129" i="40"/>
  <c r="K128" i="40"/>
  <c r="K127" i="40"/>
  <c r="K126" i="40"/>
  <c r="K125" i="40"/>
  <c r="K124" i="40"/>
  <c r="K123" i="40"/>
  <c r="K122" i="40"/>
  <c r="K121" i="40"/>
  <c r="K120" i="40"/>
  <c r="K119" i="40"/>
  <c r="K118" i="40"/>
  <c r="K117" i="40"/>
  <c r="K116" i="40"/>
  <c r="K115" i="40"/>
  <c r="K114" i="40"/>
  <c r="K113" i="40"/>
  <c r="K112" i="40"/>
  <c r="K111" i="40"/>
  <c r="K110" i="40"/>
  <c r="K109" i="40"/>
  <c r="K108" i="40"/>
  <c r="K107" i="40"/>
  <c r="K106" i="40"/>
  <c r="K105" i="40"/>
  <c r="K104" i="40"/>
  <c r="K103" i="40"/>
  <c r="K102" i="40"/>
  <c r="K101" i="40"/>
  <c r="K100" i="40"/>
  <c r="K99" i="40"/>
  <c r="K98" i="40"/>
  <c r="K97" i="40"/>
  <c r="K96" i="40"/>
  <c r="K95" i="40"/>
  <c r="K94" i="40"/>
  <c r="K93" i="40"/>
  <c r="K92" i="40"/>
  <c r="K91" i="40"/>
  <c r="K90" i="40"/>
  <c r="K89" i="40"/>
  <c r="K88" i="40"/>
  <c r="K87" i="40"/>
  <c r="K86" i="40"/>
  <c r="K85" i="40"/>
  <c r="K84" i="40"/>
  <c r="K83" i="40"/>
  <c r="K82" i="40"/>
  <c r="K81" i="40"/>
  <c r="K80" i="40"/>
  <c r="K79" i="40"/>
  <c r="K78" i="40"/>
  <c r="K77" i="40"/>
  <c r="K76" i="40"/>
  <c r="K75" i="40"/>
  <c r="K74" i="40"/>
  <c r="K73" i="40"/>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 i="40"/>
  <c r="V120" i="35" l="1"/>
  <c r="U120" i="35"/>
  <c r="T120" i="35"/>
  <c r="O120" i="35"/>
  <c r="N120" i="35"/>
  <c r="M120" i="35"/>
  <c r="L120" i="35"/>
  <c r="V123" i="35" l="1"/>
  <c r="U123" i="35"/>
  <c r="T123" i="35"/>
  <c r="O123" i="35"/>
  <c r="N123" i="35"/>
  <c r="M123" i="35"/>
  <c r="L123" i="35"/>
  <c r="V122" i="35"/>
  <c r="U122" i="35"/>
  <c r="T122" i="35"/>
  <c r="O122" i="35"/>
  <c r="N122" i="35"/>
  <c r="M122" i="35"/>
  <c r="L122" i="35"/>
  <c r="V121" i="35"/>
  <c r="U121" i="35"/>
  <c r="T121" i="35"/>
  <c r="O121" i="35"/>
  <c r="N121" i="35"/>
  <c r="M121" i="35"/>
  <c r="L121" i="35"/>
  <c r="V124" i="35"/>
  <c r="U124" i="35"/>
  <c r="T124" i="35"/>
  <c r="O124" i="35"/>
  <c r="N124" i="35"/>
  <c r="M124" i="35"/>
  <c r="L124" i="35"/>
  <c r="V790" i="35"/>
  <c r="U790" i="35"/>
  <c r="T790" i="35"/>
  <c r="O790" i="35"/>
  <c r="N790" i="35"/>
  <c r="M790" i="35"/>
  <c r="L790" i="35"/>
  <c r="V789" i="35"/>
  <c r="U789" i="35"/>
  <c r="T789" i="35"/>
  <c r="O789" i="35"/>
  <c r="N789" i="35"/>
  <c r="M789" i="35"/>
  <c r="L789" i="35"/>
  <c r="V788" i="35"/>
  <c r="U788" i="35"/>
  <c r="T788" i="35"/>
  <c r="O788" i="35"/>
  <c r="N788" i="35"/>
  <c r="M788" i="35"/>
  <c r="L788" i="35"/>
  <c r="V787" i="35"/>
  <c r="U787" i="35"/>
  <c r="T787" i="35"/>
  <c r="O787" i="35"/>
  <c r="N787" i="35"/>
  <c r="M787" i="35"/>
  <c r="L787" i="35"/>
  <c r="V786" i="35"/>
  <c r="U786" i="35"/>
  <c r="T786" i="35"/>
  <c r="O786" i="35"/>
  <c r="N786" i="35"/>
  <c r="M786" i="35"/>
  <c r="L786" i="35"/>
  <c r="V785" i="35"/>
  <c r="U785" i="35"/>
  <c r="T785" i="35"/>
  <c r="O785" i="35"/>
  <c r="N785" i="35"/>
  <c r="M785" i="35"/>
  <c r="L785" i="35"/>
  <c r="V784" i="35"/>
  <c r="U784" i="35"/>
  <c r="T784" i="35"/>
  <c r="O784" i="35"/>
  <c r="N784" i="35"/>
  <c r="M784" i="35"/>
  <c r="L784" i="35"/>
  <c r="V783" i="35"/>
  <c r="U783" i="35"/>
  <c r="T783" i="35"/>
  <c r="O783" i="35"/>
  <c r="N783" i="35"/>
  <c r="M783" i="35"/>
  <c r="L783" i="35"/>
  <c r="V782" i="35"/>
  <c r="U782" i="35"/>
  <c r="T782" i="35"/>
  <c r="O782" i="35"/>
  <c r="N782" i="35"/>
  <c r="M782" i="35"/>
  <c r="L782" i="35"/>
  <c r="V781" i="35"/>
  <c r="U781" i="35"/>
  <c r="T781" i="35"/>
  <c r="O781" i="35"/>
  <c r="N781" i="35"/>
  <c r="M781" i="35"/>
  <c r="L781" i="35"/>
  <c r="V780" i="35"/>
  <c r="U780" i="35"/>
  <c r="T780" i="35"/>
  <c r="O780" i="35"/>
  <c r="N780" i="35"/>
  <c r="M780" i="35"/>
  <c r="L780" i="35"/>
  <c r="V779" i="35"/>
  <c r="U779" i="35"/>
  <c r="T779" i="35"/>
  <c r="O779" i="35"/>
  <c r="N779" i="35"/>
  <c r="M779" i="35"/>
  <c r="L779" i="35"/>
  <c r="V778" i="35"/>
  <c r="U778" i="35"/>
  <c r="T778" i="35"/>
  <c r="O778" i="35"/>
  <c r="N778" i="35"/>
  <c r="M778" i="35"/>
  <c r="L778" i="35"/>
  <c r="V777" i="35"/>
  <c r="U777" i="35"/>
  <c r="T777" i="35"/>
  <c r="O777" i="35"/>
  <c r="N777" i="35"/>
  <c r="M777" i="35"/>
  <c r="L777" i="35"/>
  <c r="V776" i="35"/>
  <c r="U776" i="35"/>
  <c r="T776" i="35"/>
  <c r="O776" i="35"/>
  <c r="N776" i="35"/>
  <c r="M776" i="35"/>
  <c r="L776" i="35"/>
  <c r="V775" i="35"/>
  <c r="U775" i="35"/>
  <c r="T775" i="35"/>
  <c r="O775" i="35"/>
  <c r="N775" i="35"/>
  <c r="M775" i="35"/>
  <c r="L775" i="35"/>
  <c r="V774" i="35"/>
  <c r="U774" i="35"/>
  <c r="T774" i="35"/>
  <c r="O774" i="35"/>
  <c r="N774" i="35"/>
  <c r="M774" i="35"/>
  <c r="L774" i="35"/>
  <c r="V773" i="35"/>
  <c r="U773" i="35"/>
  <c r="T773" i="35"/>
  <c r="O773" i="35"/>
  <c r="N773" i="35"/>
  <c r="M773" i="35"/>
  <c r="L773" i="35"/>
  <c r="V772" i="35"/>
  <c r="U772" i="35"/>
  <c r="T772" i="35"/>
  <c r="O772" i="35"/>
  <c r="N772" i="35"/>
  <c r="M772" i="35"/>
  <c r="L772" i="35"/>
  <c r="V771" i="35"/>
  <c r="U771" i="35"/>
  <c r="T771" i="35"/>
  <c r="O771" i="35"/>
  <c r="N771" i="35"/>
  <c r="M771" i="35"/>
  <c r="L771" i="35"/>
  <c r="V770" i="35"/>
  <c r="U770" i="35"/>
  <c r="T770" i="35"/>
  <c r="O770" i="35"/>
  <c r="N770" i="35"/>
  <c r="M770" i="35"/>
  <c r="L770" i="35"/>
  <c r="V769" i="35"/>
  <c r="U769" i="35"/>
  <c r="T769" i="35"/>
  <c r="O769" i="35"/>
  <c r="N769" i="35"/>
  <c r="M769" i="35"/>
  <c r="L769" i="35"/>
  <c r="V768" i="35"/>
  <c r="U768" i="35"/>
  <c r="T768" i="35"/>
  <c r="O768" i="35"/>
  <c r="N768" i="35"/>
  <c r="M768" i="35"/>
  <c r="L768" i="35"/>
  <c r="V767" i="35"/>
  <c r="U767" i="35"/>
  <c r="T767" i="35"/>
  <c r="O767" i="35"/>
  <c r="N767" i="35"/>
  <c r="M767" i="35"/>
  <c r="L767" i="35"/>
  <c r="V766" i="35"/>
  <c r="U766" i="35"/>
  <c r="T766" i="35"/>
  <c r="O766" i="35"/>
  <c r="N766" i="35"/>
  <c r="M766" i="35"/>
  <c r="L766" i="35"/>
  <c r="V765" i="35"/>
  <c r="U765" i="35"/>
  <c r="T765" i="35"/>
  <c r="O765" i="35"/>
  <c r="N765" i="35"/>
  <c r="M765" i="35"/>
  <c r="L765" i="35"/>
  <c r="V764" i="35"/>
  <c r="U764" i="35"/>
  <c r="T764" i="35"/>
  <c r="O764" i="35"/>
  <c r="N764" i="35"/>
  <c r="M764" i="35"/>
  <c r="L764" i="35"/>
  <c r="V763" i="35"/>
  <c r="U763" i="35"/>
  <c r="T763" i="35"/>
  <c r="O763" i="35"/>
  <c r="N763" i="35"/>
  <c r="M763" i="35"/>
  <c r="L763" i="35"/>
  <c r="V762" i="35"/>
  <c r="U762" i="35"/>
  <c r="T762" i="35"/>
  <c r="O762" i="35"/>
  <c r="N762" i="35"/>
  <c r="M762" i="35"/>
  <c r="L762" i="35"/>
  <c r="V761" i="35"/>
  <c r="U761" i="35"/>
  <c r="T761" i="35"/>
  <c r="O761" i="35"/>
  <c r="N761" i="35"/>
  <c r="M761" i="35"/>
  <c r="L761" i="35"/>
  <c r="V760" i="35"/>
  <c r="U760" i="35"/>
  <c r="T760" i="35"/>
  <c r="O760" i="35"/>
  <c r="N760" i="35"/>
  <c r="M760" i="35"/>
  <c r="L760" i="35"/>
  <c r="V759" i="35"/>
  <c r="U759" i="35"/>
  <c r="T759" i="35"/>
  <c r="O759" i="35"/>
  <c r="N759" i="35"/>
  <c r="M759" i="35"/>
  <c r="L759" i="35"/>
  <c r="V758" i="35"/>
  <c r="U758" i="35"/>
  <c r="T758" i="35"/>
  <c r="O758" i="35"/>
  <c r="N758" i="35"/>
  <c r="M758" i="35"/>
  <c r="L758" i="35"/>
  <c r="V757" i="35"/>
  <c r="U757" i="35"/>
  <c r="T757" i="35"/>
  <c r="O757" i="35"/>
  <c r="N757" i="35"/>
  <c r="M757" i="35"/>
  <c r="L757" i="35"/>
  <c r="V756" i="35"/>
  <c r="U756" i="35"/>
  <c r="T756" i="35"/>
  <c r="O756" i="35"/>
  <c r="N756" i="35"/>
  <c r="M756" i="35"/>
  <c r="L756" i="35"/>
  <c r="V755" i="35"/>
  <c r="U755" i="35"/>
  <c r="T755" i="35"/>
  <c r="O755" i="35"/>
  <c r="N755" i="35"/>
  <c r="M755" i="35"/>
  <c r="L755" i="35"/>
  <c r="V754" i="35"/>
  <c r="U754" i="35"/>
  <c r="T754" i="35"/>
  <c r="O754" i="35"/>
  <c r="N754" i="35"/>
  <c r="M754" i="35"/>
  <c r="L754" i="35"/>
  <c r="V753" i="35"/>
  <c r="U753" i="35"/>
  <c r="T753" i="35"/>
  <c r="O753" i="35"/>
  <c r="N753" i="35"/>
  <c r="M753" i="35"/>
  <c r="L753" i="35"/>
  <c r="V752" i="35"/>
  <c r="U752" i="35"/>
  <c r="T752" i="35"/>
  <c r="O752" i="35"/>
  <c r="N752" i="35"/>
  <c r="M752" i="35"/>
  <c r="L752" i="35"/>
  <c r="V751" i="35"/>
  <c r="U751" i="35"/>
  <c r="T751" i="35"/>
  <c r="O751" i="35"/>
  <c r="N751" i="35"/>
  <c r="M751" i="35"/>
  <c r="L751" i="35"/>
  <c r="V750" i="35"/>
  <c r="U750" i="35"/>
  <c r="T750" i="35"/>
  <c r="O750" i="35"/>
  <c r="N750" i="35"/>
  <c r="M750" i="35"/>
  <c r="L750" i="35"/>
  <c r="V749" i="35"/>
  <c r="U749" i="35"/>
  <c r="T749" i="35"/>
  <c r="O749" i="35"/>
  <c r="N749" i="35"/>
  <c r="M749" i="35"/>
  <c r="L749" i="35"/>
  <c r="V748" i="35"/>
  <c r="U748" i="35"/>
  <c r="T748" i="35"/>
  <c r="O748" i="35"/>
  <c r="N748" i="35"/>
  <c r="M748" i="35"/>
  <c r="L748" i="35"/>
  <c r="V747" i="35"/>
  <c r="U747" i="35"/>
  <c r="T747" i="35"/>
  <c r="O747" i="35"/>
  <c r="N747" i="35"/>
  <c r="M747" i="35"/>
  <c r="L747" i="35"/>
  <c r="V746" i="35"/>
  <c r="U746" i="35"/>
  <c r="T746" i="35"/>
  <c r="O746" i="35"/>
  <c r="N746" i="35"/>
  <c r="M746" i="35"/>
  <c r="L746" i="35"/>
  <c r="V745" i="35"/>
  <c r="U745" i="35"/>
  <c r="T745" i="35"/>
  <c r="O745" i="35"/>
  <c r="N745" i="35"/>
  <c r="M745" i="35"/>
  <c r="L745" i="35"/>
  <c r="V744" i="35"/>
  <c r="U744" i="35"/>
  <c r="T744" i="35"/>
  <c r="O744" i="35"/>
  <c r="N744" i="35"/>
  <c r="M744" i="35"/>
  <c r="L744" i="35"/>
  <c r="V743" i="35"/>
  <c r="U743" i="35"/>
  <c r="T743" i="35"/>
  <c r="O743" i="35"/>
  <c r="N743" i="35"/>
  <c r="M743" i="35"/>
  <c r="L743" i="35"/>
  <c r="V742" i="35"/>
  <c r="U742" i="35"/>
  <c r="T742" i="35"/>
  <c r="O742" i="35"/>
  <c r="N742" i="35"/>
  <c r="M742" i="35"/>
  <c r="L742" i="35"/>
  <c r="V741" i="35"/>
  <c r="U741" i="35"/>
  <c r="T741" i="35"/>
  <c r="O741" i="35"/>
  <c r="N741" i="35"/>
  <c r="M741" i="35"/>
  <c r="L741" i="35"/>
  <c r="V740" i="35"/>
  <c r="U740" i="35"/>
  <c r="T740" i="35"/>
  <c r="O740" i="35"/>
  <c r="N740" i="35"/>
  <c r="M740" i="35"/>
  <c r="L740" i="35"/>
  <c r="V739" i="35"/>
  <c r="U739" i="35"/>
  <c r="T739" i="35"/>
  <c r="O739" i="35"/>
  <c r="N739" i="35"/>
  <c r="M739" i="35"/>
  <c r="L739" i="35"/>
  <c r="V738" i="35"/>
  <c r="U738" i="35"/>
  <c r="T738" i="35"/>
  <c r="O738" i="35"/>
  <c r="N738" i="35"/>
  <c r="M738" i="35"/>
  <c r="L738" i="35"/>
  <c r="V737" i="35"/>
  <c r="U737" i="35"/>
  <c r="T737" i="35"/>
  <c r="O737" i="35"/>
  <c r="N737" i="35"/>
  <c r="M737" i="35"/>
  <c r="L737" i="35"/>
  <c r="V736" i="35"/>
  <c r="U736" i="35"/>
  <c r="T736" i="35"/>
  <c r="O736" i="35"/>
  <c r="N736" i="35"/>
  <c r="M736" i="35"/>
  <c r="L736" i="35"/>
  <c r="V735" i="35"/>
  <c r="U735" i="35"/>
  <c r="T735" i="35"/>
  <c r="O735" i="35"/>
  <c r="N735" i="35"/>
  <c r="M735" i="35"/>
  <c r="L735" i="35"/>
  <c r="V734" i="35"/>
  <c r="U734" i="35"/>
  <c r="T734" i="35"/>
  <c r="O734" i="35"/>
  <c r="N734" i="35"/>
  <c r="M734" i="35"/>
  <c r="L734" i="35"/>
  <c r="V733" i="35"/>
  <c r="U733" i="35"/>
  <c r="T733" i="35"/>
  <c r="O733" i="35"/>
  <c r="N733" i="35"/>
  <c r="M733" i="35"/>
  <c r="L733" i="35"/>
  <c r="V732" i="35"/>
  <c r="U732" i="35"/>
  <c r="T732" i="35"/>
  <c r="O732" i="35"/>
  <c r="N732" i="35"/>
  <c r="M732" i="35"/>
  <c r="L732" i="35"/>
  <c r="V731" i="35"/>
  <c r="U731" i="35"/>
  <c r="T731" i="35"/>
  <c r="O731" i="35"/>
  <c r="N731" i="35"/>
  <c r="M731" i="35"/>
  <c r="L731" i="35"/>
  <c r="V730" i="35"/>
  <c r="U730" i="35"/>
  <c r="T730" i="35"/>
  <c r="O730" i="35"/>
  <c r="N730" i="35"/>
  <c r="M730" i="35"/>
  <c r="L730" i="35"/>
  <c r="V729" i="35"/>
  <c r="U729" i="35"/>
  <c r="T729" i="35"/>
  <c r="O729" i="35"/>
  <c r="N729" i="35"/>
  <c r="M729" i="35"/>
  <c r="L729" i="35"/>
  <c r="V728" i="35"/>
  <c r="U728" i="35"/>
  <c r="T728" i="35"/>
  <c r="O728" i="35"/>
  <c r="N728" i="35"/>
  <c r="M728" i="35"/>
  <c r="L728" i="35"/>
  <c r="V727" i="35"/>
  <c r="U727" i="35"/>
  <c r="T727" i="35"/>
  <c r="O727" i="35"/>
  <c r="N727" i="35"/>
  <c r="M727" i="35"/>
  <c r="L727" i="35"/>
  <c r="V726" i="35"/>
  <c r="U726" i="35"/>
  <c r="T726" i="35"/>
  <c r="O726" i="35"/>
  <c r="N726" i="35"/>
  <c r="M726" i="35"/>
  <c r="L726" i="35"/>
  <c r="V725" i="35"/>
  <c r="U725" i="35"/>
  <c r="T725" i="35"/>
  <c r="O725" i="35"/>
  <c r="N725" i="35"/>
  <c r="M725" i="35"/>
  <c r="L725" i="35"/>
  <c r="V724" i="35"/>
  <c r="U724" i="35"/>
  <c r="T724" i="35"/>
  <c r="O724" i="35"/>
  <c r="N724" i="35"/>
  <c r="M724" i="35"/>
  <c r="L724" i="35"/>
  <c r="V723" i="35"/>
  <c r="U723" i="35"/>
  <c r="T723" i="35"/>
  <c r="O723" i="35"/>
  <c r="N723" i="35"/>
  <c r="M723" i="35"/>
  <c r="L723" i="35"/>
  <c r="V722" i="35"/>
  <c r="U722" i="35"/>
  <c r="T722" i="35"/>
  <c r="O722" i="35"/>
  <c r="N722" i="35"/>
  <c r="M722" i="35"/>
  <c r="L722" i="35"/>
  <c r="V721" i="35"/>
  <c r="U721" i="35"/>
  <c r="T721" i="35"/>
  <c r="O721" i="35"/>
  <c r="N721" i="35"/>
  <c r="M721" i="35"/>
  <c r="L721" i="35"/>
  <c r="V720" i="35"/>
  <c r="U720" i="35"/>
  <c r="T720" i="35"/>
  <c r="O720" i="35"/>
  <c r="N720" i="35"/>
  <c r="M720" i="35"/>
  <c r="L720" i="35"/>
  <c r="V719" i="35"/>
  <c r="U719" i="35"/>
  <c r="T719" i="35"/>
  <c r="O719" i="35"/>
  <c r="N719" i="35"/>
  <c r="M719" i="35"/>
  <c r="L719" i="35"/>
  <c r="V718" i="35"/>
  <c r="U718" i="35"/>
  <c r="T718" i="35"/>
  <c r="O718" i="35"/>
  <c r="N718" i="35"/>
  <c r="M718" i="35"/>
  <c r="L718" i="35"/>
  <c r="V717" i="35"/>
  <c r="U717" i="35"/>
  <c r="T717" i="35"/>
  <c r="O717" i="35"/>
  <c r="N717" i="35"/>
  <c r="M717" i="35"/>
  <c r="L717" i="35"/>
  <c r="V716" i="35"/>
  <c r="U716" i="35"/>
  <c r="T716" i="35"/>
  <c r="O716" i="35"/>
  <c r="N716" i="35"/>
  <c r="M716" i="35"/>
  <c r="L716" i="35"/>
  <c r="V715" i="35"/>
  <c r="U715" i="35"/>
  <c r="T715" i="35"/>
  <c r="O715" i="35"/>
  <c r="N715" i="35"/>
  <c r="M715" i="35"/>
  <c r="L715" i="35"/>
  <c r="V714" i="35"/>
  <c r="U714" i="35"/>
  <c r="T714" i="35"/>
  <c r="O714" i="35"/>
  <c r="N714" i="35"/>
  <c r="M714" i="35"/>
  <c r="L714" i="35"/>
  <c r="V713" i="35"/>
  <c r="U713" i="35"/>
  <c r="T713" i="35"/>
  <c r="O713" i="35"/>
  <c r="N713" i="35"/>
  <c r="M713" i="35"/>
  <c r="L713" i="35"/>
  <c r="V712" i="35"/>
  <c r="U712" i="35"/>
  <c r="T712" i="35"/>
  <c r="O712" i="35"/>
  <c r="N712" i="35"/>
  <c r="M712" i="35"/>
  <c r="L712" i="35"/>
  <c r="V711" i="35"/>
  <c r="U711" i="35"/>
  <c r="T711" i="35"/>
  <c r="O711" i="35"/>
  <c r="N711" i="35"/>
  <c r="M711" i="35"/>
  <c r="L711" i="35"/>
  <c r="V710" i="35"/>
  <c r="U710" i="35"/>
  <c r="T710" i="35"/>
  <c r="O710" i="35"/>
  <c r="N710" i="35"/>
  <c r="M710" i="35"/>
  <c r="L710" i="35"/>
  <c r="V709" i="35"/>
  <c r="U709" i="35"/>
  <c r="T709" i="35"/>
  <c r="O709" i="35"/>
  <c r="N709" i="35"/>
  <c r="M709" i="35"/>
  <c r="L709" i="35"/>
  <c r="V708" i="35"/>
  <c r="U708" i="35"/>
  <c r="T708" i="35"/>
  <c r="O708" i="35"/>
  <c r="N708" i="35"/>
  <c r="M708" i="35"/>
  <c r="L708" i="35"/>
  <c r="V707" i="35"/>
  <c r="U707" i="35"/>
  <c r="T707" i="35"/>
  <c r="O707" i="35"/>
  <c r="N707" i="35"/>
  <c r="M707" i="35"/>
  <c r="L707" i="35"/>
  <c r="V706" i="35"/>
  <c r="U706" i="35"/>
  <c r="T706" i="35"/>
  <c r="O706" i="35"/>
  <c r="N706" i="35"/>
  <c r="M706" i="35"/>
  <c r="L706" i="35"/>
  <c r="V705" i="35"/>
  <c r="U705" i="35"/>
  <c r="T705" i="35"/>
  <c r="O705" i="35"/>
  <c r="N705" i="35"/>
  <c r="M705" i="35"/>
  <c r="L705" i="35"/>
  <c r="V704" i="35"/>
  <c r="U704" i="35"/>
  <c r="T704" i="35"/>
  <c r="O704" i="35"/>
  <c r="N704" i="35"/>
  <c r="M704" i="35"/>
  <c r="L704" i="35"/>
  <c r="V703" i="35"/>
  <c r="U703" i="35"/>
  <c r="T703" i="35"/>
  <c r="O703" i="35"/>
  <c r="N703" i="35"/>
  <c r="M703" i="35"/>
  <c r="L703" i="35"/>
  <c r="V702" i="35"/>
  <c r="U702" i="35"/>
  <c r="T702" i="35"/>
  <c r="O702" i="35"/>
  <c r="N702" i="35"/>
  <c r="M702" i="35"/>
  <c r="L702" i="35"/>
  <c r="V701" i="35"/>
  <c r="U701" i="35"/>
  <c r="T701" i="35"/>
  <c r="O701" i="35"/>
  <c r="N701" i="35"/>
  <c r="M701" i="35"/>
  <c r="L701" i="35"/>
  <c r="V700" i="35"/>
  <c r="U700" i="35"/>
  <c r="T700" i="35"/>
  <c r="O700" i="35"/>
  <c r="N700" i="35"/>
  <c r="M700" i="35"/>
  <c r="L700" i="35"/>
  <c r="V699" i="35"/>
  <c r="U699" i="35"/>
  <c r="T699" i="35"/>
  <c r="O699" i="35"/>
  <c r="N699" i="35"/>
  <c r="M699" i="35"/>
  <c r="L699" i="35"/>
  <c r="V698" i="35"/>
  <c r="U698" i="35"/>
  <c r="T698" i="35"/>
  <c r="O698" i="35"/>
  <c r="N698" i="35"/>
  <c r="M698" i="35"/>
  <c r="L698" i="35"/>
  <c r="V697" i="35"/>
  <c r="U697" i="35"/>
  <c r="T697" i="35"/>
  <c r="O697" i="35"/>
  <c r="N697" i="35"/>
  <c r="M697" i="35"/>
  <c r="L697" i="35"/>
  <c r="V696" i="35"/>
  <c r="U696" i="35"/>
  <c r="T696" i="35"/>
  <c r="O696" i="35"/>
  <c r="N696" i="35"/>
  <c r="M696" i="35"/>
  <c r="L696" i="35"/>
  <c r="V695" i="35"/>
  <c r="U695" i="35"/>
  <c r="T695" i="35"/>
  <c r="O695" i="35"/>
  <c r="N695" i="35"/>
  <c r="M695" i="35"/>
  <c r="L695" i="35"/>
  <c r="V694" i="35"/>
  <c r="U694" i="35"/>
  <c r="T694" i="35"/>
  <c r="O694" i="35"/>
  <c r="N694" i="35"/>
  <c r="M694" i="35"/>
  <c r="L694" i="35"/>
  <c r="V693" i="35"/>
  <c r="U693" i="35"/>
  <c r="T693" i="35"/>
  <c r="O693" i="35"/>
  <c r="N693" i="35"/>
  <c r="M693" i="35"/>
  <c r="L693" i="35"/>
  <c r="V692" i="35"/>
  <c r="U692" i="35"/>
  <c r="T692" i="35"/>
  <c r="O692" i="35"/>
  <c r="N692" i="35"/>
  <c r="M692" i="35"/>
  <c r="L692" i="35"/>
  <c r="V691" i="35"/>
  <c r="U691" i="35"/>
  <c r="T691" i="35"/>
  <c r="O691" i="35"/>
  <c r="N691" i="35"/>
  <c r="M691" i="35"/>
  <c r="L691" i="35"/>
  <c r="V690" i="35"/>
  <c r="U690" i="35"/>
  <c r="T690" i="35"/>
  <c r="O690" i="35"/>
  <c r="N690" i="35"/>
  <c r="M690" i="35"/>
  <c r="L690" i="35"/>
  <c r="V689" i="35"/>
  <c r="U689" i="35"/>
  <c r="T689" i="35"/>
  <c r="O689" i="35"/>
  <c r="N689" i="35"/>
  <c r="M689" i="35"/>
  <c r="L689" i="35"/>
  <c r="V688" i="35"/>
  <c r="U688" i="35"/>
  <c r="T688" i="35"/>
  <c r="O688" i="35"/>
  <c r="N688" i="35"/>
  <c r="M688" i="35"/>
  <c r="L688" i="35"/>
  <c r="V687" i="35"/>
  <c r="U687" i="35"/>
  <c r="T687" i="35"/>
  <c r="O687" i="35"/>
  <c r="N687" i="35"/>
  <c r="M687" i="35"/>
  <c r="L687" i="35"/>
  <c r="V686" i="35"/>
  <c r="U686" i="35"/>
  <c r="T686" i="35"/>
  <c r="O686" i="35"/>
  <c r="N686" i="35"/>
  <c r="M686" i="35"/>
  <c r="L686" i="35"/>
  <c r="V685" i="35"/>
  <c r="U685" i="35"/>
  <c r="T685" i="35"/>
  <c r="O685" i="35"/>
  <c r="N685" i="35"/>
  <c r="M685" i="35"/>
  <c r="L685" i="35"/>
  <c r="V684" i="35"/>
  <c r="U684" i="35"/>
  <c r="T684" i="35"/>
  <c r="O684" i="35"/>
  <c r="N684" i="35"/>
  <c r="M684" i="35"/>
  <c r="L684" i="35"/>
  <c r="V683" i="35"/>
  <c r="U683" i="35"/>
  <c r="T683" i="35"/>
  <c r="O683" i="35"/>
  <c r="N683" i="35"/>
  <c r="M683" i="35"/>
  <c r="L683" i="35"/>
  <c r="V682" i="35"/>
  <c r="U682" i="35"/>
  <c r="T682" i="35"/>
  <c r="O682" i="35"/>
  <c r="N682" i="35"/>
  <c r="M682" i="35"/>
  <c r="L682" i="35"/>
  <c r="V681" i="35"/>
  <c r="U681" i="35"/>
  <c r="T681" i="35"/>
  <c r="O681" i="35"/>
  <c r="N681" i="35"/>
  <c r="M681" i="35"/>
  <c r="L681" i="35"/>
  <c r="V680" i="35"/>
  <c r="U680" i="35"/>
  <c r="T680" i="35"/>
  <c r="O680" i="35"/>
  <c r="N680" i="35"/>
  <c r="M680" i="35"/>
  <c r="L680" i="35"/>
  <c r="V679" i="35"/>
  <c r="U679" i="35"/>
  <c r="T679" i="35"/>
  <c r="O679" i="35"/>
  <c r="N679" i="35"/>
  <c r="M679" i="35"/>
  <c r="L679" i="35"/>
  <c r="V678" i="35"/>
  <c r="U678" i="35"/>
  <c r="T678" i="35"/>
  <c r="O678" i="35"/>
  <c r="N678" i="35"/>
  <c r="M678" i="35"/>
  <c r="L678" i="35"/>
  <c r="V677" i="35"/>
  <c r="U677" i="35"/>
  <c r="T677" i="35"/>
  <c r="O677" i="35"/>
  <c r="N677" i="35"/>
  <c r="M677" i="35"/>
  <c r="L677" i="35"/>
  <c r="V676" i="35"/>
  <c r="U676" i="35"/>
  <c r="T676" i="35"/>
  <c r="O676" i="35"/>
  <c r="N676" i="35"/>
  <c r="M676" i="35"/>
  <c r="L676" i="35"/>
  <c r="V675" i="35"/>
  <c r="U675" i="35"/>
  <c r="T675" i="35"/>
  <c r="O675" i="35"/>
  <c r="N675" i="35"/>
  <c r="M675" i="35"/>
  <c r="L675" i="35"/>
  <c r="V674" i="35"/>
  <c r="U674" i="35"/>
  <c r="T674" i="35"/>
  <c r="O674" i="35"/>
  <c r="N674" i="35"/>
  <c r="M674" i="35"/>
  <c r="L674" i="35"/>
  <c r="V673" i="35"/>
  <c r="U673" i="35"/>
  <c r="T673" i="35"/>
  <c r="O673" i="35"/>
  <c r="N673" i="35"/>
  <c r="M673" i="35"/>
  <c r="L673" i="35"/>
  <c r="V672" i="35"/>
  <c r="U672" i="35"/>
  <c r="T672" i="35"/>
  <c r="O672" i="35"/>
  <c r="N672" i="35"/>
  <c r="M672" i="35"/>
  <c r="L672" i="35"/>
  <c r="V671" i="35"/>
  <c r="U671" i="35"/>
  <c r="T671" i="35"/>
  <c r="O671" i="35"/>
  <c r="N671" i="35"/>
  <c r="M671" i="35"/>
  <c r="L671" i="35"/>
  <c r="V670" i="35"/>
  <c r="U670" i="35"/>
  <c r="T670" i="35"/>
  <c r="O670" i="35"/>
  <c r="N670" i="35"/>
  <c r="M670" i="35"/>
  <c r="L670" i="35"/>
  <c r="V669" i="35"/>
  <c r="U669" i="35"/>
  <c r="T669" i="35"/>
  <c r="O669" i="35"/>
  <c r="N669" i="35"/>
  <c r="M669" i="35"/>
  <c r="L669" i="35"/>
  <c r="V668" i="35"/>
  <c r="U668" i="35"/>
  <c r="T668" i="35"/>
  <c r="O668" i="35"/>
  <c r="N668" i="35"/>
  <c r="M668" i="35"/>
  <c r="L668" i="35"/>
  <c r="V667" i="35"/>
  <c r="U667" i="35"/>
  <c r="T667" i="35"/>
  <c r="O667" i="35"/>
  <c r="N667" i="35"/>
  <c r="M667" i="35"/>
  <c r="L667" i="35"/>
  <c r="V666" i="35"/>
  <c r="U666" i="35"/>
  <c r="T666" i="35"/>
  <c r="O666" i="35"/>
  <c r="N666" i="35"/>
  <c r="M666" i="35"/>
  <c r="L666" i="35"/>
  <c r="V665" i="35"/>
  <c r="U665" i="35"/>
  <c r="T665" i="35"/>
  <c r="O665" i="35"/>
  <c r="N665" i="35"/>
  <c r="M665" i="35"/>
  <c r="L665" i="35"/>
  <c r="V664" i="35"/>
  <c r="U664" i="35"/>
  <c r="T664" i="35"/>
  <c r="O664" i="35"/>
  <c r="N664" i="35"/>
  <c r="M664" i="35"/>
  <c r="L664" i="35"/>
  <c r="V663" i="35"/>
  <c r="U663" i="35"/>
  <c r="T663" i="35"/>
  <c r="O663" i="35"/>
  <c r="N663" i="35"/>
  <c r="M663" i="35"/>
  <c r="L663" i="35"/>
  <c r="V662" i="35"/>
  <c r="U662" i="35"/>
  <c r="T662" i="35"/>
  <c r="O662" i="35"/>
  <c r="N662" i="35"/>
  <c r="M662" i="35"/>
  <c r="L662" i="35"/>
  <c r="V661" i="35"/>
  <c r="U661" i="35"/>
  <c r="T661" i="35"/>
  <c r="O661" i="35"/>
  <c r="N661" i="35"/>
  <c r="M661" i="35"/>
  <c r="L661" i="35"/>
  <c r="V660" i="35"/>
  <c r="U660" i="35"/>
  <c r="T660" i="35"/>
  <c r="O660" i="35"/>
  <c r="N660" i="35"/>
  <c r="M660" i="35"/>
  <c r="L660" i="35"/>
  <c r="V659" i="35"/>
  <c r="U659" i="35"/>
  <c r="T659" i="35"/>
  <c r="O659" i="35"/>
  <c r="N659" i="35"/>
  <c r="M659" i="35"/>
  <c r="L659" i="35"/>
  <c r="V658" i="35"/>
  <c r="U658" i="35"/>
  <c r="T658" i="35"/>
  <c r="O658" i="35"/>
  <c r="N658" i="35"/>
  <c r="M658" i="35"/>
  <c r="L658" i="35"/>
  <c r="V657" i="35"/>
  <c r="U657" i="35"/>
  <c r="T657" i="35"/>
  <c r="O657" i="35"/>
  <c r="N657" i="35"/>
  <c r="M657" i="35"/>
  <c r="L657" i="35"/>
  <c r="V656" i="35"/>
  <c r="U656" i="35"/>
  <c r="T656" i="35"/>
  <c r="O656" i="35"/>
  <c r="N656" i="35"/>
  <c r="M656" i="35"/>
  <c r="L656" i="35"/>
  <c r="V655" i="35"/>
  <c r="U655" i="35"/>
  <c r="T655" i="35"/>
  <c r="O655" i="35"/>
  <c r="N655" i="35"/>
  <c r="M655" i="35"/>
  <c r="L655" i="35"/>
  <c r="V654" i="35"/>
  <c r="U654" i="35"/>
  <c r="T654" i="35"/>
  <c r="O654" i="35"/>
  <c r="N654" i="35"/>
  <c r="M654" i="35"/>
  <c r="L654" i="35"/>
  <c r="V653" i="35"/>
  <c r="U653" i="35"/>
  <c r="T653" i="35"/>
  <c r="O653" i="35"/>
  <c r="N653" i="35"/>
  <c r="M653" i="35"/>
  <c r="L653" i="35"/>
  <c r="V652" i="35"/>
  <c r="U652" i="35"/>
  <c r="T652" i="35"/>
  <c r="O652" i="35"/>
  <c r="N652" i="35"/>
  <c r="M652" i="35"/>
  <c r="L652" i="35"/>
  <c r="V651" i="35"/>
  <c r="U651" i="35"/>
  <c r="T651" i="35"/>
  <c r="O651" i="35"/>
  <c r="N651" i="35"/>
  <c r="M651" i="35"/>
  <c r="L651" i="35"/>
  <c r="V650" i="35"/>
  <c r="U650" i="35"/>
  <c r="T650" i="35"/>
  <c r="O650" i="35"/>
  <c r="N650" i="35"/>
  <c r="M650" i="35"/>
  <c r="L650" i="35"/>
  <c r="V649" i="35"/>
  <c r="U649" i="35"/>
  <c r="T649" i="35"/>
  <c r="O649" i="35"/>
  <c r="N649" i="35"/>
  <c r="M649" i="35"/>
  <c r="L649" i="35"/>
  <c r="V648" i="35"/>
  <c r="U648" i="35"/>
  <c r="T648" i="35"/>
  <c r="O648" i="35"/>
  <c r="N648" i="35"/>
  <c r="M648" i="35"/>
  <c r="L648" i="35"/>
  <c r="V647" i="35"/>
  <c r="U647" i="35"/>
  <c r="T647" i="35"/>
  <c r="O647" i="35"/>
  <c r="N647" i="35"/>
  <c r="M647" i="35"/>
  <c r="L647" i="35"/>
  <c r="V646" i="35"/>
  <c r="U646" i="35"/>
  <c r="T646" i="35"/>
  <c r="O646" i="35"/>
  <c r="N646" i="35"/>
  <c r="M646" i="35"/>
  <c r="L646" i="35"/>
  <c r="V645" i="35"/>
  <c r="U645" i="35"/>
  <c r="T645" i="35"/>
  <c r="O645" i="35"/>
  <c r="N645" i="35"/>
  <c r="M645" i="35"/>
  <c r="L645" i="35"/>
  <c r="V644" i="35"/>
  <c r="U644" i="35"/>
  <c r="T644" i="35"/>
  <c r="O644" i="35"/>
  <c r="N644" i="35"/>
  <c r="M644" i="35"/>
  <c r="L644" i="35"/>
  <c r="V643" i="35"/>
  <c r="U643" i="35"/>
  <c r="T643" i="35"/>
  <c r="O643" i="35"/>
  <c r="N643" i="35"/>
  <c r="M643" i="35"/>
  <c r="L643" i="35"/>
  <c r="V642" i="35"/>
  <c r="U642" i="35"/>
  <c r="T642" i="35"/>
  <c r="O642" i="35"/>
  <c r="N642" i="35"/>
  <c r="M642" i="35"/>
  <c r="L642" i="35"/>
  <c r="V641" i="35"/>
  <c r="U641" i="35"/>
  <c r="T641" i="35"/>
  <c r="O641" i="35"/>
  <c r="N641" i="35"/>
  <c r="M641" i="35"/>
  <c r="L641" i="35"/>
  <c r="V640" i="35"/>
  <c r="U640" i="35"/>
  <c r="T640" i="35"/>
  <c r="O640" i="35"/>
  <c r="N640" i="35"/>
  <c r="M640" i="35"/>
  <c r="L640" i="35"/>
  <c r="V639" i="35"/>
  <c r="U639" i="35"/>
  <c r="T639" i="35"/>
  <c r="O639" i="35"/>
  <c r="N639" i="35"/>
  <c r="M639" i="35"/>
  <c r="L639" i="35"/>
  <c r="V638" i="35"/>
  <c r="U638" i="35"/>
  <c r="T638" i="35"/>
  <c r="O638" i="35"/>
  <c r="N638" i="35"/>
  <c r="M638" i="35"/>
  <c r="L638" i="35"/>
  <c r="V637" i="35"/>
  <c r="U637" i="35"/>
  <c r="T637" i="35"/>
  <c r="O637" i="35"/>
  <c r="N637" i="35"/>
  <c r="M637" i="35"/>
  <c r="L637" i="35"/>
  <c r="V636" i="35"/>
  <c r="U636" i="35"/>
  <c r="T636" i="35"/>
  <c r="O636" i="35"/>
  <c r="N636" i="35"/>
  <c r="M636" i="35"/>
  <c r="L636" i="35"/>
  <c r="V635" i="35"/>
  <c r="U635" i="35"/>
  <c r="T635" i="35"/>
  <c r="O635" i="35"/>
  <c r="N635" i="35"/>
  <c r="M635" i="35"/>
  <c r="L635" i="35"/>
  <c r="V634" i="35"/>
  <c r="U634" i="35"/>
  <c r="T634" i="35"/>
  <c r="O634" i="35"/>
  <c r="N634" i="35"/>
  <c r="M634" i="35"/>
  <c r="L634" i="35"/>
  <c r="V633" i="35"/>
  <c r="U633" i="35"/>
  <c r="T633" i="35"/>
  <c r="O633" i="35"/>
  <c r="N633" i="35"/>
  <c r="M633" i="35"/>
  <c r="L633" i="35"/>
  <c r="V632" i="35"/>
  <c r="U632" i="35"/>
  <c r="T632" i="35"/>
  <c r="O632" i="35"/>
  <c r="N632" i="35"/>
  <c r="M632" i="35"/>
  <c r="L632" i="35"/>
  <c r="V631" i="35"/>
  <c r="U631" i="35"/>
  <c r="T631" i="35"/>
  <c r="O631" i="35"/>
  <c r="N631" i="35"/>
  <c r="M631" i="35"/>
  <c r="L631" i="35"/>
  <c r="V630" i="35"/>
  <c r="U630" i="35"/>
  <c r="T630" i="35"/>
  <c r="O630" i="35"/>
  <c r="N630" i="35"/>
  <c r="M630" i="35"/>
  <c r="L630" i="35"/>
  <c r="V629" i="35"/>
  <c r="U629" i="35"/>
  <c r="T629" i="35"/>
  <c r="O629" i="35"/>
  <c r="N629" i="35"/>
  <c r="M629" i="35"/>
  <c r="L629" i="35"/>
  <c r="V628" i="35"/>
  <c r="U628" i="35"/>
  <c r="T628" i="35"/>
  <c r="O628" i="35"/>
  <c r="N628" i="35"/>
  <c r="M628" i="35"/>
  <c r="L628" i="35"/>
  <c r="V627" i="35"/>
  <c r="U627" i="35"/>
  <c r="T627" i="35"/>
  <c r="O627" i="35"/>
  <c r="N627" i="35"/>
  <c r="M627" i="35"/>
  <c r="L627" i="35"/>
  <c r="V626" i="35"/>
  <c r="U626" i="35"/>
  <c r="T626" i="35"/>
  <c r="O626" i="35"/>
  <c r="N626" i="35"/>
  <c r="M626" i="35"/>
  <c r="L626" i="35"/>
  <c r="V625" i="35"/>
  <c r="U625" i="35"/>
  <c r="T625" i="35"/>
  <c r="O625" i="35"/>
  <c r="N625" i="35"/>
  <c r="M625" i="35"/>
  <c r="L625" i="35"/>
  <c r="V624" i="35"/>
  <c r="U624" i="35"/>
  <c r="T624" i="35"/>
  <c r="O624" i="35"/>
  <c r="N624" i="35"/>
  <c r="M624" i="35"/>
  <c r="L624" i="35"/>
  <c r="V623" i="35"/>
  <c r="U623" i="35"/>
  <c r="T623" i="35"/>
  <c r="O623" i="35"/>
  <c r="N623" i="35"/>
  <c r="M623" i="35"/>
  <c r="L623" i="35"/>
  <c r="V622" i="35"/>
  <c r="U622" i="35"/>
  <c r="T622" i="35"/>
  <c r="O622" i="35"/>
  <c r="N622" i="35"/>
  <c r="M622" i="35"/>
  <c r="L622" i="35"/>
  <c r="V621" i="35"/>
  <c r="U621" i="35"/>
  <c r="T621" i="35"/>
  <c r="O621" i="35"/>
  <c r="N621" i="35"/>
  <c r="M621" i="35"/>
  <c r="L621" i="35"/>
  <c r="V620" i="35"/>
  <c r="U620" i="35"/>
  <c r="T620" i="35"/>
  <c r="O620" i="35"/>
  <c r="N620" i="35"/>
  <c r="M620" i="35"/>
  <c r="L620" i="35"/>
  <c r="V619" i="35"/>
  <c r="U619" i="35"/>
  <c r="T619" i="35"/>
  <c r="O619" i="35"/>
  <c r="N619" i="35"/>
  <c r="M619" i="35"/>
  <c r="L619" i="35"/>
  <c r="V618" i="35"/>
  <c r="U618" i="35"/>
  <c r="T618" i="35"/>
  <c r="O618" i="35"/>
  <c r="N618" i="35"/>
  <c r="M618" i="35"/>
  <c r="L618" i="35"/>
  <c r="V617" i="35"/>
  <c r="U617" i="35"/>
  <c r="T617" i="35"/>
  <c r="O617" i="35"/>
  <c r="N617" i="35"/>
  <c r="M617" i="35"/>
  <c r="L617" i="35"/>
  <c r="V616" i="35"/>
  <c r="U616" i="35"/>
  <c r="T616" i="35"/>
  <c r="O616" i="35"/>
  <c r="N616" i="35"/>
  <c r="M616" i="35"/>
  <c r="L616" i="35"/>
  <c r="V615" i="35"/>
  <c r="U615" i="35"/>
  <c r="T615" i="35"/>
  <c r="O615" i="35"/>
  <c r="N615" i="35"/>
  <c r="M615" i="35"/>
  <c r="L615" i="35"/>
  <c r="V614" i="35"/>
  <c r="U614" i="35"/>
  <c r="T614" i="35"/>
  <c r="O614" i="35"/>
  <c r="N614" i="35"/>
  <c r="M614" i="35"/>
  <c r="L614" i="35"/>
  <c r="V613" i="35"/>
  <c r="U613" i="35"/>
  <c r="T613" i="35"/>
  <c r="O613" i="35"/>
  <c r="N613" i="35"/>
  <c r="M613" i="35"/>
  <c r="L613" i="35"/>
  <c r="V612" i="35"/>
  <c r="U612" i="35"/>
  <c r="T612" i="35"/>
  <c r="O612" i="35"/>
  <c r="N612" i="35"/>
  <c r="M612" i="35"/>
  <c r="L612" i="35"/>
  <c r="V611" i="35"/>
  <c r="U611" i="35"/>
  <c r="T611" i="35"/>
  <c r="O611" i="35"/>
  <c r="N611" i="35"/>
  <c r="M611" i="35"/>
  <c r="L611" i="35"/>
  <c r="V610" i="35"/>
  <c r="U610" i="35"/>
  <c r="T610" i="35"/>
  <c r="O610" i="35"/>
  <c r="N610" i="35"/>
  <c r="M610" i="35"/>
  <c r="L610" i="35"/>
  <c r="V609" i="35"/>
  <c r="U609" i="35"/>
  <c r="T609" i="35"/>
  <c r="O609" i="35"/>
  <c r="N609" i="35"/>
  <c r="M609" i="35"/>
  <c r="L609" i="35"/>
  <c r="V608" i="35"/>
  <c r="U608" i="35"/>
  <c r="T608" i="35"/>
  <c r="O608" i="35"/>
  <c r="N608" i="35"/>
  <c r="M608" i="35"/>
  <c r="L608" i="35"/>
  <c r="V607" i="35"/>
  <c r="U607" i="35"/>
  <c r="T607" i="35"/>
  <c r="O607" i="35"/>
  <c r="N607" i="35"/>
  <c r="M607" i="35"/>
  <c r="L607" i="35"/>
  <c r="V606" i="35"/>
  <c r="U606" i="35"/>
  <c r="T606" i="35"/>
  <c r="O606" i="35"/>
  <c r="N606" i="35"/>
  <c r="M606" i="35"/>
  <c r="L606" i="35"/>
  <c r="V605" i="35"/>
  <c r="U605" i="35"/>
  <c r="T605" i="35"/>
  <c r="O605" i="35"/>
  <c r="N605" i="35"/>
  <c r="M605" i="35"/>
  <c r="L605" i="35"/>
  <c r="V604" i="35"/>
  <c r="U604" i="35"/>
  <c r="T604" i="35"/>
  <c r="O604" i="35"/>
  <c r="N604" i="35"/>
  <c r="M604" i="35"/>
  <c r="L604" i="35"/>
  <c r="V603" i="35"/>
  <c r="U603" i="35"/>
  <c r="T603" i="35"/>
  <c r="O603" i="35"/>
  <c r="N603" i="35"/>
  <c r="M603" i="35"/>
  <c r="L603" i="35"/>
  <c r="V602" i="35"/>
  <c r="U602" i="35"/>
  <c r="T602" i="35"/>
  <c r="O602" i="35"/>
  <c r="N602" i="35"/>
  <c r="M602" i="35"/>
  <c r="L602" i="35"/>
  <c r="V601" i="35"/>
  <c r="U601" i="35"/>
  <c r="T601" i="35"/>
  <c r="O601" i="35"/>
  <c r="N601" i="35"/>
  <c r="M601" i="35"/>
  <c r="L601" i="35"/>
  <c r="V600" i="35"/>
  <c r="U600" i="35"/>
  <c r="T600" i="35"/>
  <c r="O600" i="35"/>
  <c r="N600" i="35"/>
  <c r="M600" i="35"/>
  <c r="L600" i="35"/>
  <c r="V599" i="35"/>
  <c r="U599" i="35"/>
  <c r="T599" i="35"/>
  <c r="O599" i="35"/>
  <c r="N599" i="35"/>
  <c r="M599" i="35"/>
  <c r="L599" i="35"/>
  <c r="V598" i="35"/>
  <c r="U598" i="35"/>
  <c r="T598" i="35"/>
  <c r="O598" i="35"/>
  <c r="N598" i="35"/>
  <c r="M598" i="35"/>
  <c r="L598" i="35"/>
  <c r="V597" i="35"/>
  <c r="U597" i="35"/>
  <c r="T597" i="35"/>
  <c r="O597" i="35"/>
  <c r="N597" i="35"/>
  <c r="M597" i="35"/>
  <c r="L597" i="35"/>
  <c r="V596" i="35"/>
  <c r="U596" i="35"/>
  <c r="T596" i="35"/>
  <c r="O596" i="35"/>
  <c r="N596" i="35"/>
  <c r="M596" i="35"/>
  <c r="L596" i="35"/>
  <c r="V595" i="35"/>
  <c r="U595" i="35"/>
  <c r="T595" i="35"/>
  <c r="O595" i="35"/>
  <c r="N595" i="35"/>
  <c r="M595" i="35"/>
  <c r="L595" i="35"/>
  <c r="V594" i="35"/>
  <c r="U594" i="35"/>
  <c r="T594" i="35"/>
  <c r="O594" i="35"/>
  <c r="N594" i="35"/>
  <c r="M594" i="35"/>
  <c r="L594" i="35"/>
  <c r="V593" i="35"/>
  <c r="U593" i="35"/>
  <c r="T593" i="35"/>
  <c r="O593" i="35"/>
  <c r="N593" i="35"/>
  <c r="M593" i="35"/>
  <c r="L593" i="35"/>
  <c r="V592" i="35"/>
  <c r="U592" i="35"/>
  <c r="T592" i="35"/>
  <c r="O592" i="35"/>
  <c r="N592" i="35"/>
  <c r="M592" i="35"/>
  <c r="L592" i="35"/>
  <c r="V591" i="35"/>
  <c r="U591" i="35"/>
  <c r="T591" i="35"/>
  <c r="O591" i="35"/>
  <c r="N591" i="35"/>
  <c r="M591" i="35"/>
  <c r="L591" i="35"/>
  <c r="V590" i="35"/>
  <c r="U590" i="35"/>
  <c r="T590" i="35"/>
  <c r="O590" i="35"/>
  <c r="N590" i="35"/>
  <c r="M590" i="35"/>
  <c r="L590" i="35"/>
  <c r="V589" i="35"/>
  <c r="U589" i="35"/>
  <c r="T589" i="35"/>
  <c r="O589" i="35"/>
  <c r="N589" i="35"/>
  <c r="M589" i="35"/>
  <c r="L589" i="35"/>
  <c r="V588" i="35"/>
  <c r="U588" i="35"/>
  <c r="T588" i="35"/>
  <c r="O588" i="35"/>
  <c r="N588" i="35"/>
  <c r="M588" i="35"/>
  <c r="L588" i="35"/>
  <c r="V587" i="35"/>
  <c r="U587" i="35"/>
  <c r="T587" i="35"/>
  <c r="O587" i="35"/>
  <c r="N587" i="35"/>
  <c r="M587" i="35"/>
  <c r="L587" i="35"/>
  <c r="V586" i="35"/>
  <c r="U586" i="35"/>
  <c r="T586" i="35"/>
  <c r="O586" i="35"/>
  <c r="N586" i="35"/>
  <c r="M586" i="35"/>
  <c r="L586" i="35"/>
  <c r="V585" i="35"/>
  <c r="U585" i="35"/>
  <c r="T585" i="35"/>
  <c r="O585" i="35"/>
  <c r="N585" i="35"/>
  <c r="M585" i="35"/>
  <c r="L585" i="35"/>
  <c r="V584" i="35"/>
  <c r="U584" i="35"/>
  <c r="T584" i="35"/>
  <c r="O584" i="35"/>
  <c r="N584" i="35"/>
  <c r="M584" i="35"/>
  <c r="L584" i="35"/>
  <c r="V583" i="35"/>
  <c r="U583" i="35"/>
  <c r="T583" i="35"/>
  <c r="O583" i="35"/>
  <c r="N583" i="35"/>
  <c r="M583" i="35"/>
  <c r="L583" i="35"/>
  <c r="V582" i="35"/>
  <c r="U582" i="35"/>
  <c r="T582" i="35"/>
  <c r="O582" i="35"/>
  <c r="N582" i="35"/>
  <c r="M582" i="35"/>
  <c r="L582" i="35"/>
  <c r="V581" i="35"/>
  <c r="U581" i="35"/>
  <c r="T581" i="35"/>
  <c r="O581" i="35"/>
  <c r="N581" i="35"/>
  <c r="M581" i="35"/>
  <c r="L581" i="35"/>
  <c r="V580" i="35"/>
  <c r="U580" i="35"/>
  <c r="T580" i="35"/>
  <c r="O580" i="35"/>
  <c r="N580" i="35"/>
  <c r="M580" i="35"/>
  <c r="L580" i="35"/>
  <c r="V579" i="35"/>
  <c r="U579" i="35"/>
  <c r="T579" i="35"/>
  <c r="O579" i="35"/>
  <c r="N579" i="35"/>
  <c r="M579" i="35"/>
  <c r="L579" i="35"/>
  <c r="V578" i="35"/>
  <c r="U578" i="35"/>
  <c r="T578" i="35"/>
  <c r="O578" i="35"/>
  <c r="N578" i="35"/>
  <c r="M578" i="35"/>
  <c r="L578" i="35"/>
  <c r="V577" i="35"/>
  <c r="U577" i="35"/>
  <c r="T577" i="35"/>
  <c r="O577" i="35"/>
  <c r="N577" i="35"/>
  <c r="M577" i="35"/>
  <c r="L577" i="35"/>
  <c r="V576" i="35"/>
  <c r="U576" i="35"/>
  <c r="T576" i="35"/>
  <c r="O576" i="35"/>
  <c r="N576" i="35"/>
  <c r="M576" i="35"/>
  <c r="L576" i="35"/>
  <c r="V575" i="35"/>
  <c r="U575" i="35"/>
  <c r="T575" i="35"/>
  <c r="O575" i="35"/>
  <c r="N575" i="35"/>
  <c r="M575" i="35"/>
  <c r="L575" i="35"/>
  <c r="V574" i="35"/>
  <c r="U574" i="35"/>
  <c r="T574" i="35"/>
  <c r="O574" i="35"/>
  <c r="N574" i="35"/>
  <c r="M574" i="35"/>
  <c r="L574" i="35"/>
  <c r="V573" i="35"/>
  <c r="U573" i="35"/>
  <c r="T573" i="35"/>
  <c r="O573" i="35"/>
  <c r="N573" i="35"/>
  <c r="M573" i="35"/>
  <c r="L573" i="35"/>
  <c r="V572" i="35"/>
  <c r="U572" i="35"/>
  <c r="T572" i="35"/>
  <c r="O572" i="35"/>
  <c r="N572" i="35"/>
  <c r="M572" i="35"/>
  <c r="L572" i="35"/>
  <c r="V571" i="35"/>
  <c r="U571" i="35"/>
  <c r="T571" i="35"/>
  <c r="O571" i="35"/>
  <c r="N571" i="35"/>
  <c r="M571" i="35"/>
  <c r="L571" i="35"/>
  <c r="V570" i="35"/>
  <c r="U570" i="35"/>
  <c r="T570" i="35"/>
  <c r="O570" i="35"/>
  <c r="N570" i="35"/>
  <c r="M570" i="35"/>
  <c r="L570" i="35"/>
  <c r="V569" i="35"/>
  <c r="U569" i="35"/>
  <c r="T569" i="35"/>
  <c r="O569" i="35"/>
  <c r="N569" i="35"/>
  <c r="M569" i="35"/>
  <c r="L569" i="35"/>
  <c r="V568" i="35"/>
  <c r="U568" i="35"/>
  <c r="T568" i="35"/>
  <c r="O568" i="35"/>
  <c r="N568" i="35"/>
  <c r="M568" i="35"/>
  <c r="L568" i="35"/>
  <c r="V567" i="35"/>
  <c r="U567" i="35"/>
  <c r="T567" i="35"/>
  <c r="O567" i="35"/>
  <c r="N567" i="35"/>
  <c r="M567" i="35"/>
  <c r="L567" i="35"/>
  <c r="V566" i="35"/>
  <c r="U566" i="35"/>
  <c r="T566" i="35"/>
  <c r="O566" i="35"/>
  <c r="N566" i="35"/>
  <c r="M566" i="35"/>
  <c r="L566" i="35"/>
  <c r="V565" i="35"/>
  <c r="U565" i="35"/>
  <c r="T565" i="35"/>
  <c r="O565" i="35"/>
  <c r="N565" i="35"/>
  <c r="M565" i="35"/>
  <c r="L565" i="35"/>
  <c r="V564" i="35"/>
  <c r="U564" i="35"/>
  <c r="T564" i="35"/>
  <c r="O564" i="35"/>
  <c r="N564" i="35"/>
  <c r="M564" i="35"/>
  <c r="L564" i="35"/>
  <c r="V563" i="35"/>
  <c r="U563" i="35"/>
  <c r="T563" i="35"/>
  <c r="O563" i="35"/>
  <c r="N563" i="35"/>
  <c r="M563" i="35"/>
  <c r="L563" i="35"/>
  <c r="V562" i="35"/>
  <c r="U562" i="35"/>
  <c r="T562" i="35"/>
  <c r="O562" i="35"/>
  <c r="N562" i="35"/>
  <c r="M562" i="35"/>
  <c r="L562" i="35"/>
  <c r="V561" i="35"/>
  <c r="U561" i="35"/>
  <c r="T561" i="35"/>
  <c r="O561" i="35"/>
  <c r="N561" i="35"/>
  <c r="M561" i="35"/>
  <c r="L561" i="35"/>
  <c r="V560" i="35"/>
  <c r="U560" i="35"/>
  <c r="T560" i="35"/>
  <c r="O560" i="35"/>
  <c r="N560" i="35"/>
  <c r="M560" i="35"/>
  <c r="L560" i="35"/>
  <c r="V559" i="35"/>
  <c r="U559" i="35"/>
  <c r="T559" i="35"/>
  <c r="O559" i="35"/>
  <c r="N559" i="35"/>
  <c r="M559" i="35"/>
  <c r="L559" i="35"/>
  <c r="V558" i="35"/>
  <c r="U558" i="35"/>
  <c r="T558" i="35"/>
  <c r="O558" i="35"/>
  <c r="N558" i="35"/>
  <c r="M558" i="35"/>
  <c r="L558" i="35"/>
  <c r="V557" i="35"/>
  <c r="U557" i="35"/>
  <c r="T557" i="35"/>
  <c r="O557" i="35"/>
  <c r="N557" i="35"/>
  <c r="M557" i="35"/>
  <c r="L557" i="35"/>
  <c r="V556" i="35"/>
  <c r="U556" i="35"/>
  <c r="T556" i="35"/>
  <c r="O556" i="35"/>
  <c r="N556" i="35"/>
  <c r="M556" i="35"/>
  <c r="L556" i="35"/>
  <c r="V555" i="35"/>
  <c r="U555" i="35"/>
  <c r="T555" i="35"/>
  <c r="O555" i="35"/>
  <c r="N555" i="35"/>
  <c r="M555" i="35"/>
  <c r="L555" i="35"/>
  <c r="V554" i="35"/>
  <c r="U554" i="35"/>
  <c r="T554" i="35"/>
  <c r="O554" i="35"/>
  <c r="N554" i="35"/>
  <c r="M554" i="35"/>
  <c r="L554" i="35"/>
  <c r="V553" i="35"/>
  <c r="U553" i="35"/>
  <c r="T553" i="35"/>
  <c r="O553" i="35"/>
  <c r="N553" i="35"/>
  <c r="M553" i="35"/>
  <c r="L553" i="35"/>
  <c r="V552" i="35"/>
  <c r="U552" i="35"/>
  <c r="T552" i="35"/>
  <c r="O552" i="35"/>
  <c r="N552" i="35"/>
  <c r="M552" i="35"/>
  <c r="L552" i="35"/>
  <c r="V551" i="35"/>
  <c r="U551" i="35"/>
  <c r="T551" i="35"/>
  <c r="O551" i="35"/>
  <c r="N551" i="35"/>
  <c r="M551" i="35"/>
  <c r="L551" i="35"/>
  <c r="V550" i="35"/>
  <c r="U550" i="35"/>
  <c r="T550" i="35"/>
  <c r="O550" i="35"/>
  <c r="N550" i="35"/>
  <c r="M550" i="35"/>
  <c r="L550" i="35"/>
  <c r="V549" i="35"/>
  <c r="U549" i="35"/>
  <c r="T549" i="35"/>
  <c r="O549" i="35"/>
  <c r="N549" i="35"/>
  <c r="M549" i="35"/>
  <c r="L549" i="35"/>
  <c r="V548" i="35"/>
  <c r="U548" i="35"/>
  <c r="T548" i="35"/>
  <c r="O548" i="35"/>
  <c r="N548" i="35"/>
  <c r="M548" i="35"/>
  <c r="L548" i="35"/>
  <c r="V547" i="35"/>
  <c r="U547" i="35"/>
  <c r="T547" i="35"/>
  <c r="O547" i="35"/>
  <c r="N547" i="35"/>
  <c r="M547" i="35"/>
  <c r="L547" i="35"/>
  <c r="V546" i="35"/>
  <c r="U546" i="35"/>
  <c r="T546" i="35"/>
  <c r="O546" i="35"/>
  <c r="N546" i="35"/>
  <c r="M546" i="35"/>
  <c r="L546" i="35"/>
  <c r="V545" i="35"/>
  <c r="U545" i="35"/>
  <c r="T545" i="35"/>
  <c r="O545" i="35"/>
  <c r="N545" i="35"/>
  <c r="M545" i="35"/>
  <c r="L545" i="35"/>
  <c r="V544" i="35"/>
  <c r="U544" i="35"/>
  <c r="T544" i="35"/>
  <c r="O544" i="35"/>
  <c r="N544" i="35"/>
  <c r="M544" i="35"/>
  <c r="L544" i="35"/>
  <c r="V543" i="35"/>
  <c r="U543" i="35"/>
  <c r="T543" i="35"/>
  <c r="O543" i="35"/>
  <c r="N543" i="35"/>
  <c r="M543" i="35"/>
  <c r="L543" i="35"/>
  <c r="V542" i="35"/>
  <c r="U542" i="35"/>
  <c r="T542" i="35"/>
  <c r="O542" i="35"/>
  <c r="N542" i="35"/>
  <c r="M542" i="35"/>
  <c r="L542" i="35"/>
  <c r="V541" i="35"/>
  <c r="U541" i="35"/>
  <c r="T541" i="35"/>
  <c r="O541" i="35"/>
  <c r="N541" i="35"/>
  <c r="M541" i="35"/>
  <c r="L541" i="35"/>
  <c r="V540" i="35"/>
  <c r="U540" i="35"/>
  <c r="T540" i="35"/>
  <c r="O540" i="35"/>
  <c r="N540" i="35"/>
  <c r="M540" i="35"/>
  <c r="L540" i="35"/>
  <c r="V539" i="35"/>
  <c r="U539" i="35"/>
  <c r="T539" i="35"/>
  <c r="O539" i="35"/>
  <c r="N539" i="35"/>
  <c r="M539" i="35"/>
  <c r="L539" i="35"/>
  <c r="V538" i="35"/>
  <c r="U538" i="35"/>
  <c r="T538" i="35"/>
  <c r="O538" i="35"/>
  <c r="N538" i="35"/>
  <c r="M538" i="35"/>
  <c r="L538" i="35"/>
  <c r="V537" i="35"/>
  <c r="U537" i="35"/>
  <c r="T537" i="35"/>
  <c r="O537" i="35"/>
  <c r="N537" i="35"/>
  <c r="M537" i="35"/>
  <c r="L537" i="35"/>
  <c r="V536" i="35"/>
  <c r="U536" i="35"/>
  <c r="T536" i="35"/>
  <c r="O536" i="35"/>
  <c r="N536" i="35"/>
  <c r="M536" i="35"/>
  <c r="L536" i="35"/>
  <c r="V535" i="35"/>
  <c r="U535" i="35"/>
  <c r="T535" i="35"/>
  <c r="O535" i="35"/>
  <c r="N535" i="35"/>
  <c r="M535" i="35"/>
  <c r="L535" i="35"/>
  <c r="V534" i="35"/>
  <c r="U534" i="35"/>
  <c r="T534" i="35"/>
  <c r="O534" i="35"/>
  <c r="N534" i="35"/>
  <c r="M534" i="35"/>
  <c r="L534" i="35"/>
  <c r="V533" i="35"/>
  <c r="U533" i="35"/>
  <c r="T533" i="35"/>
  <c r="O533" i="35"/>
  <c r="N533" i="35"/>
  <c r="M533" i="35"/>
  <c r="L533" i="35"/>
  <c r="V532" i="35"/>
  <c r="U532" i="35"/>
  <c r="T532" i="35"/>
  <c r="O532" i="35"/>
  <c r="N532" i="35"/>
  <c r="M532" i="35"/>
  <c r="L532" i="35"/>
  <c r="V531" i="35"/>
  <c r="U531" i="35"/>
  <c r="T531" i="35"/>
  <c r="O531" i="35"/>
  <c r="N531" i="35"/>
  <c r="M531" i="35"/>
  <c r="L531" i="35"/>
  <c r="V530" i="35"/>
  <c r="U530" i="35"/>
  <c r="T530" i="35"/>
  <c r="O530" i="35"/>
  <c r="N530" i="35"/>
  <c r="M530" i="35"/>
  <c r="L530" i="35"/>
  <c r="V529" i="35"/>
  <c r="U529" i="35"/>
  <c r="T529" i="35"/>
  <c r="O529" i="35"/>
  <c r="N529" i="35"/>
  <c r="M529" i="35"/>
  <c r="L529" i="35"/>
  <c r="V528" i="35"/>
  <c r="U528" i="35"/>
  <c r="T528" i="35"/>
  <c r="O528" i="35"/>
  <c r="N528" i="35"/>
  <c r="M528" i="35"/>
  <c r="L528" i="35"/>
  <c r="V527" i="35"/>
  <c r="U527" i="35"/>
  <c r="T527" i="35"/>
  <c r="O527" i="35"/>
  <c r="N527" i="35"/>
  <c r="M527" i="35"/>
  <c r="L527" i="35"/>
  <c r="V526" i="35"/>
  <c r="U526" i="35"/>
  <c r="T526" i="35"/>
  <c r="O526" i="35"/>
  <c r="N526" i="35"/>
  <c r="M526" i="35"/>
  <c r="L526" i="35"/>
  <c r="V525" i="35"/>
  <c r="U525" i="35"/>
  <c r="T525" i="35"/>
  <c r="O525" i="35"/>
  <c r="N525" i="35"/>
  <c r="M525" i="35"/>
  <c r="L525" i="35"/>
  <c r="V524" i="35"/>
  <c r="U524" i="35"/>
  <c r="T524" i="35"/>
  <c r="O524" i="35"/>
  <c r="N524" i="35"/>
  <c r="M524" i="35"/>
  <c r="L524" i="35"/>
  <c r="V523" i="35"/>
  <c r="U523" i="35"/>
  <c r="T523" i="35"/>
  <c r="O523" i="35"/>
  <c r="N523" i="35"/>
  <c r="M523" i="35"/>
  <c r="L523" i="35"/>
  <c r="V522" i="35"/>
  <c r="U522" i="35"/>
  <c r="T522" i="35"/>
  <c r="O522" i="35"/>
  <c r="N522" i="35"/>
  <c r="M522" i="35"/>
  <c r="L522" i="35"/>
  <c r="V521" i="35"/>
  <c r="U521" i="35"/>
  <c r="T521" i="35"/>
  <c r="O521" i="35"/>
  <c r="N521" i="35"/>
  <c r="M521" i="35"/>
  <c r="L521" i="35"/>
  <c r="V520" i="35"/>
  <c r="U520" i="35"/>
  <c r="T520" i="35"/>
  <c r="O520" i="35"/>
  <c r="N520" i="35"/>
  <c r="M520" i="35"/>
  <c r="L520" i="35"/>
  <c r="V519" i="35"/>
  <c r="U519" i="35"/>
  <c r="T519" i="35"/>
  <c r="O519" i="35"/>
  <c r="N519" i="35"/>
  <c r="M519" i="35"/>
  <c r="L519" i="35"/>
  <c r="V518" i="35"/>
  <c r="U518" i="35"/>
  <c r="T518" i="35"/>
  <c r="O518" i="35"/>
  <c r="N518" i="35"/>
  <c r="M518" i="35"/>
  <c r="L518" i="35"/>
  <c r="V517" i="35"/>
  <c r="U517" i="35"/>
  <c r="T517" i="35"/>
  <c r="O517" i="35"/>
  <c r="N517" i="35"/>
  <c r="M517" i="35"/>
  <c r="L517" i="35"/>
  <c r="V516" i="35"/>
  <c r="U516" i="35"/>
  <c r="T516" i="35"/>
  <c r="O516" i="35"/>
  <c r="N516" i="35"/>
  <c r="M516" i="35"/>
  <c r="L516" i="35"/>
  <c r="V515" i="35"/>
  <c r="U515" i="35"/>
  <c r="T515" i="35"/>
  <c r="O515" i="35"/>
  <c r="N515" i="35"/>
  <c r="M515" i="35"/>
  <c r="L515" i="35"/>
  <c r="V514" i="35"/>
  <c r="U514" i="35"/>
  <c r="T514" i="35"/>
  <c r="O514" i="35"/>
  <c r="N514" i="35"/>
  <c r="M514" i="35"/>
  <c r="L514" i="35"/>
  <c r="V513" i="35"/>
  <c r="U513" i="35"/>
  <c r="T513" i="35"/>
  <c r="O513" i="35"/>
  <c r="N513" i="35"/>
  <c r="M513" i="35"/>
  <c r="L513" i="35"/>
  <c r="V512" i="35"/>
  <c r="U512" i="35"/>
  <c r="T512" i="35"/>
  <c r="O512" i="35"/>
  <c r="N512" i="35"/>
  <c r="M512" i="35"/>
  <c r="L512" i="35"/>
  <c r="V511" i="35"/>
  <c r="U511" i="35"/>
  <c r="T511" i="35"/>
  <c r="O511" i="35"/>
  <c r="N511" i="35"/>
  <c r="M511" i="35"/>
  <c r="L511" i="35"/>
  <c r="V510" i="35"/>
  <c r="U510" i="35"/>
  <c r="T510" i="35"/>
  <c r="O510" i="35"/>
  <c r="N510" i="35"/>
  <c r="M510" i="35"/>
  <c r="L510" i="35"/>
  <c r="V509" i="35"/>
  <c r="U509" i="35"/>
  <c r="T509" i="35"/>
  <c r="O509" i="35"/>
  <c r="N509" i="35"/>
  <c r="M509" i="35"/>
  <c r="L509" i="35"/>
  <c r="V508" i="35"/>
  <c r="U508" i="35"/>
  <c r="T508" i="35"/>
  <c r="O508" i="35"/>
  <c r="N508" i="35"/>
  <c r="M508" i="35"/>
  <c r="L508" i="35"/>
  <c r="V507" i="35"/>
  <c r="U507" i="35"/>
  <c r="T507" i="35"/>
  <c r="O507" i="35"/>
  <c r="N507" i="35"/>
  <c r="M507" i="35"/>
  <c r="L507" i="35"/>
  <c r="V506" i="35"/>
  <c r="U506" i="35"/>
  <c r="T506" i="35"/>
  <c r="O506" i="35"/>
  <c r="N506" i="35"/>
  <c r="M506" i="35"/>
  <c r="L506" i="35"/>
  <c r="V505" i="35"/>
  <c r="U505" i="35"/>
  <c r="T505" i="35"/>
  <c r="O505" i="35"/>
  <c r="N505" i="35"/>
  <c r="M505" i="35"/>
  <c r="L505" i="35"/>
  <c r="V504" i="35"/>
  <c r="U504" i="35"/>
  <c r="T504" i="35"/>
  <c r="O504" i="35"/>
  <c r="N504" i="35"/>
  <c r="M504" i="35"/>
  <c r="L504" i="35"/>
  <c r="V503" i="35"/>
  <c r="U503" i="35"/>
  <c r="T503" i="35"/>
  <c r="O503" i="35"/>
  <c r="N503" i="35"/>
  <c r="M503" i="35"/>
  <c r="L503" i="35"/>
  <c r="V502" i="35"/>
  <c r="U502" i="35"/>
  <c r="T502" i="35"/>
  <c r="O502" i="35"/>
  <c r="N502" i="35"/>
  <c r="M502" i="35"/>
  <c r="L502" i="35"/>
  <c r="V501" i="35"/>
  <c r="U501" i="35"/>
  <c r="T501" i="35"/>
  <c r="O501" i="35"/>
  <c r="N501" i="35"/>
  <c r="M501" i="35"/>
  <c r="L501" i="35"/>
  <c r="V500" i="35"/>
  <c r="U500" i="35"/>
  <c r="T500" i="35"/>
  <c r="O500" i="35"/>
  <c r="N500" i="35"/>
  <c r="M500" i="35"/>
  <c r="L500" i="35"/>
  <c r="V499" i="35"/>
  <c r="U499" i="35"/>
  <c r="T499" i="35"/>
  <c r="O499" i="35"/>
  <c r="N499" i="35"/>
  <c r="M499" i="35"/>
  <c r="L499" i="35"/>
  <c r="V498" i="35"/>
  <c r="U498" i="35"/>
  <c r="T498" i="35"/>
  <c r="O498" i="35"/>
  <c r="N498" i="35"/>
  <c r="M498" i="35"/>
  <c r="L498" i="35"/>
  <c r="V497" i="35"/>
  <c r="U497" i="35"/>
  <c r="T497" i="35"/>
  <c r="O497" i="35"/>
  <c r="N497" i="35"/>
  <c r="M497" i="35"/>
  <c r="L497" i="35"/>
  <c r="V496" i="35"/>
  <c r="U496" i="35"/>
  <c r="T496" i="35"/>
  <c r="O496" i="35"/>
  <c r="N496" i="35"/>
  <c r="M496" i="35"/>
  <c r="L496" i="35"/>
  <c r="V495" i="35"/>
  <c r="U495" i="35"/>
  <c r="T495" i="35"/>
  <c r="O495" i="35"/>
  <c r="N495" i="35"/>
  <c r="M495" i="35"/>
  <c r="L495" i="35"/>
  <c r="V494" i="35"/>
  <c r="U494" i="35"/>
  <c r="T494" i="35"/>
  <c r="O494" i="35"/>
  <c r="N494" i="35"/>
  <c r="M494" i="35"/>
  <c r="L494" i="35"/>
  <c r="V493" i="35"/>
  <c r="U493" i="35"/>
  <c r="T493" i="35"/>
  <c r="O493" i="35"/>
  <c r="N493" i="35"/>
  <c r="M493" i="35"/>
  <c r="L493" i="35"/>
  <c r="V492" i="35"/>
  <c r="U492" i="35"/>
  <c r="T492" i="35"/>
  <c r="O492" i="35"/>
  <c r="N492" i="35"/>
  <c r="M492" i="35"/>
  <c r="L492" i="35"/>
  <c r="V491" i="35"/>
  <c r="U491" i="35"/>
  <c r="T491" i="35"/>
  <c r="O491" i="35"/>
  <c r="N491" i="35"/>
  <c r="M491" i="35"/>
  <c r="L491" i="35"/>
  <c r="V490" i="35"/>
  <c r="U490" i="35"/>
  <c r="T490" i="35"/>
  <c r="O490" i="35"/>
  <c r="N490" i="35"/>
  <c r="M490" i="35"/>
  <c r="L490" i="35"/>
  <c r="V489" i="35"/>
  <c r="U489" i="35"/>
  <c r="T489" i="35"/>
  <c r="O489" i="35"/>
  <c r="N489" i="35"/>
  <c r="M489" i="35"/>
  <c r="L489" i="35"/>
  <c r="V488" i="35"/>
  <c r="U488" i="35"/>
  <c r="T488" i="35"/>
  <c r="O488" i="35"/>
  <c r="N488" i="35"/>
  <c r="M488" i="35"/>
  <c r="L488" i="35"/>
  <c r="V487" i="35"/>
  <c r="U487" i="35"/>
  <c r="T487" i="35"/>
  <c r="O487" i="35"/>
  <c r="N487" i="35"/>
  <c r="M487" i="35"/>
  <c r="L487" i="35"/>
  <c r="V486" i="35"/>
  <c r="U486" i="35"/>
  <c r="T486" i="35"/>
  <c r="O486" i="35"/>
  <c r="N486" i="35"/>
  <c r="M486" i="35"/>
  <c r="L486" i="35"/>
  <c r="V485" i="35"/>
  <c r="U485" i="35"/>
  <c r="T485" i="35"/>
  <c r="O485" i="35"/>
  <c r="N485" i="35"/>
  <c r="M485" i="35"/>
  <c r="L485" i="35"/>
  <c r="V484" i="35"/>
  <c r="U484" i="35"/>
  <c r="T484" i="35"/>
  <c r="O484" i="35"/>
  <c r="N484" i="35"/>
  <c r="M484" i="35"/>
  <c r="L484" i="35"/>
  <c r="V483" i="35"/>
  <c r="U483" i="35"/>
  <c r="T483" i="35"/>
  <c r="O483" i="35"/>
  <c r="N483" i="35"/>
  <c r="M483" i="35"/>
  <c r="L483" i="35"/>
  <c r="V482" i="35"/>
  <c r="U482" i="35"/>
  <c r="T482" i="35"/>
  <c r="O482" i="35"/>
  <c r="N482" i="35"/>
  <c r="M482" i="35"/>
  <c r="L482" i="35"/>
  <c r="V481" i="35"/>
  <c r="U481" i="35"/>
  <c r="T481" i="35"/>
  <c r="O481" i="35"/>
  <c r="N481" i="35"/>
  <c r="M481" i="35"/>
  <c r="L481" i="35"/>
  <c r="V480" i="35"/>
  <c r="U480" i="35"/>
  <c r="T480" i="35"/>
  <c r="O480" i="35"/>
  <c r="N480" i="35"/>
  <c r="M480" i="35"/>
  <c r="L480" i="35"/>
  <c r="V479" i="35"/>
  <c r="U479" i="35"/>
  <c r="T479" i="35"/>
  <c r="O479" i="35"/>
  <c r="N479" i="35"/>
  <c r="M479" i="35"/>
  <c r="L479" i="35"/>
  <c r="V478" i="35"/>
  <c r="U478" i="35"/>
  <c r="T478" i="35"/>
  <c r="O478" i="35"/>
  <c r="N478" i="35"/>
  <c r="M478" i="35"/>
  <c r="L478" i="35"/>
  <c r="V477" i="35"/>
  <c r="U477" i="35"/>
  <c r="T477" i="35"/>
  <c r="O477" i="35"/>
  <c r="N477" i="35"/>
  <c r="M477" i="35"/>
  <c r="L477" i="35"/>
  <c r="V476" i="35"/>
  <c r="U476" i="35"/>
  <c r="T476" i="35"/>
  <c r="O476" i="35"/>
  <c r="N476" i="35"/>
  <c r="M476" i="35"/>
  <c r="L476" i="35"/>
  <c r="V475" i="35"/>
  <c r="U475" i="35"/>
  <c r="T475" i="35"/>
  <c r="O475" i="35"/>
  <c r="N475" i="35"/>
  <c r="M475" i="35"/>
  <c r="L475" i="35"/>
  <c r="V474" i="35"/>
  <c r="U474" i="35"/>
  <c r="T474" i="35"/>
  <c r="O474" i="35"/>
  <c r="N474" i="35"/>
  <c r="M474" i="35"/>
  <c r="L474" i="35"/>
  <c r="V473" i="35"/>
  <c r="U473" i="35"/>
  <c r="T473" i="35"/>
  <c r="O473" i="35"/>
  <c r="N473" i="35"/>
  <c r="M473" i="35"/>
  <c r="L473" i="35"/>
  <c r="V472" i="35"/>
  <c r="U472" i="35"/>
  <c r="T472" i="35"/>
  <c r="O472" i="35"/>
  <c r="N472" i="35"/>
  <c r="M472" i="35"/>
  <c r="L472" i="35"/>
  <c r="V471" i="35"/>
  <c r="U471" i="35"/>
  <c r="T471" i="35"/>
  <c r="O471" i="35"/>
  <c r="N471" i="35"/>
  <c r="M471" i="35"/>
  <c r="L471" i="35"/>
  <c r="V470" i="35"/>
  <c r="U470" i="35"/>
  <c r="T470" i="35"/>
  <c r="O470" i="35"/>
  <c r="N470" i="35"/>
  <c r="M470" i="35"/>
  <c r="L470" i="35"/>
  <c r="V469" i="35"/>
  <c r="U469" i="35"/>
  <c r="T469" i="35"/>
  <c r="O469" i="35"/>
  <c r="N469" i="35"/>
  <c r="M469" i="35"/>
  <c r="L469" i="35"/>
  <c r="V468" i="35"/>
  <c r="U468" i="35"/>
  <c r="T468" i="35"/>
  <c r="O468" i="35"/>
  <c r="N468" i="35"/>
  <c r="M468" i="35"/>
  <c r="L468" i="35"/>
  <c r="V467" i="35"/>
  <c r="U467" i="35"/>
  <c r="T467" i="35"/>
  <c r="O467" i="35"/>
  <c r="N467" i="35"/>
  <c r="M467" i="35"/>
  <c r="L467" i="35"/>
  <c r="V466" i="35"/>
  <c r="U466" i="35"/>
  <c r="T466" i="35"/>
  <c r="O466" i="35"/>
  <c r="N466" i="35"/>
  <c r="M466" i="35"/>
  <c r="L466" i="35"/>
  <c r="V465" i="35"/>
  <c r="U465" i="35"/>
  <c r="T465" i="35"/>
  <c r="O465" i="35"/>
  <c r="N465" i="35"/>
  <c r="M465" i="35"/>
  <c r="L465" i="35"/>
  <c r="V464" i="35"/>
  <c r="U464" i="35"/>
  <c r="T464" i="35"/>
  <c r="O464" i="35"/>
  <c r="N464" i="35"/>
  <c r="M464" i="35"/>
  <c r="L464" i="35"/>
  <c r="V463" i="35"/>
  <c r="U463" i="35"/>
  <c r="T463" i="35"/>
  <c r="O463" i="35"/>
  <c r="N463" i="35"/>
  <c r="M463" i="35"/>
  <c r="L463" i="35"/>
  <c r="V462" i="35"/>
  <c r="U462" i="35"/>
  <c r="T462" i="35"/>
  <c r="O462" i="35"/>
  <c r="N462" i="35"/>
  <c r="M462" i="35"/>
  <c r="L462" i="35"/>
  <c r="V461" i="35"/>
  <c r="U461" i="35"/>
  <c r="T461" i="35"/>
  <c r="O461" i="35"/>
  <c r="N461" i="35"/>
  <c r="M461" i="35"/>
  <c r="L461" i="35"/>
  <c r="V460" i="35"/>
  <c r="U460" i="35"/>
  <c r="T460" i="35"/>
  <c r="O460" i="35"/>
  <c r="N460" i="35"/>
  <c r="M460" i="35"/>
  <c r="L460" i="35"/>
  <c r="V459" i="35"/>
  <c r="U459" i="35"/>
  <c r="T459" i="35"/>
  <c r="O459" i="35"/>
  <c r="N459" i="35"/>
  <c r="M459" i="35"/>
  <c r="L459" i="35"/>
  <c r="V458" i="35"/>
  <c r="U458" i="35"/>
  <c r="T458" i="35"/>
  <c r="O458" i="35"/>
  <c r="N458" i="35"/>
  <c r="M458" i="35"/>
  <c r="L458" i="35"/>
  <c r="V457" i="35"/>
  <c r="U457" i="35"/>
  <c r="T457" i="35"/>
  <c r="O457" i="35"/>
  <c r="N457" i="35"/>
  <c r="M457" i="35"/>
  <c r="L457" i="35"/>
  <c r="V456" i="35"/>
  <c r="U456" i="35"/>
  <c r="T456" i="35"/>
  <c r="O456" i="35"/>
  <c r="N456" i="35"/>
  <c r="M456" i="35"/>
  <c r="L456" i="35"/>
  <c r="V455" i="35"/>
  <c r="U455" i="35"/>
  <c r="T455" i="35"/>
  <c r="O455" i="35"/>
  <c r="N455" i="35"/>
  <c r="M455" i="35"/>
  <c r="L455" i="35"/>
  <c r="V454" i="35"/>
  <c r="U454" i="35"/>
  <c r="T454" i="35"/>
  <c r="O454" i="35"/>
  <c r="N454" i="35"/>
  <c r="M454" i="35"/>
  <c r="L454" i="35"/>
  <c r="V453" i="35"/>
  <c r="U453" i="35"/>
  <c r="T453" i="35"/>
  <c r="O453" i="35"/>
  <c r="N453" i="35"/>
  <c r="M453" i="35"/>
  <c r="L453" i="35"/>
  <c r="V452" i="35"/>
  <c r="U452" i="35"/>
  <c r="T452" i="35"/>
  <c r="O452" i="35"/>
  <c r="N452" i="35"/>
  <c r="M452" i="35"/>
  <c r="L452" i="35"/>
  <c r="V451" i="35"/>
  <c r="U451" i="35"/>
  <c r="T451" i="35"/>
  <c r="O451" i="35"/>
  <c r="N451" i="35"/>
  <c r="M451" i="35"/>
  <c r="L451" i="35"/>
  <c r="V450" i="35"/>
  <c r="U450" i="35"/>
  <c r="T450" i="35"/>
  <c r="O450" i="35"/>
  <c r="N450" i="35"/>
  <c r="M450" i="35"/>
  <c r="L450" i="35"/>
  <c r="V449" i="35"/>
  <c r="U449" i="35"/>
  <c r="T449" i="35"/>
  <c r="O449" i="35"/>
  <c r="N449" i="35"/>
  <c r="M449" i="35"/>
  <c r="L449" i="35"/>
  <c r="V448" i="35"/>
  <c r="U448" i="35"/>
  <c r="T448" i="35"/>
  <c r="O448" i="35"/>
  <c r="N448" i="35"/>
  <c r="M448" i="35"/>
  <c r="L448" i="35"/>
  <c r="V447" i="35"/>
  <c r="U447" i="35"/>
  <c r="T447" i="35"/>
  <c r="O447" i="35"/>
  <c r="N447" i="35"/>
  <c r="M447" i="35"/>
  <c r="L447" i="35"/>
  <c r="V446" i="35"/>
  <c r="U446" i="35"/>
  <c r="T446" i="35"/>
  <c r="O446" i="35"/>
  <c r="N446" i="35"/>
  <c r="M446" i="35"/>
  <c r="L446" i="35"/>
  <c r="V445" i="35"/>
  <c r="U445" i="35"/>
  <c r="T445" i="35"/>
  <c r="O445" i="35"/>
  <c r="N445" i="35"/>
  <c r="M445" i="35"/>
  <c r="L445" i="35"/>
  <c r="V444" i="35"/>
  <c r="U444" i="35"/>
  <c r="T444" i="35"/>
  <c r="O444" i="35"/>
  <c r="N444" i="35"/>
  <c r="M444" i="35"/>
  <c r="L444" i="35"/>
  <c r="V443" i="35"/>
  <c r="U443" i="35"/>
  <c r="T443" i="35"/>
  <c r="O443" i="35"/>
  <c r="N443" i="35"/>
  <c r="M443" i="35"/>
  <c r="L443" i="35"/>
  <c r="V442" i="35"/>
  <c r="U442" i="35"/>
  <c r="T442" i="35"/>
  <c r="O442" i="35"/>
  <c r="N442" i="35"/>
  <c r="M442" i="35"/>
  <c r="L442" i="35"/>
  <c r="V441" i="35"/>
  <c r="U441" i="35"/>
  <c r="T441" i="35"/>
  <c r="O441" i="35"/>
  <c r="N441" i="35"/>
  <c r="M441" i="35"/>
  <c r="L441" i="35"/>
  <c r="V440" i="35"/>
  <c r="U440" i="35"/>
  <c r="T440" i="35"/>
  <c r="O440" i="35"/>
  <c r="N440" i="35"/>
  <c r="M440" i="35"/>
  <c r="L440" i="35"/>
  <c r="V439" i="35"/>
  <c r="U439" i="35"/>
  <c r="T439" i="35"/>
  <c r="O439" i="35"/>
  <c r="N439" i="35"/>
  <c r="M439" i="35"/>
  <c r="L439" i="35"/>
  <c r="V438" i="35"/>
  <c r="U438" i="35"/>
  <c r="T438" i="35"/>
  <c r="O438" i="35"/>
  <c r="N438" i="35"/>
  <c r="M438" i="35"/>
  <c r="L438" i="35"/>
  <c r="V437" i="35"/>
  <c r="U437" i="35"/>
  <c r="T437" i="35"/>
  <c r="O437" i="35"/>
  <c r="N437" i="35"/>
  <c r="M437" i="35"/>
  <c r="L437" i="35"/>
  <c r="V436" i="35"/>
  <c r="U436" i="35"/>
  <c r="T436" i="35"/>
  <c r="O436" i="35"/>
  <c r="N436" i="35"/>
  <c r="M436" i="35"/>
  <c r="L436" i="35"/>
  <c r="V435" i="35"/>
  <c r="U435" i="35"/>
  <c r="T435" i="35"/>
  <c r="O435" i="35"/>
  <c r="N435" i="35"/>
  <c r="M435" i="35"/>
  <c r="L435" i="35"/>
  <c r="V434" i="35"/>
  <c r="U434" i="35"/>
  <c r="T434" i="35"/>
  <c r="O434" i="35"/>
  <c r="N434" i="35"/>
  <c r="M434" i="35"/>
  <c r="L434" i="35"/>
  <c r="V433" i="35"/>
  <c r="U433" i="35"/>
  <c r="T433" i="35"/>
  <c r="O433" i="35"/>
  <c r="N433" i="35"/>
  <c r="M433" i="35"/>
  <c r="L433" i="35"/>
  <c r="V432" i="35"/>
  <c r="U432" i="35"/>
  <c r="T432" i="35"/>
  <c r="O432" i="35"/>
  <c r="N432" i="35"/>
  <c r="M432" i="35"/>
  <c r="L432" i="35"/>
  <c r="V431" i="35"/>
  <c r="U431" i="35"/>
  <c r="T431" i="35"/>
  <c r="O431" i="35"/>
  <c r="N431" i="35"/>
  <c r="M431" i="35"/>
  <c r="L431" i="35"/>
  <c r="V430" i="35"/>
  <c r="U430" i="35"/>
  <c r="T430" i="35"/>
  <c r="O430" i="35"/>
  <c r="N430" i="35"/>
  <c r="M430" i="35"/>
  <c r="L430" i="35"/>
  <c r="V429" i="35"/>
  <c r="U429" i="35"/>
  <c r="T429" i="35"/>
  <c r="O429" i="35"/>
  <c r="N429" i="35"/>
  <c r="M429" i="35"/>
  <c r="L429" i="35"/>
  <c r="V428" i="35"/>
  <c r="U428" i="35"/>
  <c r="T428" i="35"/>
  <c r="O428" i="35"/>
  <c r="N428" i="35"/>
  <c r="M428" i="35"/>
  <c r="L428" i="35"/>
  <c r="V427" i="35"/>
  <c r="U427" i="35"/>
  <c r="T427" i="35"/>
  <c r="O427" i="35"/>
  <c r="N427" i="35"/>
  <c r="M427" i="35"/>
  <c r="L427" i="35"/>
  <c r="V426" i="35"/>
  <c r="U426" i="35"/>
  <c r="T426" i="35"/>
  <c r="O426" i="35"/>
  <c r="N426" i="35"/>
  <c r="M426" i="35"/>
  <c r="L426" i="35"/>
  <c r="V425" i="35"/>
  <c r="U425" i="35"/>
  <c r="T425" i="35"/>
  <c r="O425" i="35"/>
  <c r="N425" i="35"/>
  <c r="M425" i="35"/>
  <c r="L425" i="35"/>
  <c r="V424" i="35"/>
  <c r="U424" i="35"/>
  <c r="T424" i="35"/>
  <c r="O424" i="35"/>
  <c r="N424" i="35"/>
  <c r="M424" i="35"/>
  <c r="L424" i="35"/>
  <c r="V423" i="35"/>
  <c r="U423" i="35"/>
  <c r="T423" i="35"/>
  <c r="O423" i="35"/>
  <c r="N423" i="35"/>
  <c r="M423" i="35"/>
  <c r="L423" i="35"/>
  <c r="V422" i="35"/>
  <c r="U422" i="35"/>
  <c r="T422" i="35"/>
  <c r="O422" i="35"/>
  <c r="N422" i="35"/>
  <c r="M422" i="35"/>
  <c r="L422" i="35"/>
  <c r="V421" i="35"/>
  <c r="U421" i="35"/>
  <c r="T421" i="35"/>
  <c r="O421" i="35"/>
  <c r="N421" i="35"/>
  <c r="M421" i="35"/>
  <c r="L421" i="35"/>
  <c r="V420" i="35"/>
  <c r="U420" i="35"/>
  <c r="T420" i="35"/>
  <c r="O420" i="35"/>
  <c r="N420" i="35"/>
  <c r="M420" i="35"/>
  <c r="L420" i="35"/>
  <c r="V419" i="35"/>
  <c r="U419" i="35"/>
  <c r="T419" i="35"/>
  <c r="O419" i="35"/>
  <c r="N419" i="35"/>
  <c r="M419" i="35"/>
  <c r="L419" i="35"/>
  <c r="V418" i="35"/>
  <c r="U418" i="35"/>
  <c r="T418" i="35"/>
  <c r="O418" i="35"/>
  <c r="N418" i="35"/>
  <c r="M418" i="35"/>
  <c r="L418" i="35"/>
  <c r="V417" i="35"/>
  <c r="U417" i="35"/>
  <c r="T417" i="35"/>
  <c r="O417" i="35"/>
  <c r="N417" i="35"/>
  <c r="M417" i="35"/>
  <c r="L417" i="35"/>
  <c r="V416" i="35"/>
  <c r="U416" i="35"/>
  <c r="T416" i="35"/>
  <c r="O416" i="35"/>
  <c r="N416" i="35"/>
  <c r="M416" i="35"/>
  <c r="L416" i="35"/>
  <c r="V415" i="35"/>
  <c r="U415" i="35"/>
  <c r="T415" i="35"/>
  <c r="O415" i="35"/>
  <c r="N415" i="35"/>
  <c r="M415" i="35"/>
  <c r="L415" i="35"/>
  <c r="V414" i="35"/>
  <c r="U414" i="35"/>
  <c r="T414" i="35"/>
  <c r="O414" i="35"/>
  <c r="N414" i="35"/>
  <c r="M414" i="35"/>
  <c r="L414" i="35"/>
  <c r="V413" i="35"/>
  <c r="U413" i="35"/>
  <c r="T413" i="35"/>
  <c r="O413" i="35"/>
  <c r="N413" i="35"/>
  <c r="M413" i="35"/>
  <c r="L413" i="35"/>
  <c r="V412" i="35"/>
  <c r="U412" i="35"/>
  <c r="T412" i="35"/>
  <c r="O412" i="35"/>
  <c r="N412" i="35"/>
  <c r="M412" i="35"/>
  <c r="L412" i="35"/>
  <c r="V411" i="35"/>
  <c r="U411" i="35"/>
  <c r="T411" i="35"/>
  <c r="O411" i="35"/>
  <c r="N411" i="35"/>
  <c r="M411" i="35"/>
  <c r="L411" i="35"/>
  <c r="V410" i="35"/>
  <c r="U410" i="35"/>
  <c r="T410" i="35"/>
  <c r="O410" i="35"/>
  <c r="N410" i="35"/>
  <c r="M410" i="35"/>
  <c r="L410" i="35"/>
  <c r="V409" i="35"/>
  <c r="U409" i="35"/>
  <c r="T409" i="35"/>
  <c r="O409" i="35"/>
  <c r="N409" i="35"/>
  <c r="M409" i="35"/>
  <c r="L409" i="35"/>
  <c r="V408" i="35"/>
  <c r="U408" i="35"/>
  <c r="T408" i="35"/>
  <c r="O408" i="35"/>
  <c r="N408" i="35"/>
  <c r="M408" i="35"/>
  <c r="L408" i="35"/>
  <c r="V407" i="35"/>
  <c r="U407" i="35"/>
  <c r="T407" i="35"/>
  <c r="O407" i="35"/>
  <c r="N407" i="35"/>
  <c r="M407" i="35"/>
  <c r="L407" i="35"/>
  <c r="V406" i="35"/>
  <c r="U406" i="35"/>
  <c r="T406" i="35"/>
  <c r="O406" i="35"/>
  <c r="N406" i="35"/>
  <c r="M406" i="35"/>
  <c r="L406" i="35"/>
  <c r="V405" i="35"/>
  <c r="U405" i="35"/>
  <c r="T405" i="35"/>
  <c r="O405" i="35"/>
  <c r="N405" i="35"/>
  <c r="M405" i="35"/>
  <c r="L405" i="35"/>
  <c r="V404" i="35"/>
  <c r="U404" i="35"/>
  <c r="T404" i="35"/>
  <c r="O404" i="35"/>
  <c r="N404" i="35"/>
  <c r="M404" i="35"/>
  <c r="L404" i="35"/>
  <c r="V403" i="35"/>
  <c r="U403" i="35"/>
  <c r="T403" i="35"/>
  <c r="O403" i="35"/>
  <c r="N403" i="35"/>
  <c r="M403" i="35"/>
  <c r="L403" i="35"/>
  <c r="V402" i="35"/>
  <c r="U402" i="35"/>
  <c r="T402" i="35"/>
  <c r="O402" i="35"/>
  <c r="N402" i="35"/>
  <c r="M402" i="35"/>
  <c r="L402" i="35"/>
  <c r="V401" i="35"/>
  <c r="U401" i="35"/>
  <c r="T401" i="35"/>
  <c r="O401" i="35"/>
  <c r="N401" i="35"/>
  <c r="M401" i="35"/>
  <c r="L401" i="35"/>
  <c r="V400" i="35"/>
  <c r="U400" i="35"/>
  <c r="T400" i="35"/>
  <c r="O400" i="35"/>
  <c r="N400" i="35"/>
  <c r="M400" i="35"/>
  <c r="L400" i="35"/>
  <c r="V399" i="35"/>
  <c r="U399" i="35"/>
  <c r="T399" i="35"/>
  <c r="O399" i="35"/>
  <c r="N399" i="35"/>
  <c r="M399" i="35"/>
  <c r="L399" i="35"/>
  <c r="V398" i="35"/>
  <c r="U398" i="35"/>
  <c r="T398" i="35"/>
  <c r="O398" i="35"/>
  <c r="N398" i="35"/>
  <c r="M398" i="35"/>
  <c r="L398" i="35"/>
  <c r="V397" i="35"/>
  <c r="U397" i="35"/>
  <c r="T397" i="35"/>
  <c r="O397" i="35"/>
  <c r="N397" i="35"/>
  <c r="M397" i="35"/>
  <c r="L397" i="35"/>
  <c r="V396" i="35"/>
  <c r="U396" i="35"/>
  <c r="T396" i="35"/>
  <c r="O396" i="35"/>
  <c r="N396" i="35"/>
  <c r="M396" i="35"/>
  <c r="L396" i="35"/>
  <c r="V395" i="35"/>
  <c r="U395" i="35"/>
  <c r="T395" i="35"/>
  <c r="O395" i="35"/>
  <c r="N395" i="35"/>
  <c r="M395" i="35"/>
  <c r="L395" i="35"/>
  <c r="V394" i="35"/>
  <c r="U394" i="35"/>
  <c r="T394" i="35"/>
  <c r="O394" i="35"/>
  <c r="N394" i="35"/>
  <c r="M394" i="35"/>
  <c r="L394" i="35"/>
  <c r="V393" i="35"/>
  <c r="U393" i="35"/>
  <c r="T393" i="35"/>
  <c r="O393" i="35"/>
  <c r="N393" i="35"/>
  <c r="M393" i="35"/>
  <c r="L393" i="35"/>
  <c r="V392" i="35"/>
  <c r="U392" i="35"/>
  <c r="T392" i="35"/>
  <c r="O392" i="35"/>
  <c r="N392" i="35"/>
  <c r="M392" i="35"/>
  <c r="L392" i="35"/>
  <c r="V391" i="35"/>
  <c r="U391" i="35"/>
  <c r="T391" i="35"/>
  <c r="O391" i="35"/>
  <c r="N391" i="35"/>
  <c r="M391" i="35"/>
  <c r="L391" i="35"/>
  <c r="V390" i="35"/>
  <c r="U390" i="35"/>
  <c r="T390" i="35"/>
  <c r="O390" i="35"/>
  <c r="N390" i="35"/>
  <c r="M390" i="35"/>
  <c r="L390" i="35"/>
  <c r="V389" i="35"/>
  <c r="U389" i="35"/>
  <c r="T389" i="35"/>
  <c r="O389" i="35"/>
  <c r="N389" i="35"/>
  <c r="M389" i="35"/>
  <c r="L389" i="35"/>
  <c r="V388" i="35"/>
  <c r="U388" i="35"/>
  <c r="T388" i="35"/>
  <c r="O388" i="35"/>
  <c r="N388" i="35"/>
  <c r="M388" i="35"/>
  <c r="L388" i="35"/>
  <c r="V387" i="35"/>
  <c r="U387" i="35"/>
  <c r="T387" i="35"/>
  <c r="O387" i="35"/>
  <c r="N387" i="35"/>
  <c r="M387" i="35"/>
  <c r="L387" i="35"/>
  <c r="V386" i="35"/>
  <c r="U386" i="35"/>
  <c r="T386" i="35"/>
  <c r="O386" i="35"/>
  <c r="N386" i="35"/>
  <c r="M386" i="35"/>
  <c r="L386" i="35"/>
  <c r="V385" i="35"/>
  <c r="U385" i="35"/>
  <c r="T385" i="35"/>
  <c r="O385" i="35"/>
  <c r="N385" i="35"/>
  <c r="M385" i="35"/>
  <c r="L385" i="35"/>
  <c r="V384" i="35"/>
  <c r="U384" i="35"/>
  <c r="T384" i="35"/>
  <c r="O384" i="35"/>
  <c r="N384" i="35"/>
  <c r="M384" i="35"/>
  <c r="L384" i="35"/>
  <c r="V383" i="35"/>
  <c r="U383" i="35"/>
  <c r="T383" i="35"/>
  <c r="O383" i="35"/>
  <c r="N383" i="35"/>
  <c r="M383" i="35"/>
  <c r="L383" i="35"/>
  <c r="V382" i="35"/>
  <c r="U382" i="35"/>
  <c r="T382" i="35"/>
  <c r="O382" i="35"/>
  <c r="N382" i="35"/>
  <c r="M382" i="35"/>
  <c r="L382" i="35"/>
  <c r="V381" i="35"/>
  <c r="U381" i="35"/>
  <c r="T381" i="35"/>
  <c r="O381" i="35"/>
  <c r="N381" i="35"/>
  <c r="M381" i="35"/>
  <c r="L381" i="35"/>
  <c r="V380" i="35"/>
  <c r="U380" i="35"/>
  <c r="T380" i="35"/>
  <c r="O380" i="35"/>
  <c r="N380" i="35"/>
  <c r="M380" i="35"/>
  <c r="L380" i="35"/>
  <c r="V379" i="35"/>
  <c r="U379" i="35"/>
  <c r="T379" i="35"/>
  <c r="O379" i="35"/>
  <c r="N379" i="35"/>
  <c r="M379" i="35"/>
  <c r="L379" i="35"/>
  <c r="V378" i="35"/>
  <c r="U378" i="35"/>
  <c r="T378" i="35"/>
  <c r="O378" i="35"/>
  <c r="N378" i="35"/>
  <c r="M378" i="35"/>
  <c r="L378" i="35"/>
  <c r="V377" i="35"/>
  <c r="U377" i="35"/>
  <c r="T377" i="35"/>
  <c r="O377" i="35"/>
  <c r="N377" i="35"/>
  <c r="M377" i="35"/>
  <c r="L377" i="35"/>
  <c r="V376" i="35"/>
  <c r="U376" i="35"/>
  <c r="T376" i="35"/>
  <c r="O376" i="35"/>
  <c r="N376" i="35"/>
  <c r="M376" i="35"/>
  <c r="L376" i="35"/>
  <c r="V375" i="35"/>
  <c r="U375" i="35"/>
  <c r="T375" i="35"/>
  <c r="O375" i="35"/>
  <c r="N375" i="35"/>
  <c r="M375" i="35"/>
  <c r="L375" i="35"/>
  <c r="V374" i="35"/>
  <c r="U374" i="35"/>
  <c r="T374" i="35"/>
  <c r="O374" i="35"/>
  <c r="N374" i="35"/>
  <c r="M374" i="35"/>
  <c r="L374" i="35"/>
  <c r="V373" i="35"/>
  <c r="U373" i="35"/>
  <c r="T373" i="35"/>
  <c r="O373" i="35"/>
  <c r="N373" i="35"/>
  <c r="M373" i="35"/>
  <c r="L373" i="35"/>
  <c r="V372" i="35"/>
  <c r="U372" i="35"/>
  <c r="T372" i="35"/>
  <c r="O372" i="35"/>
  <c r="N372" i="35"/>
  <c r="M372" i="35"/>
  <c r="L372" i="35"/>
  <c r="V371" i="35"/>
  <c r="U371" i="35"/>
  <c r="T371" i="35"/>
  <c r="O371" i="35"/>
  <c r="N371" i="35"/>
  <c r="M371" i="35"/>
  <c r="L371" i="35"/>
  <c r="V370" i="35"/>
  <c r="U370" i="35"/>
  <c r="T370" i="35"/>
  <c r="O370" i="35"/>
  <c r="N370" i="35"/>
  <c r="M370" i="35"/>
  <c r="L370" i="35"/>
  <c r="V369" i="35"/>
  <c r="U369" i="35"/>
  <c r="T369" i="35"/>
  <c r="O369" i="35"/>
  <c r="N369" i="35"/>
  <c r="M369" i="35"/>
  <c r="L369" i="35"/>
  <c r="V368" i="35"/>
  <c r="U368" i="35"/>
  <c r="T368" i="35"/>
  <c r="O368" i="35"/>
  <c r="N368" i="35"/>
  <c r="M368" i="35"/>
  <c r="L368" i="35"/>
  <c r="V367" i="35"/>
  <c r="U367" i="35"/>
  <c r="T367" i="35"/>
  <c r="O367" i="35"/>
  <c r="N367" i="35"/>
  <c r="M367" i="35"/>
  <c r="L367" i="35"/>
  <c r="V366" i="35"/>
  <c r="U366" i="35"/>
  <c r="T366" i="35"/>
  <c r="O366" i="35"/>
  <c r="N366" i="35"/>
  <c r="M366" i="35"/>
  <c r="L366" i="35"/>
  <c r="V365" i="35"/>
  <c r="U365" i="35"/>
  <c r="T365" i="35"/>
  <c r="O365" i="35"/>
  <c r="N365" i="35"/>
  <c r="M365" i="35"/>
  <c r="L365" i="35"/>
  <c r="V364" i="35"/>
  <c r="U364" i="35"/>
  <c r="T364" i="35"/>
  <c r="O364" i="35"/>
  <c r="N364" i="35"/>
  <c r="M364" i="35"/>
  <c r="L364" i="35"/>
  <c r="V363" i="35"/>
  <c r="U363" i="35"/>
  <c r="T363" i="35"/>
  <c r="O363" i="35"/>
  <c r="N363" i="35"/>
  <c r="M363" i="35"/>
  <c r="L363" i="35"/>
  <c r="V362" i="35"/>
  <c r="U362" i="35"/>
  <c r="T362" i="35"/>
  <c r="O362" i="35"/>
  <c r="N362" i="35"/>
  <c r="M362" i="35"/>
  <c r="L362" i="35"/>
  <c r="V361" i="35"/>
  <c r="U361" i="35"/>
  <c r="T361" i="35"/>
  <c r="O361" i="35"/>
  <c r="N361" i="35"/>
  <c r="M361" i="35"/>
  <c r="L361" i="35"/>
  <c r="V360" i="35"/>
  <c r="U360" i="35"/>
  <c r="T360" i="35"/>
  <c r="O360" i="35"/>
  <c r="N360" i="35"/>
  <c r="M360" i="35"/>
  <c r="L360" i="35"/>
  <c r="V359" i="35"/>
  <c r="U359" i="35"/>
  <c r="T359" i="35"/>
  <c r="O359" i="35"/>
  <c r="N359" i="35"/>
  <c r="M359" i="35"/>
  <c r="L359" i="35"/>
  <c r="V358" i="35"/>
  <c r="U358" i="35"/>
  <c r="T358" i="35"/>
  <c r="O358" i="35"/>
  <c r="N358" i="35"/>
  <c r="M358" i="35"/>
  <c r="L358" i="35"/>
  <c r="V357" i="35"/>
  <c r="U357" i="35"/>
  <c r="T357" i="35"/>
  <c r="O357" i="35"/>
  <c r="N357" i="35"/>
  <c r="M357" i="35"/>
  <c r="L357" i="35"/>
  <c r="V356" i="35"/>
  <c r="U356" i="35"/>
  <c r="T356" i="35"/>
  <c r="O356" i="35"/>
  <c r="N356" i="35"/>
  <c r="M356" i="35"/>
  <c r="L356" i="35"/>
  <c r="V355" i="35"/>
  <c r="U355" i="35"/>
  <c r="T355" i="35"/>
  <c r="O355" i="35"/>
  <c r="N355" i="35"/>
  <c r="M355" i="35"/>
  <c r="L355" i="35"/>
  <c r="V354" i="35"/>
  <c r="U354" i="35"/>
  <c r="T354" i="35"/>
  <c r="O354" i="35"/>
  <c r="N354" i="35"/>
  <c r="M354" i="35"/>
  <c r="L354" i="35"/>
  <c r="V353" i="35"/>
  <c r="U353" i="35"/>
  <c r="T353" i="35"/>
  <c r="O353" i="35"/>
  <c r="N353" i="35"/>
  <c r="M353" i="35"/>
  <c r="L353" i="35"/>
  <c r="V352" i="35"/>
  <c r="U352" i="35"/>
  <c r="T352" i="35"/>
  <c r="O352" i="35"/>
  <c r="N352" i="35"/>
  <c r="M352" i="35"/>
  <c r="L352" i="35"/>
  <c r="V351" i="35"/>
  <c r="U351" i="35"/>
  <c r="T351" i="35"/>
  <c r="O351" i="35"/>
  <c r="N351" i="35"/>
  <c r="M351" i="35"/>
  <c r="L351" i="35"/>
  <c r="V350" i="35"/>
  <c r="U350" i="35"/>
  <c r="T350" i="35"/>
  <c r="O350" i="35"/>
  <c r="N350" i="35"/>
  <c r="M350" i="35"/>
  <c r="L350" i="35"/>
  <c r="V349" i="35"/>
  <c r="U349" i="35"/>
  <c r="T349" i="35"/>
  <c r="O349" i="35"/>
  <c r="N349" i="35"/>
  <c r="M349" i="35"/>
  <c r="L349" i="35"/>
  <c r="V348" i="35"/>
  <c r="U348" i="35"/>
  <c r="T348" i="35"/>
  <c r="O348" i="35"/>
  <c r="N348" i="35"/>
  <c r="M348" i="35"/>
  <c r="L348" i="35"/>
  <c r="V347" i="35"/>
  <c r="U347" i="35"/>
  <c r="T347" i="35"/>
  <c r="O347" i="35"/>
  <c r="N347" i="35"/>
  <c r="M347" i="35"/>
  <c r="L347" i="35"/>
  <c r="V346" i="35"/>
  <c r="U346" i="35"/>
  <c r="T346" i="35"/>
  <c r="O346" i="35"/>
  <c r="N346" i="35"/>
  <c r="M346" i="35"/>
  <c r="L346" i="35"/>
  <c r="V345" i="35"/>
  <c r="U345" i="35"/>
  <c r="T345" i="35"/>
  <c r="O345" i="35"/>
  <c r="N345" i="35"/>
  <c r="M345" i="35"/>
  <c r="L345" i="35"/>
  <c r="V344" i="35"/>
  <c r="U344" i="35"/>
  <c r="T344" i="35"/>
  <c r="O344" i="35"/>
  <c r="N344" i="35"/>
  <c r="M344" i="35"/>
  <c r="L344" i="35"/>
  <c r="V343" i="35"/>
  <c r="U343" i="35"/>
  <c r="T343" i="35"/>
  <c r="O343" i="35"/>
  <c r="N343" i="35"/>
  <c r="M343" i="35"/>
  <c r="L343" i="35"/>
  <c r="V342" i="35"/>
  <c r="U342" i="35"/>
  <c r="T342" i="35"/>
  <c r="O342" i="35"/>
  <c r="N342" i="35"/>
  <c r="M342" i="35"/>
  <c r="L342" i="35"/>
  <c r="V341" i="35"/>
  <c r="U341" i="35"/>
  <c r="T341" i="35"/>
  <c r="O341" i="35"/>
  <c r="N341" i="35"/>
  <c r="M341" i="35"/>
  <c r="L341" i="35"/>
  <c r="V340" i="35"/>
  <c r="U340" i="35"/>
  <c r="T340" i="35"/>
  <c r="O340" i="35"/>
  <c r="N340" i="35"/>
  <c r="M340" i="35"/>
  <c r="L340" i="35"/>
  <c r="V339" i="35"/>
  <c r="U339" i="35"/>
  <c r="T339" i="35"/>
  <c r="O339" i="35"/>
  <c r="N339" i="35"/>
  <c r="M339" i="35"/>
  <c r="L339" i="35"/>
  <c r="V338" i="35"/>
  <c r="U338" i="35"/>
  <c r="T338" i="35"/>
  <c r="O338" i="35"/>
  <c r="N338" i="35"/>
  <c r="M338" i="35"/>
  <c r="L338" i="35"/>
  <c r="V337" i="35"/>
  <c r="U337" i="35"/>
  <c r="T337" i="35"/>
  <c r="O337" i="35"/>
  <c r="N337" i="35"/>
  <c r="M337" i="35"/>
  <c r="L337" i="35"/>
  <c r="V336" i="35"/>
  <c r="U336" i="35"/>
  <c r="T336" i="35"/>
  <c r="O336" i="35"/>
  <c r="N336" i="35"/>
  <c r="M336" i="35"/>
  <c r="L336" i="35"/>
  <c r="V335" i="35"/>
  <c r="U335" i="35"/>
  <c r="T335" i="35"/>
  <c r="O335" i="35"/>
  <c r="N335" i="35"/>
  <c r="M335" i="35"/>
  <c r="L335" i="35"/>
  <c r="V334" i="35"/>
  <c r="U334" i="35"/>
  <c r="T334" i="35"/>
  <c r="O334" i="35"/>
  <c r="N334" i="35"/>
  <c r="M334" i="35"/>
  <c r="L334" i="35"/>
  <c r="V333" i="35"/>
  <c r="U333" i="35"/>
  <c r="T333" i="35"/>
  <c r="O333" i="35"/>
  <c r="N333" i="35"/>
  <c r="M333" i="35"/>
  <c r="L333" i="35"/>
  <c r="V332" i="35"/>
  <c r="U332" i="35"/>
  <c r="T332" i="35"/>
  <c r="O332" i="35"/>
  <c r="N332" i="35"/>
  <c r="M332" i="35"/>
  <c r="L332" i="35"/>
  <c r="V331" i="35"/>
  <c r="U331" i="35"/>
  <c r="T331" i="35"/>
  <c r="O331" i="35"/>
  <c r="N331" i="35"/>
  <c r="M331" i="35"/>
  <c r="L331" i="35"/>
  <c r="V330" i="35"/>
  <c r="U330" i="35"/>
  <c r="T330" i="35"/>
  <c r="O330" i="35"/>
  <c r="N330" i="35"/>
  <c r="M330" i="35"/>
  <c r="L330" i="35"/>
  <c r="V329" i="35"/>
  <c r="U329" i="35"/>
  <c r="T329" i="35"/>
  <c r="O329" i="35"/>
  <c r="N329" i="35"/>
  <c r="M329" i="35"/>
  <c r="L329" i="35"/>
  <c r="V328" i="35"/>
  <c r="U328" i="35"/>
  <c r="T328" i="35"/>
  <c r="O328" i="35"/>
  <c r="N328" i="35"/>
  <c r="M328" i="35"/>
  <c r="L328" i="35"/>
  <c r="V327" i="35"/>
  <c r="U327" i="35"/>
  <c r="T327" i="35"/>
  <c r="O327" i="35"/>
  <c r="N327" i="35"/>
  <c r="M327" i="35"/>
  <c r="L327" i="35"/>
  <c r="V326" i="35"/>
  <c r="U326" i="35"/>
  <c r="T326" i="35"/>
  <c r="O326" i="35"/>
  <c r="N326" i="35"/>
  <c r="M326" i="35"/>
  <c r="L326" i="35"/>
  <c r="V325" i="35"/>
  <c r="U325" i="35"/>
  <c r="T325" i="35"/>
  <c r="O325" i="35"/>
  <c r="N325" i="35"/>
  <c r="M325" i="35"/>
  <c r="L325" i="35"/>
  <c r="V324" i="35"/>
  <c r="U324" i="35"/>
  <c r="T324" i="35"/>
  <c r="O324" i="35"/>
  <c r="N324" i="35"/>
  <c r="M324" i="35"/>
  <c r="L324" i="35"/>
  <c r="V323" i="35"/>
  <c r="U323" i="35"/>
  <c r="T323" i="35"/>
  <c r="O323" i="35"/>
  <c r="N323" i="35"/>
  <c r="M323" i="35"/>
  <c r="L323" i="35"/>
  <c r="V322" i="35"/>
  <c r="U322" i="35"/>
  <c r="T322" i="35"/>
  <c r="O322" i="35"/>
  <c r="N322" i="35"/>
  <c r="M322" i="35"/>
  <c r="L322" i="35"/>
  <c r="V321" i="35"/>
  <c r="U321" i="35"/>
  <c r="T321" i="35"/>
  <c r="O321" i="35"/>
  <c r="N321" i="35"/>
  <c r="M321" i="35"/>
  <c r="L321" i="35"/>
  <c r="V320" i="35"/>
  <c r="U320" i="35"/>
  <c r="T320" i="35"/>
  <c r="O320" i="35"/>
  <c r="N320" i="35"/>
  <c r="M320" i="35"/>
  <c r="L320" i="35"/>
  <c r="V319" i="35"/>
  <c r="U319" i="35"/>
  <c r="T319" i="35"/>
  <c r="O319" i="35"/>
  <c r="N319" i="35"/>
  <c r="M319" i="35"/>
  <c r="L319" i="35"/>
  <c r="V318" i="35"/>
  <c r="U318" i="35"/>
  <c r="T318" i="35"/>
  <c r="O318" i="35"/>
  <c r="N318" i="35"/>
  <c r="M318" i="35"/>
  <c r="L318" i="35"/>
  <c r="V317" i="35"/>
  <c r="U317" i="35"/>
  <c r="T317" i="35"/>
  <c r="O317" i="35"/>
  <c r="N317" i="35"/>
  <c r="M317" i="35"/>
  <c r="L317" i="35"/>
  <c r="V316" i="35"/>
  <c r="U316" i="35"/>
  <c r="T316" i="35"/>
  <c r="O316" i="35"/>
  <c r="N316" i="35"/>
  <c r="M316" i="35"/>
  <c r="L316" i="35"/>
  <c r="V315" i="35"/>
  <c r="U315" i="35"/>
  <c r="T315" i="35"/>
  <c r="O315" i="35"/>
  <c r="N315" i="35"/>
  <c r="M315" i="35"/>
  <c r="L315" i="35"/>
  <c r="V314" i="35"/>
  <c r="U314" i="35"/>
  <c r="T314" i="35"/>
  <c r="O314" i="35"/>
  <c r="N314" i="35"/>
  <c r="M314" i="35"/>
  <c r="L314" i="35"/>
  <c r="V313" i="35"/>
  <c r="U313" i="35"/>
  <c r="T313" i="35"/>
  <c r="O313" i="35"/>
  <c r="N313" i="35"/>
  <c r="M313" i="35"/>
  <c r="L313" i="35"/>
  <c r="V312" i="35"/>
  <c r="U312" i="35"/>
  <c r="T312" i="35"/>
  <c r="O312" i="35"/>
  <c r="N312" i="35"/>
  <c r="M312" i="35"/>
  <c r="L312" i="35"/>
  <c r="V311" i="35"/>
  <c r="U311" i="35"/>
  <c r="T311" i="35"/>
  <c r="O311" i="35"/>
  <c r="N311" i="35"/>
  <c r="M311" i="35"/>
  <c r="L311" i="35"/>
  <c r="V310" i="35"/>
  <c r="U310" i="35"/>
  <c r="T310" i="35"/>
  <c r="O310" i="35"/>
  <c r="N310" i="35"/>
  <c r="M310" i="35"/>
  <c r="L310" i="35"/>
  <c r="V309" i="35"/>
  <c r="U309" i="35"/>
  <c r="T309" i="35"/>
  <c r="O309" i="35"/>
  <c r="N309" i="35"/>
  <c r="M309" i="35"/>
  <c r="L309" i="35"/>
  <c r="V308" i="35"/>
  <c r="U308" i="35"/>
  <c r="T308" i="35"/>
  <c r="O308" i="35"/>
  <c r="N308" i="35"/>
  <c r="M308" i="35"/>
  <c r="L308" i="35"/>
  <c r="V307" i="35"/>
  <c r="U307" i="35"/>
  <c r="T307" i="35"/>
  <c r="O307" i="35"/>
  <c r="N307" i="35"/>
  <c r="M307" i="35"/>
  <c r="L307" i="35"/>
  <c r="V306" i="35"/>
  <c r="U306" i="35"/>
  <c r="T306" i="35"/>
  <c r="O306" i="35"/>
  <c r="N306" i="35"/>
  <c r="M306" i="35"/>
  <c r="L306" i="35"/>
  <c r="V305" i="35"/>
  <c r="U305" i="35"/>
  <c r="T305" i="35"/>
  <c r="O305" i="35"/>
  <c r="N305" i="35"/>
  <c r="M305" i="35"/>
  <c r="L305" i="35"/>
  <c r="V304" i="35"/>
  <c r="U304" i="35"/>
  <c r="T304" i="35"/>
  <c r="O304" i="35"/>
  <c r="N304" i="35"/>
  <c r="M304" i="35"/>
  <c r="L304" i="35"/>
  <c r="V303" i="35"/>
  <c r="U303" i="35"/>
  <c r="T303" i="35"/>
  <c r="O303" i="35"/>
  <c r="N303" i="35"/>
  <c r="M303" i="35"/>
  <c r="L303" i="35"/>
  <c r="V302" i="35"/>
  <c r="U302" i="35"/>
  <c r="T302" i="35"/>
  <c r="O302" i="35"/>
  <c r="N302" i="35"/>
  <c r="M302" i="35"/>
  <c r="L302" i="35"/>
  <c r="V301" i="35"/>
  <c r="U301" i="35"/>
  <c r="T301" i="35"/>
  <c r="O301" i="35"/>
  <c r="N301" i="35"/>
  <c r="M301" i="35"/>
  <c r="L301" i="35"/>
  <c r="V300" i="35"/>
  <c r="U300" i="35"/>
  <c r="T300" i="35"/>
  <c r="O300" i="35"/>
  <c r="N300" i="35"/>
  <c r="M300" i="35"/>
  <c r="L300" i="35"/>
  <c r="V299" i="35"/>
  <c r="U299" i="35"/>
  <c r="T299" i="35"/>
  <c r="O299" i="35"/>
  <c r="N299" i="35"/>
  <c r="M299" i="35"/>
  <c r="L299" i="35"/>
  <c r="V298" i="35"/>
  <c r="U298" i="35"/>
  <c r="T298" i="35"/>
  <c r="O298" i="35"/>
  <c r="N298" i="35"/>
  <c r="M298" i="35"/>
  <c r="L298" i="35"/>
  <c r="V297" i="35"/>
  <c r="U297" i="35"/>
  <c r="T297" i="35"/>
  <c r="O297" i="35"/>
  <c r="N297" i="35"/>
  <c r="M297" i="35"/>
  <c r="L297" i="35"/>
  <c r="V296" i="35"/>
  <c r="U296" i="35"/>
  <c r="T296" i="35"/>
  <c r="O296" i="35"/>
  <c r="N296" i="35"/>
  <c r="M296" i="35"/>
  <c r="L296" i="35"/>
  <c r="V295" i="35"/>
  <c r="U295" i="35"/>
  <c r="T295" i="35"/>
  <c r="O295" i="35"/>
  <c r="N295" i="35"/>
  <c r="M295" i="35"/>
  <c r="L295" i="35"/>
  <c r="V294" i="35"/>
  <c r="U294" i="35"/>
  <c r="T294" i="35"/>
  <c r="O294" i="35"/>
  <c r="N294" i="35"/>
  <c r="M294" i="35"/>
  <c r="L294" i="35"/>
  <c r="V293" i="35"/>
  <c r="U293" i="35"/>
  <c r="T293" i="35"/>
  <c r="O293" i="35"/>
  <c r="N293" i="35"/>
  <c r="M293" i="35"/>
  <c r="L293" i="35"/>
  <c r="V292" i="35"/>
  <c r="U292" i="35"/>
  <c r="T292" i="35"/>
  <c r="O292" i="35"/>
  <c r="N292" i="35"/>
  <c r="M292" i="35"/>
  <c r="L292" i="35"/>
  <c r="V291" i="35"/>
  <c r="U291" i="35"/>
  <c r="T291" i="35"/>
  <c r="O291" i="35"/>
  <c r="N291" i="35"/>
  <c r="M291" i="35"/>
  <c r="L291" i="35"/>
  <c r="V290" i="35"/>
  <c r="U290" i="35"/>
  <c r="T290" i="35"/>
  <c r="O290" i="35"/>
  <c r="N290" i="35"/>
  <c r="M290" i="35"/>
  <c r="L290" i="35"/>
  <c r="V289" i="35"/>
  <c r="U289" i="35"/>
  <c r="T289" i="35"/>
  <c r="O289" i="35"/>
  <c r="N289" i="35"/>
  <c r="M289" i="35"/>
  <c r="L289" i="35"/>
  <c r="V288" i="35"/>
  <c r="U288" i="35"/>
  <c r="T288" i="35"/>
  <c r="O288" i="35"/>
  <c r="N288" i="35"/>
  <c r="M288" i="35"/>
  <c r="L288" i="35"/>
  <c r="V287" i="35"/>
  <c r="U287" i="35"/>
  <c r="T287" i="35"/>
  <c r="O287" i="35"/>
  <c r="N287" i="35"/>
  <c r="M287" i="35"/>
  <c r="L287" i="35"/>
  <c r="V286" i="35"/>
  <c r="U286" i="35"/>
  <c r="T286" i="35"/>
  <c r="O286" i="35"/>
  <c r="N286" i="35"/>
  <c r="M286" i="35"/>
  <c r="L286" i="35"/>
  <c r="V285" i="35"/>
  <c r="U285" i="35"/>
  <c r="T285" i="35"/>
  <c r="O285" i="35"/>
  <c r="N285" i="35"/>
  <c r="M285" i="35"/>
  <c r="L285" i="35"/>
  <c r="V284" i="35"/>
  <c r="U284" i="35"/>
  <c r="T284" i="35"/>
  <c r="O284" i="35"/>
  <c r="N284" i="35"/>
  <c r="M284" i="35"/>
  <c r="L284" i="35"/>
  <c r="V283" i="35"/>
  <c r="U283" i="35"/>
  <c r="T283" i="35"/>
  <c r="O283" i="35"/>
  <c r="N283" i="35"/>
  <c r="M283" i="35"/>
  <c r="L283" i="35"/>
  <c r="V282" i="35"/>
  <c r="U282" i="35"/>
  <c r="T282" i="35"/>
  <c r="O282" i="35"/>
  <c r="N282" i="35"/>
  <c r="M282" i="35"/>
  <c r="L282" i="35"/>
  <c r="V281" i="35"/>
  <c r="U281" i="35"/>
  <c r="T281" i="35"/>
  <c r="O281" i="35"/>
  <c r="N281" i="35"/>
  <c r="M281" i="35"/>
  <c r="L281" i="35"/>
  <c r="V280" i="35"/>
  <c r="U280" i="35"/>
  <c r="T280" i="35"/>
  <c r="O280" i="35"/>
  <c r="N280" i="35"/>
  <c r="M280" i="35"/>
  <c r="L280" i="35"/>
  <c r="V279" i="35"/>
  <c r="U279" i="35"/>
  <c r="T279" i="35"/>
  <c r="O279" i="35"/>
  <c r="N279" i="35"/>
  <c r="M279" i="35"/>
  <c r="L279" i="35"/>
  <c r="V278" i="35"/>
  <c r="U278" i="35"/>
  <c r="T278" i="35"/>
  <c r="O278" i="35"/>
  <c r="N278" i="35"/>
  <c r="M278" i="35"/>
  <c r="L278" i="35"/>
  <c r="V277" i="35"/>
  <c r="U277" i="35"/>
  <c r="T277" i="35"/>
  <c r="O277" i="35"/>
  <c r="N277" i="35"/>
  <c r="M277" i="35"/>
  <c r="L277" i="35"/>
  <c r="V276" i="35"/>
  <c r="U276" i="35"/>
  <c r="T276" i="35"/>
  <c r="O276" i="35"/>
  <c r="N276" i="35"/>
  <c r="M276" i="35"/>
  <c r="L276" i="35"/>
  <c r="V275" i="35"/>
  <c r="U275" i="35"/>
  <c r="T275" i="35"/>
  <c r="O275" i="35"/>
  <c r="N275" i="35"/>
  <c r="M275" i="35"/>
  <c r="L275" i="35"/>
  <c r="V274" i="35"/>
  <c r="U274" i="35"/>
  <c r="T274" i="35"/>
  <c r="O274" i="35"/>
  <c r="N274" i="35"/>
  <c r="M274" i="35"/>
  <c r="L274" i="35"/>
  <c r="V273" i="35"/>
  <c r="U273" i="35"/>
  <c r="T273" i="35"/>
  <c r="O273" i="35"/>
  <c r="N273" i="35"/>
  <c r="M273" i="35"/>
  <c r="L273" i="35"/>
  <c r="V272" i="35"/>
  <c r="U272" i="35"/>
  <c r="T272" i="35"/>
  <c r="O272" i="35"/>
  <c r="N272" i="35"/>
  <c r="M272" i="35"/>
  <c r="L272" i="35"/>
  <c r="V271" i="35"/>
  <c r="U271" i="35"/>
  <c r="T271" i="35"/>
  <c r="O271" i="35"/>
  <c r="N271" i="35"/>
  <c r="M271" i="35"/>
  <c r="L271" i="35"/>
  <c r="V270" i="35"/>
  <c r="U270" i="35"/>
  <c r="T270" i="35"/>
  <c r="O270" i="35"/>
  <c r="N270" i="35"/>
  <c r="M270" i="35"/>
  <c r="L270" i="35"/>
  <c r="V269" i="35"/>
  <c r="U269" i="35"/>
  <c r="T269" i="35"/>
  <c r="O269" i="35"/>
  <c r="N269" i="35"/>
  <c r="M269" i="35"/>
  <c r="L269" i="35"/>
  <c r="V268" i="35"/>
  <c r="U268" i="35"/>
  <c r="T268" i="35"/>
  <c r="O268" i="35"/>
  <c r="N268" i="35"/>
  <c r="M268" i="35"/>
  <c r="L268" i="35"/>
  <c r="V267" i="35"/>
  <c r="U267" i="35"/>
  <c r="T267" i="35"/>
  <c r="O267" i="35"/>
  <c r="N267" i="35"/>
  <c r="M267" i="35"/>
  <c r="L267" i="35"/>
  <c r="V266" i="35"/>
  <c r="U266" i="35"/>
  <c r="T266" i="35"/>
  <c r="O266" i="35"/>
  <c r="N266" i="35"/>
  <c r="M266" i="35"/>
  <c r="L266" i="35"/>
  <c r="V265" i="35"/>
  <c r="U265" i="35"/>
  <c r="T265" i="35"/>
  <c r="O265" i="35"/>
  <c r="N265" i="35"/>
  <c r="M265" i="35"/>
  <c r="L265" i="35"/>
  <c r="V264" i="35"/>
  <c r="U264" i="35"/>
  <c r="T264" i="35"/>
  <c r="O264" i="35"/>
  <c r="N264" i="35"/>
  <c r="M264" i="35"/>
  <c r="L264" i="35"/>
  <c r="V263" i="35"/>
  <c r="U263" i="35"/>
  <c r="T263" i="35"/>
  <c r="O263" i="35"/>
  <c r="N263" i="35"/>
  <c r="M263" i="35"/>
  <c r="L263" i="35"/>
  <c r="V262" i="35"/>
  <c r="U262" i="35"/>
  <c r="T262" i="35"/>
  <c r="O262" i="35"/>
  <c r="N262" i="35"/>
  <c r="M262" i="35"/>
  <c r="L262" i="35"/>
  <c r="V261" i="35"/>
  <c r="U261" i="35"/>
  <c r="T261" i="35"/>
  <c r="O261" i="35"/>
  <c r="N261" i="35"/>
  <c r="M261" i="35"/>
  <c r="L261" i="35"/>
  <c r="V260" i="35"/>
  <c r="U260" i="35"/>
  <c r="T260" i="35"/>
  <c r="O260" i="35"/>
  <c r="N260" i="35"/>
  <c r="M260" i="35"/>
  <c r="L260" i="35"/>
  <c r="V259" i="35"/>
  <c r="U259" i="35"/>
  <c r="T259" i="35"/>
  <c r="O259" i="35"/>
  <c r="N259" i="35"/>
  <c r="M259" i="35"/>
  <c r="L259" i="35"/>
  <c r="V258" i="35"/>
  <c r="U258" i="35"/>
  <c r="T258" i="35"/>
  <c r="O258" i="35"/>
  <c r="N258" i="35"/>
  <c r="M258" i="35"/>
  <c r="L258" i="35"/>
  <c r="V257" i="35"/>
  <c r="U257" i="35"/>
  <c r="T257" i="35"/>
  <c r="O257" i="35"/>
  <c r="N257" i="35"/>
  <c r="M257" i="35"/>
  <c r="L257" i="35"/>
  <c r="V256" i="35"/>
  <c r="U256" i="35"/>
  <c r="T256" i="35"/>
  <c r="O256" i="35"/>
  <c r="N256" i="35"/>
  <c r="M256" i="35"/>
  <c r="L256" i="35"/>
  <c r="V255" i="35"/>
  <c r="U255" i="35"/>
  <c r="T255" i="35"/>
  <c r="O255" i="35"/>
  <c r="N255" i="35"/>
  <c r="M255" i="35"/>
  <c r="L255" i="35"/>
  <c r="V254" i="35"/>
  <c r="U254" i="35"/>
  <c r="T254" i="35"/>
  <c r="O254" i="35"/>
  <c r="N254" i="35"/>
  <c r="M254" i="35"/>
  <c r="L254" i="35"/>
  <c r="V253" i="35"/>
  <c r="U253" i="35"/>
  <c r="T253" i="35"/>
  <c r="O253" i="35"/>
  <c r="N253" i="35"/>
  <c r="M253" i="35"/>
  <c r="L253" i="35"/>
  <c r="V252" i="35"/>
  <c r="U252" i="35"/>
  <c r="T252" i="35"/>
  <c r="O252" i="35"/>
  <c r="N252" i="35"/>
  <c r="M252" i="35"/>
  <c r="L252" i="35"/>
  <c r="V251" i="35"/>
  <c r="U251" i="35"/>
  <c r="T251" i="35"/>
  <c r="O251" i="35"/>
  <c r="N251" i="35"/>
  <c r="M251" i="35"/>
  <c r="L251" i="35"/>
  <c r="V250" i="35"/>
  <c r="U250" i="35"/>
  <c r="T250" i="35"/>
  <c r="O250" i="35"/>
  <c r="N250" i="35"/>
  <c r="M250" i="35"/>
  <c r="L250" i="35"/>
  <c r="V249" i="35"/>
  <c r="U249" i="35"/>
  <c r="T249" i="35"/>
  <c r="O249" i="35"/>
  <c r="N249" i="35"/>
  <c r="M249" i="35"/>
  <c r="L249" i="35"/>
  <c r="V248" i="35"/>
  <c r="U248" i="35"/>
  <c r="T248" i="35"/>
  <c r="O248" i="35"/>
  <c r="N248" i="35"/>
  <c r="M248" i="35"/>
  <c r="L248" i="35"/>
  <c r="V247" i="35"/>
  <c r="U247" i="35"/>
  <c r="T247" i="35"/>
  <c r="O247" i="35"/>
  <c r="N247" i="35"/>
  <c r="M247" i="35"/>
  <c r="L247" i="35"/>
  <c r="V246" i="35"/>
  <c r="U246" i="35"/>
  <c r="T246" i="35"/>
  <c r="O246" i="35"/>
  <c r="N246" i="35"/>
  <c r="M246" i="35"/>
  <c r="L246" i="35"/>
  <c r="V245" i="35"/>
  <c r="U245" i="35"/>
  <c r="T245" i="35"/>
  <c r="O245" i="35"/>
  <c r="N245" i="35"/>
  <c r="M245" i="35"/>
  <c r="L245" i="35"/>
  <c r="V244" i="35"/>
  <c r="U244" i="35"/>
  <c r="T244" i="35"/>
  <c r="O244" i="35"/>
  <c r="N244" i="35"/>
  <c r="M244" i="35"/>
  <c r="L244" i="35"/>
  <c r="V243" i="35"/>
  <c r="U243" i="35"/>
  <c r="T243" i="35"/>
  <c r="O243" i="35"/>
  <c r="N243" i="35"/>
  <c r="M243" i="35"/>
  <c r="L243" i="35"/>
  <c r="V242" i="35"/>
  <c r="U242" i="35"/>
  <c r="T242" i="35"/>
  <c r="O242" i="35"/>
  <c r="N242" i="35"/>
  <c r="M242" i="35"/>
  <c r="L242" i="35"/>
  <c r="V241" i="35"/>
  <c r="U241" i="35"/>
  <c r="T241" i="35"/>
  <c r="O241" i="35"/>
  <c r="N241" i="35"/>
  <c r="M241" i="35"/>
  <c r="L241" i="35"/>
  <c r="V240" i="35"/>
  <c r="U240" i="35"/>
  <c r="T240" i="35"/>
  <c r="O240" i="35"/>
  <c r="N240" i="35"/>
  <c r="M240" i="35"/>
  <c r="L240" i="35"/>
  <c r="V239" i="35"/>
  <c r="U239" i="35"/>
  <c r="T239" i="35"/>
  <c r="O239" i="35"/>
  <c r="N239" i="35"/>
  <c r="M239" i="35"/>
  <c r="L239" i="35"/>
  <c r="V238" i="35"/>
  <c r="U238" i="35"/>
  <c r="T238" i="35"/>
  <c r="O238" i="35"/>
  <c r="N238" i="35"/>
  <c r="M238" i="35"/>
  <c r="L238" i="35"/>
  <c r="V237" i="35"/>
  <c r="U237" i="35"/>
  <c r="T237" i="35"/>
  <c r="O237" i="35"/>
  <c r="N237" i="35"/>
  <c r="M237" i="35"/>
  <c r="L237" i="35"/>
  <c r="V236" i="35"/>
  <c r="U236" i="35"/>
  <c r="T236" i="35"/>
  <c r="O236" i="35"/>
  <c r="N236" i="35"/>
  <c r="M236" i="35"/>
  <c r="L236" i="35"/>
  <c r="V235" i="35"/>
  <c r="U235" i="35"/>
  <c r="T235" i="35"/>
  <c r="O235" i="35"/>
  <c r="N235" i="35"/>
  <c r="M235" i="35"/>
  <c r="L235" i="35"/>
  <c r="V234" i="35"/>
  <c r="U234" i="35"/>
  <c r="T234" i="35"/>
  <c r="O234" i="35"/>
  <c r="N234" i="35"/>
  <c r="M234" i="35"/>
  <c r="L234" i="35"/>
  <c r="V233" i="35"/>
  <c r="U233" i="35"/>
  <c r="T233" i="35"/>
  <c r="O233" i="35"/>
  <c r="N233" i="35"/>
  <c r="M233" i="35"/>
  <c r="L233" i="35"/>
  <c r="V232" i="35"/>
  <c r="U232" i="35"/>
  <c r="T232" i="35"/>
  <c r="O232" i="35"/>
  <c r="N232" i="35"/>
  <c r="M232" i="35"/>
  <c r="L232" i="35"/>
  <c r="V231" i="35"/>
  <c r="U231" i="35"/>
  <c r="T231" i="35"/>
  <c r="O231" i="35"/>
  <c r="N231" i="35"/>
  <c r="M231" i="35"/>
  <c r="L231" i="35"/>
  <c r="V230" i="35"/>
  <c r="U230" i="35"/>
  <c r="T230" i="35"/>
  <c r="O230" i="35"/>
  <c r="N230" i="35"/>
  <c r="M230" i="35"/>
  <c r="L230" i="35"/>
  <c r="V229" i="35"/>
  <c r="U229" i="35"/>
  <c r="T229" i="35"/>
  <c r="O229" i="35"/>
  <c r="N229" i="35"/>
  <c r="M229" i="35"/>
  <c r="L229" i="35"/>
  <c r="V228" i="35"/>
  <c r="U228" i="35"/>
  <c r="T228" i="35"/>
  <c r="O228" i="35"/>
  <c r="N228" i="35"/>
  <c r="M228" i="35"/>
  <c r="L228" i="35"/>
  <c r="V227" i="35"/>
  <c r="U227" i="35"/>
  <c r="T227" i="35"/>
  <c r="O227" i="35"/>
  <c r="N227" i="35"/>
  <c r="M227" i="35"/>
  <c r="L227" i="35"/>
  <c r="V226" i="35"/>
  <c r="U226" i="35"/>
  <c r="T226" i="35"/>
  <c r="O226" i="35"/>
  <c r="N226" i="35"/>
  <c r="M226" i="35"/>
  <c r="L226" i="35"/>
  <c r="V225" i="35"/>
  <c r="U225" i="35"/>
  <c r="T225" i="35"/>
  <c r="O225" i="35"/>
  <c r="N225" i="35"/>
  <c r="M225" i="35"/>
  <c r="L225" i="35"/>
  <c r="V224" i="35"/>
  <c r="U224" i="35"/>
  <c r="T224" i="35"/>
  <c r="O224" i="35"/>
  <c r="N224" i="35"/>
  <c r="M224" i="35"/>
  <c r="L224" i="35"/>
  <c r="V223" i="35"/>
  <c r="U223" i="35"/>
  <c r="T223" i="35"/>
  <c r="O223" i="35"/>
  <c r="N223" i="35"/>
  <c r="M223" i="35"/>
  <c r="L223" i="35"/>
  <c r="V222" i="35"/>
  <c r="U222" i="35"/>
  <c r="T222" i="35"/>
  <c r="O222" i="35"/>
  <c r="N222" i="35"/>
  <c r="M222" i="35"/>
  <c r="L222" i="35"/>
  <c r="V221" i="35"/>
  <c r="U221" i="35"/>
  <c r="T221" i="35"/>
  <c r="O221" i="35"/>
  <c r="N221" i="35"/>
  <c r="M221" i="35"/>
  <c r="L221" i="35"/>
  <c r="V220" i="35"/>
  <c r="U220" i="35"/>
  <c r="T220" i="35"/>
  <c r="O220" i="35"/>
  <c r="N220" i="35"/>
  <c r="M220" i="35"/>
  <c r="L220" i="35"/>
  <c r="V219" i="35"/>
  <c r="U219" i="35"/>
  <c r="T219" i="35"/>
  <c r="O219" i="35"/>
  <c r="N219" i="35"/>
  <c r="M219" i="35"/>
  <c r="L219" i="35"/>
  <c r="V218" i="35"/>
  <c r="U218" i="35"/>
  <c r="T218" i="35"/>
  <c r="O218" i="35"/>
  <c r="N218" i="35"/>
  <c r="M218" i="35"/>
  <c r="L218" i="35"/>
  <c r="V217" i="35"/>
  <c r="U217" i="35"/>
  <c r="T217" i="35"/>
  <c r="O217" i="35"/>
  <c r="N217" i="35"/>
  <c r="M217" i="35"/>
  <c r="L217" i="35"/>
  <c r="V216" i="35"/>
  <c r="U216" i="35"/>
  <c r="T216" i="35"/>
  <c r="O216" i="35"/>
  <c r="N216" i="35"/>
  <c r="M216" i="35"/>
  <c r="L216" i="35"/>
  <c r="V215" i="35"/>
  <c r="U215" i="35"/>
  <c r="T215" i="35"/>
  <c r="O215" i="35"/>
  <c r="N215" i="35"/>
  <c r="M215" i="35"/>
  <c r="L215" i="35"/>
  <c r="V214" i="35"/>
  <c r="U214" i="35"/>
  <c r="T214" i="35"/>
  <c r="O214" i="35"/>
  <c r="N214" i="35"/>
  <c r="M214" i="35"/>
  <c r="L214" i="35"/>
  <c r="V213" i="35"/>
  <c r="U213" i="35"/>
  <c r="T213" i="35"/>
  <c r="O213" i="35"/>
  <c r="N213" i="35"/>
  <c r="M213" i="35"/>
  <c r="L213" i="35"/>
  <c r="V212" i="35"/>
  <c r="U212" i="35"/>
  <c r="T212" i="35"/>
  <c r="O212" i="35"/>
  <c r="N212" i="35"/>
  <c r="M212" i="35"/>
  <c r="L212" i="35"/>
  <c r="V211" i="35"/>
  <c r="U211" i="35"/>
  <c r="T211" i="35"/>
  <c r="O211" i="35"/>
  <c r="N211" i="35"/>
  <c r="M211" i="35"/>
  <c r="L211" i="35"/>
  <c r="V210" i="35"/>
  <c r="U210" i="35"/>
  <c r="T210" i="35"/>
  <c r="O210" i="35"/>
  <c r="N210" i="35"/>
  <c r="M210" i="35"/>
  <c r="L210" i="35"/>
  <c r="V209" i="35"/>
  <c r="U209" i="35"/>
  <c r="T209" i="35"/>
  <c r="O209" i="35"/>
  <c r="N209" i="35"/>
  <c r="M209" i="35"/>
  <c r="L209" i="35"/>
  <c r="V208" i="35"/>
  <c r="U208" i="35"/>
  <c r="T208" i="35"/>
  <c r="O208" i="35"/>
  <c r="N208" i="35"/>
  <c r="M208" i="35"/>
  <c r="L208" i="35"/>
  <c r="V207" i="35"/>
  <c r="U207" i="35"/>
  <c r="T207" i="35"/>
  <c r="O207" i="35"/>
  <c r="N207" i="35"/>
  <c r="M207" i="35"/>
  <c r="L207" i="35"/>
  <c r="V206" i="35"/>
  <c r="U206" i="35"/>
  <c r="T206" i="35"/>
  <c r="O206" i="35"/>
  <c r="N206" i="35"/>
  <c r="M206" i="35"/>
  <c r="L206" i="35"/>
  <c r="V205" i="35"/>
  <c r="U205" i="35"/>
  <c r="T205" i="35"/>
  <c r="O205" i="35"/>
  <c r="N205" i="35"/>
  <c r="M205" i="35"/>
  <c r="L205" i="35"/>
  <c r="V204" i="35"/>
  <c r="U204" i="35"/>
  <c r="T204" i="35"/>
  <c r="O204" i="35"/>
  <c r="N204" i="35"/>
  <c r="M204" i="35"/>
  <c r="L204" i="35"/>
  <c r="V203" i="35"/>
  <c r="U203" i="35"/>
  <c r="T203" i="35"/>
  <c r="O203" i="35"/>
  <c r="N203" i="35"/>
  <c r="M203" i="35"/>
  <c r="L203" i="35"/>
  <c r="V202" i="35"/>
  <c r="U202" i="35"/>
  <c r="T202" i="35"/>
  <c r="O202" i="35"/>
  <c r="N202" i="35"/>
  <c r="M202" i="35"/>
  <c r="L202" i="35"/>
  <c r="V201" i="35"/>
  <c r="U201" i="35"/>
  <c r="T201" i="35"/>
  <c r="O201" i="35"/>
  <c r="N201" i="35"/>
  <c r="M201" i="35"/>
  <c r="L201" i="35"/>
  <c r="V200" i="35"/>
  <c r="U200" i="35"/>
  <c r="T200" i="35"/>
  <c r="O200" i="35"/>
  <c r="N200" i="35"/>
  <c r="M200" i="35"/>
  <c r="L200" i="35"/>
  <c r="V199" i="35"/>
  <c r="U199" i="35"/>
  <c r="T199" i="35"/>
  <c r="O199" i="35"/>
  <c r="N199" i="35"/>
  <c r="M199" i="35"/>
  <c r="L199" i="35"/>
  <c r="V198" i="35"/>
  <c r="U198" i="35"/>
  <c r="T198" i="35"/>
  <c r="O198" i="35"/>
  <c r="N198" i="35"/>
  <c r="M198" i="35"/>
  <c r="L198" i="35"/>
  <c r="V197" i="35"/>
  <c r="U197" i="35"/>
  <c r="T197" i="35"/>
  <c r="O197" i="35"/>
  <c r="N197" i="35"/>
  <c r="M197" i="35"/>
  <c r="L197" i="35"/>
  <c r="V196" i="35"/>
  <c r="U196" i="35"/>
  <c r="T196" i="35"/>
  <c r="O196" i="35"/>
  <c r="N196" i="35"/>
  <c r="M196" i="35"/>
  <c r="L196" i="35"/>
  <c r="V195" i="35"/>
  <c r="U195" i="35"/>
  <c r="T195" i="35"/>
  <c r="O195" i="35"/>
  <c r="N195" i="35"/>
  <c r="M195" i="35"/>
  <c r="L195" i="35"/>
  <c r="V194" i="35"/>
  <c r="U194" i="35"/>
  <c r="T194" i="35"/>
  <c r="O194" i="35"/>
  <c r="N194" i="35"/>
  <c r="M194" i="35"/>
  <c r="L194" i="35"/>
  <c r="V193" i="35"/>
  <c r="U193" i="35"/>
  <c r="T193" i="35"/>
  <c r="O193" i="35"/>
  <c r="N193" i="35"/>
  <c r="M193" i="35"/>
  <c r="L193" i="35"/>
  <c r="V192" i="35"/>
  <c r="U192" i="35"/>
  <c r="T192" i="35"/>
  <c r="O192" i="35"/>
  <c r="N192" i="35"/>
  <c r="M192" i="35"/>
  <c r="L192" i="35"/>
  <c r="V191" i="35"/>
  <c r="U191" i="35"/>
  <c r="T191" i="35"/>
  <c r="O191" i="35"/>
  <c r="N191" i="35"/>
  <c r="M191" i="35"/>
  <c r="L191" i="35"/>
  <c r="V190" i="35"/>
  <c r="U190" i="35"/>
  <c r="T190" i="35"/>
  <c r="O190" i="35"/>
  <c r="N190" i="35"/>
  <c r="M190" i="35"/>
  <c r="L190" i="35"/>
  <c r="V189" i="35"/>
  <c r="U189" i="35"/>
  <c r="T189" i="35"/>
  <c r="O189" i="35"/>
  <c r="N189" i="35"/>
  <c r="M189" i="35"/>
  <c r="L189" i="35"/>
  <c r="V188" i="35"/>
  <c r="U188" i="35"/>
  <c r="T188" i="35"/>
  <c r="O188" i="35"/>
  <c r="N188" i="35"/>
  <c r="M188" i="35"/>
  <c r="L188" i="35"/>
  <c r="V187" i="35"/>
  <c r="U187" i="35"/>
  <c r="T187" i="35"/>
  <c r="O187" i="35"/>
  <c r="N187" i="35"/>
  <c r="M187" i="35"/>
  <c r="L187" i="35"/>
  <c r="V186" i="35"/>
  <c r="U186" i="35"/>
  <c r="T186" i="35"/>
  <c r="O186" i="35"/>
  <c r="N186" i="35"/>
  <c r="M186" i="35"/>
  <c r="L186" i="35"/>
  <c r="V185" i="35"/>
  <c r="U185" i="35"/>
  <c r="T185" i="35"/>
  <c r="O185" i="35"/>
  <c r="N185" i="35"/>
  <c r="M185" i="35"/>
  <c r="L185" i="35"/>
  <c r="V184" i="35"/>
  <c r="U184" i="35"/>
  <c r="T184" i="35"/>
  <c r="O184" i="35"/>
  <c r="N184" i="35"/>
  <c r="M184" i="35"/>
  <c r="L184" i="35"/>
  <c r="V183" i="35"/>
  <c r="U183" i="35"/>
  <c r="T183" i="35"/>
  <c r="O183" i="35"/>
  <c r="N183" i="35"/>
  <c r="M183" i="35"/>
  <c r="L183" i="35"/>
  <c r="V182" i="35"/>
  <c r="U182" i="35"/>
  <c r="T182" i="35"/>
  <c r="O182" i="35"/>
  <c r="N182" i="35"/>
  <c r="M182" i="35"/>
  <c r="L182" i="35"/>
  <c r="V181" i="35"/>
  <c r="U181" i="35"/>
  <c r="T181" i="35"/>
  <c r="O181" i="35"/>
  <c r="N181" i="35"/>
  <c r="M181" i="35"/>
  <c r="L181" i="35"/>
  <c r="V180" i="35"/>
  <c r="U180" i="35"/>
  <c r="T180" i="35"/>
  <c r="O180" i="35"/>
  <c r="N180" i="35"/>
  <c r="M180" i="35"/>
  <c r="L180" i="35"/>
  <c r="V179" i="35"/>
  <c r="U179" i="35"/>
  <c r="T179" i="35"/>
  <c r="O179" i="35"/>
  <c r="N179" i="35"/>
  <c r="M179" i="35"/>
  <c r="L179" i="35"/>
  <c r="V178" i="35"/>
  <c r="U178" i="35"/>
  <c r="T178" i="35"/>
  <c r="O178" i="35"/>
  <c r="N178" i="35"/>
  <c r="M178" i="35"/>
  <c r="L178" i="35"/>
  <c r="V177" i="35"/>
  <c r="U177" i="35"/>
  <c r="T177" i="35"/>
  <c r="O177" i="35"/>
  <c r="N177" i="35"/>
  <c r="M177" i="35"/>
  <c r="L177" i="35"/>
  <c r="V176" i="35"/>
  <c r="U176" i="35"/>
  <c r="T176" i="35"/>
  <c r="O176" i="35"/>
  <c r="N176" i="35"/>
  <c r="M176" i="35"/>
  <c r="L176" i="35"/>
  <c r="V175" i="35"/>
  <c r="U175" i="35"/>
  <c r="T175" i="35"/>
  <c r="O175" i="35"/>
  <c r="N175" i="35"/>
  <c r="M175" i="35"/>
  <c r="L175" i="35"/>
  <c r="V174" i="35"/>
  <c r="U174" i="35"/>
  <c r="T174" i="35"/>
  <c r="O174" i="35"/>
  <c r="N174" i="35"/>
  <c r="M174" i="35"/>
  <c r="L174" i="35"/>
  <c r="V173" i="35"/>
  <c r="U173" i="35"/>
  <c r="T173" i="35"/>
  <c r="O173" i="35"/>
  <c r="N173" i="35"/>
  <c r="M173" i="35"/>
  <c r="L173" i="35"/>
  <c r="V172" i="35"/>
  <c r="U172" i="35"/>
  <c r="T172" i="35"/>
  <c r="O172" i="35"/>
  <c r="N172" i="35"/>
  <c r="M172" i="35"/>
  <c r="L172" i="35"/>
  <c r="V171" i="35"/>
  <c r="U171" i="35"/>
  <c r="T171" i="35"/>
  <c r="O171" i="35"/>
  <c r="N171" i="35"/>
  <c r="M171" i="35"/>
  <c r="L171" i="35"/>
  <c r="V170" i="35"/>
  <c r="U170" i="35"/>
  <c r="T170" i="35"/>
  <c r="O170" i="35"/>
  <c r="N170" i="35"/>
  <c r="M170" i="35"/>
  <c r="L170" i="35"/>
  <c r="V169" i="35"/>
  <c r="U169" i="35"/>
  <c r="T169" i="35"/>
  <c r="O169" i="35"/>
  <c r="N169" i="35"/>
  <c r="M169" i="35"/>
  <c r="L169" i="35"/>
  <c r="V168" i="35"/>
  <c r="U168" i="35"/>
  <c r="T168" i="35"/>
  <c r="O168" i="35"/>
  <c r="N168" i="35"/>
  <c r="M168" i="35"/>
  <c r="L168" i="35"/>
  <c r="V167" i="35"/>
  <c r="U167" i="35"/>
  <c r="T167" i="35"/>
  <c r="O167" i="35"/>
  <c r="N167" i="35"/>
  <c r="M167" i="35"/>
  <c r="L167" i="35"/>
  <c r="V166" i="35"/>
  <c r="U166" i="35"/>
  <c r="T166" i="35"/>
  <c r="O166" i="35"/>
  <c r="N166" i="35"/>
  <c r="M166" i="35"/>
  <c r="L166" i="35"/>
  <c r="V165" i="35"/>
  <c r="U165" i="35"/>
  <c r="T165" i="35"/>
  <c r="O165" i="35"/>
  <c r="N165" i="35"/>
  <c r="M165" i="35"/>
  <c r="L165" i="35"/>
  <c r="V164" i="35"/>
  <c r="U164" i="35"/>
  <c r="T164" i="35"/>
  <c r="O164" i="35"/>
  <c r="N164" i="35"/>
  <c r="M164" i="35"/>
  <c r="L164" i="35"/>
  <c r="V163" i="35"/>
  <c r="U163" i="35"/>
  <c r="T163" i="35"/>
  <c r="O163" i="35"/>
  <c r="N163" i="35"/>
  <c r="M163" i="35"/>
  <c r="L163" i="35"/>
  <c r="V162" i="35"/>
  <c r="U162" i="35"/>
  <c r="T162" i="35"/>
  <c r="O162" i="35"/>
  <c r="N162" i="35"/>
  <c r="M162" i="35"/>
  <c r="L162" i="35"/>
  <c r="V161" i="35"/>
  <c r="U161" i="35"/>
  <c r="T161" i="35"/>
  <c r="O161" i="35"/>
  <c r="N161" i="35"/>
  <c r="M161" i="35"/>
  <c r="L161" i="35"/>
  <c r="V160" i="35"/>
  <c r="U160" i="35"/>
  <c r="T160" i="35"/>
  <c r="O160" i="35"/>
  <c r="N160" i="35"/>
  <c r="M160" i="35"/>
  <c r="L160" i="35"/>
  <c r="V159" i="35"/>
  <c r="U159" i="35"/>
  <c r="T159" i="35"/>
  <c r="O159" i="35"/>
  <c r="N159" i="35"/>
  <c r="M159" i="35"/>
  <c r="L159" i="35"/>
  <c r="V158" i="35"/>
  <c r="U158" i="35"/>
  <c r="T158" i="35"/>
  <c r="O158" i="35"/>
  <c r="N158" i="35"/>
  <c r="M158" i="35"/>
  <c r="L158" i="35"/>
  <c r="V157" i="35"/>
  <c r="U157" i="35"/>
  <c r="T157" i="35"/>
  <c r="O157" i="35"/>
  <c r="N157" i="35"/>
  <c r="M157" i="35"/>
  <c r="L157" i="35"/>
  <c r="V156" i="35"/>
  <c r="U156" i="35"/>
  <c r="T156" i="35"/>
  <c r="O156" i="35"/>
  <c r="N156" i="35"/>
  <c r="M156" i="35"/>
  <c r="L156" i="35"/>
  <c r="V155" i="35"/>
  <c r="U155" i="35"/>
  <c r="T155" i="35"/>
  <c r="O155" i="35"/>
  <c r="N155" i="35"/>
  <c r="M155" i="35"/>
  <c r="L155" i="35"/>
  <c r="V154" i="35"/>
  <c r="U154" i="35"/>
  <c r="T154" i="35"/>
  <c r="O154" i="35"/>
  <c r="N154" i="35"/>
  <c r="M154" i="35"/>
  <c r="L154" i="35"/>
  <c r="V153" i="35"/>
  <c r="U153" i="35"/>
  <c r="T153" i="35"/>
  <c r="O153" i="35"/>
  <c r="N153" i="35"/>
  <c r="M153" i="35"/>
  <c r="L153" i="35"/>
  <c r="V152" i="35"/>
  <c r="U152" i="35"/>
  <c r="T152" i="35"/>
  <c r="O152" i="35"/>
  <c r="N152" i="35"/>
  <c r="M152" i="35"/>
  <c r="L152" i="35"/>
  <c r="V151" i="35"/>
  <c r="U151" i="35"/>
  <c r="T151" i="35"/>
  <c r="O151" i="35"/>
  <c r="N151" i="35"/>
  <c r="M151" i="35"/>
  <c r="L151" i="35"/>
  <c r="V150" i="35"/>
  <c r="U150" i="35"/>
  <c r="T150" i="35"/>
  <c r="O150" i="35"/>
  <c r="N150" i="35"/>
  <c r="M150" i="35"/>
  <c r="L150" i="35"/>
  <c r="V149" i="35"/>
  <c r="U149" i="35"/>
  <c r="T149" i="35"/>
  <c r="O149" i="35"/>
  <c r="N149" i="35"/>
  <c r="M149" i="35"/>
  <c r="L149" i="35"/>
  <c r="V148" i="35"/>
  <c r="U148" i="35"/>
  <c r="T148" i="35"/>
  <c r="O148" i="35"/>
  <c r="N148" i="35"/>
  <c r="M148" i="35"/>
  <c r="L148" i="35"/>
  <c r="V147" i="35"/>
  <c r="U147" i="35"/>
  <c r="T147" i="35"/>
  <c r="O147" i="35"/>
  <c r="N147" i="35"/>
  <c r="M147" i="35"/>
  <c r="L147" i="35"/>
  <c r="V146" i="35"/>
  <c r="U146" i="35"/>
  <c r="T146" i="35"/>
  <c r="O146" i="35"/>
  <c r="N146" i="35"/>
  <c r="M146" i="35"/>
  <c r="L146" i="35"/>
  <c r="V145" i="35"/>
  <c r="U145" i="35"/>
  <c r="T145" i="35"/>
  <c r="O145" i="35"/>
  <c r="N145" i="35"/>
  <c r="M145" i="35"/>
  <c r="L145" i="35"/>
  <c r="V144" i="35"/>
  <c r="U144" i="35"/>
  <c r="T144" i="35"/>
  <c r="O144" i="35"/>
  <c r="N144" i="35"/>
  <c r="M144" i="35"/>
  <c r="L144" i="35"/>
  <c r="V143" i="35"/>
  <c r="U143" i="35"/>
  <c r="T143" i="35"/>
  <c r="O143" i="35"/>
  <c r="N143" i="35"/>
  <c r="M143" i="35"/>
  <c r="L143" i="35"/>
  <c r="V142" i="35"/>
  <c r="U142" i="35"/>
  <c r="T142" i="35"/>
  <c r="O142" i="35"/>
  <c r="N142" i="35"/>
  <c r="M142" i="35"/>
  <c r="L142" i="35"/>
  <c r="V141" i="35"/>
  <c r="U141" i="35"/>
  <c r="T141" i="35"/>
  <c r="O141" i="35"/>
  <c r="N141" i="35"/>
  <c r="M141" i="35"/>
  <c r="L141" i="35"/>
  <c r="V140" i="35"/>
  <c r="U140" i="35"/>
  <c r="T140" i="35"/>
  <c r="O140" i="35"/>
  <c r="N140" i="35"/>
  <c r="M140" i="35"/>
  <c r="L140" i="35"/>
  <c r="V139" i="35"/>
  <c r="U139" i="35"/>
  <c r="T139" i="35"/>
  <c r="O139" i="35"/>
  <c r="N139" i="35"/>
  <c r="M139" i="35"/>
  <c r="L139" i="35"/>
  <c r="V138" i="35"/>
  <c r="U138" i="35"/>
  <c r="T138" i="35"/>
  <c r="O138" i="35"/>
  <c r="N138" i="35"/>
  <c r="M138" i="35"/>
  <c r="L138" i="35"/>
  <c r="V137" i="35"/>
  <c r="U137" i="35"/>
  <c r="T137" i="35"/>
  <c r="O137" i="35"/>
  <c r="N137" i="35"/>
  <c r="M137" i="35"/>
  <c r="L137" i="35"/>
  <c r="V136" i="35"/>
  <c r="U136" i="35"/>
  <c r="T136" i="35"/>
  <c r="O136" i="35"/>
  <c r="N136" i="35"/>
  <c r="M136" i="35"/>
  <c r="L136" i="35"/>
  <c r="V135" i="35"/>
  <c r="U135" i="35"/>
  <c r="T135" i="35"/>
  <c r="O135" i="35"/>
  <c r="N135" i="35"/>
  <c r="M135" i="35"/>
  <c r="L135" i="35"/>
  <c r="V134" i="35"/>
  <c r="U134" i="35"/>
  <c r="T134" i="35"/>
  <c r="O134" i="35"/>
  <c r="N134" i="35"/>
  <c r="M134" i="35"/>
  <c r="L134" i="35"/>
  <c r="V133" i="35"/>
  <c r="U133" i="35"/>
  <c r="T133" i="35"/>
  <c r="O133" i="35"/>
  <c r="N133" i="35"/>
  <c r="M133" i="35"/>
  <c r="L133" i="35"/>
  <c r="V132" i="35"/>
  <c r="U132" i="35"/>
  <c r="T132" i="35"/>
  <c r="O132" i="35"/>
  <c r="N132" i="35"/>
  <c r="M132" i="35"/>
  <c r="L132" i="35"/>
  <c r="V131" i="35"/>
  <c r="U131" i="35"/>
  <c r="T131" i="35"/>
  <c r="O131" i="35"/>
  <c r="N131" i="35"/>
  <c r="M131" i="35"/>
  <c r="L131" i="35"/>
  <c r="V130" i="35"/>
  <c r="U130" i="35"/>
  <c r="T130" i="35"/>
  <c r="O130" i="35"/>
  <c r="N130" i="35"/>
  <c r="M130" i="35"/>
  <c r="L130" i="35"/>
  <c r="V129" i="35"/>
  <c r="U129" i="35"/>
  <c r="T129" i="35"/>
  <c r="O129" i="35"/>
  <c r="N129" i="35"/>
  <c r="M129" i="35"/>
  <c r="L129" i="35"/>
  <c r="V128" i="35"/>
  <c r="U128" i="35"/>
  <c r="T128" i="35"/>
  <c r="O128" i="35"/>
  <c r="N128" i="35"/>
  <c r="M128" i="35"/>
  <c r="L128" i="35"/>
  <c r="V127" i="35"/>
  <c r="U127" i="35"/>
  <c r="T127" i="35"/>
  <c r="O127" i="35"/>
  <c r="N127" i="35"/>
  <c r="M127" i="35"/>
  <c r="L127" i="35"/>
  <c r="V126" i="35"/>
  <c r="U126" i="35"/>
  <c r="T126" i="35"/>
  <c r="O126" i="35"/>
  <c r="N126" i="35"/>
  <c r="M126" i="35"/>
  <c r="L126" i="35"/>
  <c r="V125" i="35"/>
  <c r="U125" i="35"/>
  <c r="T125" i="35"/>
  <c r="O125" i="35"/>
  <c r="N125" i="35"/>
  <c r="M125" i="35"/>
  <c r="L125" i="35"/>
  <c r="V119" i="35"/>
  <c r="U119" i="35"/>
  <c r="T119" i="35"/>
  <c r="O119" i="35"/>
  <c r="N119" i="35"/>
  <c r="M119" i="35"/>
  <c r="L119" i="35"/>
  <c r="V118" i="35"/>
  <c r="U118" i="35"/>
  <c r="T118" i="35"/>
  <c r="O118" i="35"/>
  <c r="N118" i="35"/>
  <c r="M118" i="35"/>
  <c r="L118" i="35"/>
  <c r="V117" i="35"/>
  <c r="U117" i="35"/>
  <c r="T117" i="35"/>
  <c r="O117" i="35"/>
  <c r="N117" i="35"/>
  <c r="M117" i="35"/>
  <c r="L117" i="35"/>
  <c r="V116" i="35"/>
  <c r="U116" i="35"/>
  <c r="T116" i="35"/>
  <c r="O116" i="35"/>
  <c r="N116" i="35"/>
  <c r="M116" i="35"/>
  <c r="L116" i="35"/>
  <c r="V115" i="35"/>
  <c r="U115" i="35"/>
  <c r="T115" i="35"/>
  <c r="O115" i="35"/>
  <c r="N115" i="35"/>
  <c r="M115" i="35"/>
  <c r="L115" i="35"/>
  <c r="V114" i="35"/>
  <c r="U114" i="35"/>
  <c r="T114" i="35"/>
  <c r="O114" i="35"/>
  <c r="N114" i="35"/>
  <c r="M114" i="35"/>
  <c r="L114" i="35"/>
  <c r="V113" i="35"/>
  <c r="U113" i="35"/>
  <c r="T113" i="35"/>
  <c r="O113" i="35"/>
  <c r="N113" i="35"/>
  <c r="M113" i="35"/>
  <c r="L113" i="35"/>
  <c r="V112" i="35"/>
  <c r="U112" i="35"/>
  <c r="T112" i="35"/>
  <c r="O112" i="35"/>
  <c r="N112" i="35"/>
  <c r="M112" i="35"/>
  <c r="L112" i="35"/>
  <c r="V111" i="35"/>
  <c r="U111" i="35"/>
  <c r="T111" i="35"/>
  <c r="O111" i="35"/>
  <c r="N111" i="35"/>
  <c r="M111" i="35"/>
  <c r="L111" i="35"/>
  <c r="V110" i="35"/>
  <c r="U110" i="35"/>
  <c r="T110" i="35"/>
  <c r="O110" i="35"/>
  <c r="N110" i="35"/>
  <c r="M110" i="35"/>
  <c r="L110" i="35"/>
  <c r="V109" i="35"/>
  <c r="U109" i="35"/>
  <c r="T109" i="35"/>
  <c r="O109" i="35"/>
  <c r="N109" i="35"/>
  <c r="M109" i="35"/>
  <c r="L109" i="35"/>
  <c r="V108" i="35"/>
  <c r="U108" i="35"/>
  <c r="T108" i="35"/>
  <c r="O108" i="35"/>
  <c r="N108" i="35"/>
  <c r="M108" i="35"/>
  <c r="L108" i="35"/>
  <c r="V107" i="35"/>
  <c r="U107" i="35"/>
  <c r="T107" i="35"/>
  <c r="O107" i="35"/>
  <c r="N107" i="35"/>
  <c r="M107" i="35"/>
  <c r="L107" i="35"/>
  <c r="V106" i="35"/>
  <c r="U106" i="35"/>
  <c r="T106" i="35"/>
  <c r="O106" i="35"/>
  <c r="N106" i="35"/>
  <c r="M106" i="35"/>
  <c r="L106" i="35"/>
  <c r="V105" i="35"/>
  <c r="U105" i="35"/>
  <c r="T105" i="35"/>
  <c r="O105" i="35"/>
  <c r="N105" i="35"/>
  <c r="M105" i="35"/>
  <c r="L105" i="35"/>
  <c r="V104" i="35"/>
  <c r="U104" i="35"/>
  <c r="T104" i="35"/>
  <c r="O104" i="35"/>
  <c r="N104" i="35"/>
  <c r="M104" i="35"/>
  <c r="L104" i="35"/>
  <c r="V103" i="35"/>
  <c r="U103" i="35"/>
  <c r="T103" i="35"/>
  <c r="O103" i="35"/>
  <c r="N103" i="35"/>
  <c r="M103" i="35"/>
  <c r="L103" i="35"/>
  <c r="V102" i="35"/>
  <c r="U102" i="35"/>
  <c r="T102" i="35"/>
  <c r="O102" i="35"/>
  <c r="N102" i="35"/>
  <c r="M102" i="35"/>
  <c r="L102" i="35"/>
  <c r="V101" i="35"/>
  <c r="U101" i="35"/>
  <c r="T101" i="35"/>
  <c r="O101" i="35"/>
  <c r="N101" i="35"/>
  <c r="M101" i="35"/>
  <c r="L101" i="35"/>
  <c r="V100" i="35"/>
  <c r="U100" i="35"/>
  <c r="T100" i="35"/>
  <c r="O100" i="35"/>
  <c r="N100" i="35"/>
  <c r="M100" i="35"/>
  <c r="L100" i="35"/>
  <c r="V99" i="35"/>
  <c r="U99" i="35"/>
  <c r="T99" i="35"/>
  <c r="O99" i="35"/>
  <c r="N99" i="35"/>
  <c r="M99" i="35"/>
  <c r="L99" i="35"/>
  <c r="V98" i="35"/>
  <c r="U98" i="35"/>
  <c r="T98" i="35"/>
  <c r="O98" i="35"/>
  <c r="N98" i="35"/>
  <c r="M98" i="35"/>
  <c r="L98" i="35"/>
  <c r="V97" i="35"/>
  <c r="U97" i="35"/>
  <c r="T97" i="35"/>
  <c r="O97" i="35"/>
  <c r="N97" i="35"/>
  <c r="M97" i="35"/>
  <c r="L97" i="35"/>
  <c r="V96" i="35"/>
  <c r="U96" i="35"/>
  <c r="T96" i="35"/>
  <c r="O96" i="35"/>
  <c r="N96" i="35"/>
  <c r="M96" i="35"/>
  <c r="L96" i="35"/>
  <c r="V95" i="35"/>
  <c r="U95" i="35"/>
  <c r="T95" i="35"/>
  <c r="O95" i="35"/>
  <c r="N95" i="35"/>
  <c r="M95" i="35"/>
  <c r="L95" i="35"/>
  <c r="V94" i="35"/>
  <c r="U94" i="35"/>
  <c r="T94" i="35"/>
  <c r="O94" i="35"/>
  <c r="N94" i="35"/>
  <c r="M94" i="35"/>
  <c r="L94" i="35"/>
  <c r="V93" i="35"/>
  <c r="U93" i="35"/>
  <c r="T93" i="35"/>
  <c r="O93" i="35"/>
  <c r="N93" i="35"/>
  <c r="M93" i="35"/>
  <c r="L93" i="35"/>
  <c r="V92" i="35"/>
  <c r="U92" i="35"/>
  <c r="T92" i="35"/>
  <c r="O92" i="35"/>
  <c r="N92" i="35"/>
  <c r="M92" i="35"/>
  <c r="L92" i="35"/>
  <c r="V91" i="35"/>
  <c r="U91" i="35"/>
  <c r="T91" i="35"/>
  <c r="O91" i="35"/>
  <c r="N91" i="35"/>
  <c r="M91" i="35"/>
  <c r="L91" i="35"/>
  <c r="V90" i="35"/>
  <c r="U90" i="35"/>
  <c r="T90" i="35"/>
  <c r="O90" i="35"/>
  <c r="N90" i="35"/>
  <c r="M90" i="35"/>
  <c r="L90" i="35"/>
  <c r="V89" i="35"/>
  <c r="U89" i="35"/>
  <c r="T89" i="35"/>
  <c r="O89" i="35"/>
  <c r="N89" i="35"/>
  <c r="M89" i="35"/>
  <c r="L89" i="35"/>
  <c r="V88" i="35"/>
  <c r="U88" i="35"/>
  <c r="T88" i="35"/>
  <c r="O88" i="35"/>
  <c r="N88" i="35"/>
  <c r="M88" i="35"/>
  <c r="L88" i="35"/>
  <c r="V87" i="35"/>
  <c r="U87" i="35"/>
  <c r="T87" i="35"/>
  <c r="O87" i="35"/>
  <c r="N87" i="35"/>
  <c r="M87" i="35"/>
  <c r="L87" i="35"/>
  <c r="V86" i="35"/>
  <c r="U86" i="35"/>
  <c r="T86" i="35"/>
  <c r="O86" i="35"/>
  <c r="N86" i="35"/>
  <c r="M86" i="35"/>
  <c r="L86" i="35"/>
  <c r="V85" i="35"/>
  <c r="U85" i="35"/>
  <c r="T85" i="35"/>
  <c r="O85" i="35"/>
  <c r="N85" i="35"/>
  <c r="M85" i="35"/>
  <c r="L85" i="35"/>
  <c r="V84" i="35"/>
  <c r="U84" i="35"/>
  <c r="T84" i="35"/>
  <c r="O84" i="35"/>
  <c r="N84" i="35"/>
  <c r="M84" i="35"/>
  <c r="L84" i="35"/>
  <c r="V83" i="35"/>
  <c r="U83" i="35"/>
  <c r="T83" i="35"/>
  <c r="O83" i="35"/>
  <c r="N83" i="35"/>
  <c r="M83" i="35"/>
  <c r="L83" i="35"/>
  <c r="V82" i="35"/>
  <c r="U82" i="35"/>
  <c r="T82" i="35"/>
  <c r="O82" i="35"/>
  <c r="N82" i="35"/>
  <c r="M82" i="35"/>
  <c r="L82" i="35"/>
  <c r="V81" i="35"/>
  <c r="U81" i="35"/>
  <c r="T81" i="35"/>
  <c r="O81" i="35"/>
  <c r="N81" i="35"/>
  <c r="M81" i="35"/>
  <c r="L81" i="35"/>
  <c r="V80" i="35"/>
  <c r="U80" i="35"/>
  <c r="T80" i="35"/>
  <c r="O80" i="35"/>
  <c r="N80" i="35"/>
  <c r="M80" i="35"/>
  <c r="L80" i="35"/>
  <c r="V79" i="35"/>
  <c r="U79" i="35"/>
  <c r="T79" i="35"/>
  <c r="O79" i="35"/>
  <c r="N79" i="35"/>
  <c r="M79" i="35"/>
  <c r="L79" i="35"/>
  <c r="V78" i="35"/>
  <c r="U78" i="35"/>
  <c r="T78" i="35"/>
  <c r="O78" i="35"/>
  <c r="N78" i="35"/>
  <c r="M78" i="35"/>
  <c r="L78" i="35"/>
  <c r="V77" i="35"/>
  <c r="U77" i="35"/>
  <c r="T77" i="35"/>
  <c r="O77" i="35"/>
  <c r="N77" i="35"/>
  <c r="M77" i="35"/>
  <c r="L77" i="35"/>
  <c r="V76" i="35"/>
  <c r="U76" i="35"/>
  <c r="T76" i="35"/>
  <c r="O76" i="35"/>
  <c r="N76" i="35"/>
  <c r="M76" i="35"/>
  <c r="L76" i="35"/>
  <c r="V75" i="35"/>
  <c r="U75" i="35"/>
  <c r="T75" i="35"/>
  <c r="O75" i="35"/>
  <c r="N75" i="35"/>
  <c r="M75" i="35"/>
  <c r="L75" i="35"/>
  <c r="V74" i="35"/>
  <c r="U74" i="35"/>
  <c r="T74" i="35"/>
  <c r="O74" i="35"/>
  <c r="N74" i="35"/>
  <c r="M74" i="35"/>
  <c r="L74" i="35"/>
  <c r="V73" i="35"/>
  <c r="U73" i="35"/>
  <c r="T73" i="35"/>
  <c r="O73" i="35"/>
  <c r="N73" i="35"/>
  <c r="M73" i="35"/>
  <c r="L73" i="35"/>
  <c r="V72" i="35"/>
  <c r="U72" i="35"/>
  <c r="T72" i="35"/>
  <c r="O72" i="35"/>
  <c r="N72" i="35"/>
  <c r="M72" i="35"/>
  <c r="L72" i="35"/>
  <c r="V71" i="35"/>
  <c r="U71" i="35"/>
  <c r="T71" i="35"/>
  <c r="O71" i="35"/>
  <c r="N71" i="35"/>
  <c r="M71" i="35"/>
  <c r="L71" i="35"/>
  <c r="V70" i="35"/>
  <c r="U70" i="35"/>
  <c r="T70" i="35"/>
  <c r="O70" i="35"/>
  <c r="N70" i="35"/>
  <c r="M70" i="35"/>
  <c r="L70" i="35"/>
  <c r="V69" i="35"/>
  <c r="U69" i="35"/>
  <c r="T69" i="35"/>
  <c r="O69" i="35"/>
  <c r="N69" i="35"/>
  <c r="M69" i="35"/>
  <c r="L69" i="35"/>
  <c r="V68" i="35"/>
  <c r="U68" i="35"/>
  <c r="T68" i="35"/>
  <c r="O68" i="35"/>
  <c r="N68" i="35"/>
  <c r="M68" i="35"/>
  <c r="L68" i="35"/>
  <c r="V67" i="35"/>
  <c r="U67" i="35"/>
  <c r="T67" i="35"/>
  <c r="O67" i="35"/>
  <c r="N67" i="35"/>
  <c r="M67" i="35"/>
  <c r="L67" i="35"/>
  <c r="V66" i="35"/>
  <c r="U66" i="35"/>
  <c r="T66" i="35"/>
  <c r="O66" i="35"/>
  <c r="N66" i="35"/>
  <c r="M66" i="35"/>
  <c r="L66" i="35"/>
  <c r="V65" i="35"/>
  <c r="U65" i="35"/>
  <c r="T65" i="35"/>
  <c r="O65" i="35"/>
  <c r="N65" i="35"/>
  <c r="M65" i="35"/>
  <c r="L65" i="35"/>
  <c r="V64" i="35"/>
  <c r="U64" i="35"/>
  <c r="T64" i="35"/>
  <c r="O64" i="35"/>
  <c r="N64" i="35"/>
  <c r="M64" i="35"/>
  <c r="L64" i="35"/>
  <c r="V63" i="35"/>
  <c r="U63" i="35"/>
  <c r="T63" i="35"/>
  <c r="O63" i="35"/>
  <c r="N63" i="35"/>
  <c r="M63" i="35"/>
  <c r="L63" i="35"/>
  <c r="V62" i="35"/>
  <c r="U62" i="35"/>
  <c r="T62" i="35"/>
  <c r="O62" i="35"/>
  <c r="N62" i="35"/>
  <c r="M62" i="35"/>
  <c r="L62" i="35"/>
  <c r="V61" i="35"/>
  <c r="U61" i="35"/>
  <c r="T61" i="35"/>
  <c r="O61" i="35"/>
  <c r="N61" i="35"/>
  <c r="M61" i="35"/>
  <c r="L61" i="35"/>
  <c r="V60" i="35"/>
  <c r="U60" i="35"/>
  <c r="T60" i="35"/>
  <c r="O60" i="35"/>
  <c r="N60" i="35"/>
  <c r="M60" i="35"/>
  <c r="L60" i="35"/>
  <c r="V59" i="35"/>
  <c r="U59" i="35"/>
  <c r="T59" i="35"/>
  <c r="O59" i="35"/>
  <c r="N59" i="35"/>
  <c r="M59" i="35"/>
  <c r="L59" i="35"/>
  <c r="V58" i="35"/>
  <c r="U58" i="35"/>
  <c r="T58" i="35"/>
  <c r="O58" i="35"/>
  <c r="N58" i="35"/>
  <c r="M58" i="35"/>
  <c r="L58" i="35"/>
  <c r="V57" i="35"/>
  <c r="U57" i="35"/>
  <c r="T57" i="35"/>
  <c r="O57" i="35"/>
  <c r="N57" i="35"/>
  <c r="M57" i="35"/>
  <c r="L57" i="35"/>
  <c r="V56" i="35"/>
  <c r="U56" i="35"/>
  <c r="T56" i="35"/>
  <c r="O56" i="35"/>
  <c r="N56" i="35"/>
  <c r="M56" i="35"/>
  <c r="L56" i="35"/>
  <c r="V55" i="35"/>
  <c r="U55" i="35"/>
  <c r="T55" i="35"/>
  <c r="O55" i="35"/>
  <c r="N55" i="35"/>
  <c r="M55" i="35"/>
  <c r="L55" i="35"/>
  <c r="V54" i="35"/>
  <c r="U54" i="35"/>
  <c r="T54" i="35"/>
  <c r="O54" i="35"/>
  <c r="N54" i="35"/>
  <c r="M54" i="35"/>
  <c r="L54" i="35"/>
  <c r="V53" i="35"/>
  <c r="U53" i="35"/>
  <c r="T53" i="35"/>
  <c r="O53" i="35"/>
  <c r="N53" i="35"/>
  <c r="M53" i="35"/>
  <c r="L53" i="35"/>
  <c r="V52" i="35"/>
  <c r="U52" i="35"/>
  <c r="T52" i="35"/>
  <c r="O52" i="35"/>
  <c r="N52" i="35"/>
  <c r="M52" i="35"/>
  <c r="L52" i="35"/>
  <c r="V51" i="35"/>
  <c r="U51" i="35"/>
  <c r="T51" i="35"/>
  <c r="O51" i="35"/>
  <c r="N51" i="35"/>
  <c r="M51" i="35"/>
  <c r="L51" i="35"/>
  <c r="V50" i="35"/>
  <c r="U50" i="35"/>
  <c r="T50" i="35"/>
  <c r="O50" i="35"/>
  <c r="N50" i="35"/>
  <c r="M50" i="35"/>
  <c r="L50" i="35"/>
  <c r="V49" i="35"/>
  <c r="U49" i="35"/>
  <c r="T49" i="35"/>
  <c r="O49" i="35"/>
  <c r="N49" i="35"/>
  <c r="M49" i="35"/>
  <c r="L49" i="35"/>
  <c r="V48" i="35"/>
  <c r="U48" i="35"/>
  <c r="T48" i="35"/>
  <c r="O48" i="35"/>
  <c r="N48" i="35"/>
  <c r="M48" i="35"/>
  <c r="L48" i="35"/>
  <c r="V47" i="35"/>
  <c r="U47" i="35"/>
  <c r="T47" i="35"/>
  <c r="O47" i="35"/>
  <c r="N47" i="35"/>
  <c r="M47" i="35"/>
  <c r="L47" i="35"/>
  <c r="V46" i="35"/>
  <c r="U46" i="35"/>
  <c r="T46" i="35"/>
  <c r="O46" i="35"/>
  <c r="N46" i="35"/>
  <c r="M46" i="35"/>
  <c r="L46" i="35"/>
  <c r="V45" i="35"/>
  <c r="U45" i="35"/>
  <c r="T45" i="35"/>
  <c r="O45" i="35"/>
  <c r="N45" i="35"/>
  <c r="M45" i="35"/>
  <c r="L45" i="35"/>
  <c r="V44" i="35"/>
  <c r="U44" i="35"/>
  <c r="T44" i="35"/>
  <c r="O44" i="35"/>
  <c r="N44" i="35"/>
  <c r="M44" i="35"/>
  <c r="L44" i="35"/>
  <c r="V43" i="35"/>
  <c r="U43" i="35"/>
  <c r="T43" i="35"/>
  <c r="O43" i="35"/>
  <c r="N43" i="35"/>
  <c r="M43" i="35"/>
  <c r="L43" i="35"/>
  <c r="V42" i="35"/>
  <c r="U42" i="35"/>
  <c r="T42" i="35"/>
  <c r="O42" i="35"/>
  <c r="N42" i="35"/>
  <c r="M42" i="35"/>
  <c r="L42" i="35"/>
  <c r="V41" i="35"/>
  <c r="U41" i="35"/>
  <c r="T41" i="35"/>
  <c r="O41" i="35"/>
  <c r="N41" i="35"/>
  <c r="M41" i="35"/>
  <c r="L41" i="35"/>
  <c r="V40" i="35"/>
  <c r="U40" i="35"/>
  <c r="T40" i="35"/>
  <c r="O40" i="35"/>
  <c r="N40" i="35"/>
  <c r="M40" i="35"/>
  <c r="L40" i="35"/>
  <c r="V39" i="35"/>
  <c r="U39" i="35"/>
  <c r="T39" i="35"/>
  <c r="O39" i="35"/>
  <c r="N39" i="35"/>
  <c r="M39" i="35"/>
  <c r="L39" i="35"/>
  <c r="V38" i="35"/>
  <c r="U38" i="35"/>
  <c r="T38" i="35"/>
  <c r="O38" i="35"/>
  <c r="N38" i="35"/>
  <c r="M38" i="35"/>
  <c r="L38" i="35"/>
  <c r="V37" i="35"/>
  <c r="U37" i="35"/>
  <c r="T37" i="35"/>
  <c r="O37" i="35"/>
  <c r="N37" i="35"/>
  <c r="M37" i="35"/>
  <c r="L37" i="35"/>
  <c r="V36" i="35"/>
  <c r="U36" i="35"/>
  <c r="T36" i="35"/>
  <c r="O36" i="35"/>
  <c r="N36" i="35"/>
  <c r="M36" i="35"/>
  <c r="L36" i="35"/>
  <c r="V35" i="35"/>
  <c r="U35" i="35"/>
  <c r="T35" i="35"/>
  <c r="O35" i="35"/>
  <c r="N35" i="35"/>
  <c r="M35" i="35"/>
  <c r="L35" i="35"/>
  <c r="V34" i="35"/>
  <c r="U34" i="35"/>
  <c r="T34" i="35"/>
  <c r="O34" i="35"/>
  <c r="N34" i="35"/>
  <c r="M34" i="35"/>
  <c r="L34" i="35"/>
  <c r="V33" i="35"/>
  <c r="U33" i="35"/>
  <c r="T33" i="35"/>
  <c r="O33" i="35"/>
  <c r="N33" i="35"/>
  <c r="M33" i="35"/>
  <c r="L33" i="35"/>
  <c r="V32" i="35"/>
  <c r="U32" i="35"/>
  <c r="T32" i="35"/>
  <c r="O32" i="35"/>
  <c r="N32" i="35"/>
  <c r="M32" i="35"/>
  <c r="L32" i="35"/>
  <c r="V31" i="35"/>
  <c r="U31" i="35"/>
  <c r="T31" i="35"/>
  <c r="O31" i="35"/>
  <c r="N31" i="35"/>
  <c r="M31" i="35"/>
  <c r="L31" i="35"/>
  <c r="V30" i="35"/>
  <c r="U30" i="35"/>
  <c r="T30" i="35"/>
  <c r="O30" i="35"/>
  <c r="N30" i="35"/>
  <c r="M30" i="35"/>
  <c r="L30" i="35"/>
  <c r="V29" i="35"/>
  <c r="U29" i="35"/>
  <c r="T29" i="35"/>
  <c r="O29" i="35"/>
  <c r="N29" i="35"/>
  <c r="M29" i="35"/>
  <c r="L29" i="35"/>
  <c r="V28" i="35"/>
  <c r="U28" i="35"/>
  <c r="T28" i="35"/>
  <c r="O28" i="35"/>
  <c r="N28" i="35"/>
  <c r="M28" i="35"/>
  <c r="L28" i="35"/>
  <c r="V27" i="35"/>
  <c r="U27" i="35"/>
  <c r="T27" i="35"/>
  <c r="O27" i="35"/>
  <c r="N27" i="35"/>
  <c r="M27" i="35"/>
  <c r="L27" i="35"/>
  <c r="V26" i="35"/>
  <c r="U26" i="35"/>
  <c r="T26" i="35"/>
  <c r="O26" i="35"/>
  <c r="N26" i="35"/>
  <c r="M26" i="35"/>
  <c r="L26" i="35"/>
  <c r="V25" i="35"/>
  <c r="U25" i="35"/>
  <c r="T25" i="35"/>
  <c r="O25" i="35"/>
  <c r="N25" i="35"/>
  <c r="M25" i="35"/>
  <c r="L25" i="35"/>
  <c r="V24" i="35"/>
  <c r="U24" i="35"/>
  <c r="T24" i="35"/>
  <c r="O24" i="35"/>
  <c r="N24" i="35"/>
  <c r="M24" i="35"/>
  <c r="L24" i="35"/>
  <c r="V23" i="35"/>
  <c r="U23" i="35"/>
  <c r="T23" i="35"/>
  <c r="O23" i="35"/>
  <c r="N23" i="35"/>
  <c r="M23" i="35"/>
  <c r="L23" i="35"/>
  <c r="V22" i="35"/>
  <c r="U22" i="35"/>
  <c r="T22" i="35"/>
  <c r="O22" i="35"/>
  <c r="N22" i="35"/>
  <c r="M22" i="35"/>
  <c r="L22" i="35"/>
  <c r="V21" i="35"/>
  <c r="U21" i="35"/>
  <c r="T21" i="35"/>
  <c r="O21" i="35"/>
  <c r="N21" i="35"/>
  <c r="M21" i="35"/>
  <c r="L21" i="35"/>
  <c r="V20" i="35"/>
  <c r="U20" i="35"/>
  <c r="T20" i="35"/>
  <c r="O20" i="35"/>
  <c r="N20" i="35"/>
  <c r="M20" i="35"/>
  <c r="L20" i="35"/>
  <c r="V19" i="35"/>
  <c r="U19" i="35"/>
  <c r="T19" i="35"/>
  <c r="O19" i="35"/>
  <c r="N19" i="35"/>
  <c r="M19" i="35"/>
  <c r="L19" i="35"/>
  <c r="V18" i="35"/>
  <c r="U18" i="35"/>
  <c r="T18" i="35"/>
  <c r="O18" i="35"/>
  <c r="N18" i="35"/>
  <c r="M18" i="35"/>
  <c r="L18" i="35"/>
  <c r="V17" i="35"/>
  <c r="U17" i="35"/>
  <c r="T17" i="35"/>
  <c r="O17" i="35"/>
  <c r="N17" i="35"/>
  <c r="M17" i="35"/>
  <c r="L17" i="35"/>
  <c r="V16" i="35"/>
  <c r="U16" i="35"/>
  <c r="T16" i="35"/>
  <c r="O16" i="35"/>
  <c r="N16" i="35"/>
  <c r="M16" i="35"/>
  <c r="L16" i="35"/>
  <c r="V15" i="35"/>
  <c r="U15" i="35"/>
  <c r="T15" i="35"/>
  <c r="O15" i="35"/>
  <c r="N15" i="35"/>
  <c r="M15" i="35"/>
  <c r="L15" i="35"/>
  <c r="V14" i="35"/>
  <c r="U14" i="35"/>
  <c r="T14" i="35"/>
  <c r="O14" i="35"/>
  <c r="N14" i="35"/>
  <c r="M14" i="35"/>
  <c r="L14" i="35"/>
  <c r="V13" i="35"/>
  <c r="U13" i="35"/>
  <c r="T13" i="35"/>
  <c r="O13" i="35"/>
  <c r="N13" i="35"/>
  <c r="M13" i="35"/>
  <c r="L13" i="35"/>
  <c r="V12" i="35"/>
  <c r="U12" i="35"/>
  <c r="T12" i="35"/>
  <c r="O12" i="35"/>
  <c r="N12" i="35"/>
  <c r="M12" i="35"/>
  <c r="L12" i="35"/>
  <c r="V11" i="35"/>
  <c r="U11" i="35"/>
  <c r="T11" i="35"/>
  <c r="O11" i="35"/>
  <c r="N11" i="35"/>
  <c r="M11" i="35"/>
  <c r="L11" i="35"/>
  <c r="V10" i="35"/>
  <c r="U10" i="35"/>
  <c r="T10" i="35"/>
  <c r="O10" i="35"/>
  <c r="N10" i="35"/>
  <c r="M10" i="35"/>
  <c r="L10" i="35"/>
  <c r="V9" i="35"/>
  <c r="U9" i="35"/>
  <c r="T9" i="35"/>
  <c r="O9" i="35"/>
  <c r="N9" i="35"/>
  <c r="M9" i="35"/>
  <c r="L9" i="35"/>
  <c r="V8" i="35"/>
  <c r="U8" i="35"/>
  <c r="T8" i="35"/>
  <c r="O8" i="35"/>
  <c r="N8" i="35"/>
  <c r="M8" i="35"/>
  <c r="L8" i="35"/>
  <c r="V7" i="35"/>
  <c r="U7" i="35"/>
  <c r="T7" i="35"/>
  <c r="O7" i="35"/>
  <c r="N7" i="35"/>
  <c r="M7" i="35"/>
  <c r="L7" i="35"/>
  <c r="V6" i="35"/>
  <c r="U6" i="35"/>
  <c r="T6" i="35"/>
  <c r="O6" i="35"/>
  <c r="N6" i="35"/>
  <c r="M6" i="35"/>
  <c r="L6" i="35"/>
  <c r="V5" i="35"/>
  <c r="U5" i="35"/>
  <c r="T5" i="35"/>
  <c r="O5" i="35"/>
  <c r="N5" i="35"/>
  <c r="M5" i="35"/>
  <c r="L5" i="35"/>
  <c r="V4" i="35"/>
  <c r="U4" i="35"/>
  <c r="T4" i="35"/>
  <c r="O4" i="35"/>
  <c r="N4" i="35"/>
  <c r="M4" i="35"/>
  <c r="L4" i="35"/>
  <c r="V3" i="35"/>
  <c r="U3" i="35"/>
  <c r="T3" i="35"/>
  <c r="O3" i="35"/>
  <c r="N3" i="35"/>
  <c r="M3" i="35"/>
  <c r="L3" i="35"/>
  <c r="B18" i="34" l="1"/>
  <c r="B6" i="34"/>
  <c r="B5" i="34"/>
  <c r="Y3" i="27"/>
  <c r="Y4" i="27"/>
  <c r="Y5" i="27"/>
  <c r="Y6" i="27"/>
  <c r="Y7" i="27"/>
  <c r="Y8"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Y36" i="27"/>
  <c r="Y37" i="27"/>
  <c r="Y38" i="27"/>
  <c r="Y39" i="27"/>
  <c r="Y40" i="27"/>
  <c r="Y41" i="27"/>
  <c r="Y42" i="27"/>
  <c r="Y43" i="27"/>
  <c r="Y44" i="27"/>
  <c r="Y45" i="27"/>
  <c r="Y46" i="27"/>
  <c r="Y47" i="27"/>
  <c r="Y48" i="27"/>
  <c r="Y49" i="27"/>
  <c r="Y50" i="27"/>
  <c r="Y51" i="27"/>
  <c r="Y52" i="27"/>
  <c r="Y53" i="27"/>
  <c r="Y54" i="27"/>
  <c r="Y55" i="27"/>
  <c r="Y56" i="27"/>
  <c r="Y57" i="27"/>
  <c r="Y58" i="27"/>
  <c r="Y59" i="27"/>
  <c r="Y60" i="27"/>
  <c r="Y61" i="27"/>
  <c r="Y62" i="27"/>
  <c r="Y63" i="27"/>
  <c r="Y64" i="27"/>
  <c r="Y65" i="27"/>
  <c r="Y66" i="27"/>
  <c r="Y67" i="27"/>
  <c r="Y68" i="27"/>
  <c r="Y69" i="27"/>
  <c r="Y70" i="27"/>
  <c r="Y71" i="27"/>
  <c r="Y72" i="27"/>
  <c r="Y73" i="27"/>
  <c r="Y74" i="27"/>
  <c r="Y75" i="27"/>
  <c r="Y76" i="27"/>
  <c r="Y77" i="27"/>
  <c r="Y78" i="27"/>
  <c r="Y79" i="27"/>
  <c r="Y80" i="27"/>
  <c r="Y81" i="27"/>
  <c r="Y82" i="27"/>
  <c r="Y83" i="27"/>
  <c r="Y84" i="27"/>
  <c r="Y85" i="27"/>
  <c r="Y86" i="27"/>
  <c r="Y87" i="27"/>
  <c r="Y88" i="27"/>
  <c r="Y89" i="27"/>
  <c r="Y90" i="27"/>
  <c r="Y91" i="27"/>
  <c r="Y92" i="27"/>
  <c r="Y93" i="27"/>
  <c r="Y94" i="27"/>
  <c r="Y95" i="27"/>
  <c r="Y96" i="27"/>
  <c r="Y97" i="27"/>
  <c r="Y98" i="27"/>
  <c r="Y99" i="27"/>
  <c r="Y100" i="27"/>
  <c r="Y101" i="27"/>
  <c r="Y102" i="27"/>
  <c r="Y103" i="27"/>
  <c r="Y104" i="27"/>
  <c r="Y105" i="27"/>
  <c r="Y106" i="27"/>
  <c r="Y107" i="27"/>
  <c r="Y108" i="27"/>
  <c r="Y109" i="27"/>
  <c r="Y110" i="27"/>
  <c r="Y111" i="27"/>
  <c r="Y112" i="27"/>
  <c r="Y113" i="27"/>
  <c r="Y114" i="27"/>
  <c r="Y115" i="27"/>
  <c r="Y116" i="27"/>
  <c r="Y117" i="27"/>
  <c r="Y118" i="27"/>
  <c r="Y119" i="27"/>
  <c r="Y120" i="27"/>
  <c r="Y121" i="27"/>
  <c r="Y122" i="27"/>
  <c r="Y123" i="27"/>
  <c r="Y124" i="27"/>
  <c r="Y125" i="27"/>
  <c r="Y126" i="27"/>
  <c r="Y127" i="27"/>
  <c r="Y128" i="27"/>
  <c r="Y129" i="27"/>
  <c r="Y130" i="27"/>
  <c r="Y131" i="27"/>
  <c r="Y132" i="27"/>
  <c r="Y133" i="27"/>
  <c r="Y134" i="27"/>
  <c r="Y135" i="27"/>
  <c r="Y136" i="27"/>
  <c r="Y137" i="27"/>
  <c r="Y138" i="27"/>
  <c r="Y139" i="27"/>
  <c r="Y140" i="27"/>
  <c r="Y141" i="27"/>
  <c r="Y142" i="27"/>
  <c r="Y143" i="27"/>
  <c r="Y144" i="27"/>
  <c r="Y145" i="27"/>
  <c r="Y146" i="27"/>
  <c r="Y147" i="27"/>
  <c r="Y148" i="27"/>
  <c r="Y149" i="27"/>
  <c r="Y150" i="27"/>
  <c r="Y151" i="27"/>
  <c r="Y152" i="27"/>
  <c r="Y153" i="27"/>
  <c r="Y154" i="27"/>
  <c r="Y155" i="27"/>
  <c r="Y156" i="27"/>
  <c r="Y157" i="27"/>
  <c r="Y158" i="27"/>
  <c r="Y159" i="27"/>
  <c r="Y160" i="27"/>
  <c r="Y161" i="27"/>
  <c r="Y162" i="27"/>
  <c r="Y163" i="27"/>
  <c r="Y164" i="27"/>
  <c r="Y165" i="27"/>
  <c r="Y166" i="27"/>
  <c r="Y167" i="27"/>
  <c r="Y168" i="27"/>
  <c r="Y169" i="27"/>
  <c r="Y170" i="27"/>
  <c r="Y171" i="27"/>
  <c r="Y172" i="27"/>
  <c r="Y173" i="27"/>
  <c r="Y174" i="27"/>
  <c r="Y175" i="27"/>
  <c r="Y176" i="27"/>
  <c r="Y177" i="27"/>
  <c r="Y178" i="27"/>
  <c r="Y179" i="27"/>
  <c r="Y180" i="27"/>
  <c r="Y181" i="27"/>
  <c r="Y182" i="27"/>
  <c r="Y183" i="27"/>
  <c r="Y184" i="27"/>
  <c r="Y185" i="27"/>
  <c r="Y186" i="27"/>
  <c r="Y187" i="27"/>
  <c r="Y188" i="27"/>
  <c r="Y189" i="27"/>
  <c r="Y190" i="27"/>
  <c r="Y191" i="27"/>
  <c r="Y192" i="27"/>
  <c r="Y193" i="27"/>
  <c r="Y194" i="27"/>
  <c r="Y195" i="27"/>
  <c r="Y196" i="27"/>
  <c r="Y197" i="27"/>
  <c r="Y198" i="27"/>
  <c r="Y199" i="27"/>
  <c r="Y200" i="27"/>
  <c r="Y201" i="27"/>
  <c r="Y202" i="27"/>
  <c r="Y203" i="27"/>
  <c r="Y204" i="27"/>
  <c r="Y205" i="27"/>
  <c r="Y206" i="27"/>
  <c r="Y207" i="27"/>
  <c r="Y208" i="27"/>
  <c r="Y209" i="27"/>
  <c r="Y210" i="27"/>
  <c r="Y211" i="27"/>
  <c r="Y212" i="27"/>
  <c r="Y213" i="27"/>
  <c r="Y214" i="27"/>
  <c r="Y215" i="27"/>
  <c r="Y216" i="27"/>
  <c r="Y217" i="27"/>
  <c r="Y218" i="27"/>
  <c r="Y219" i="27"/>
  <c r="Y220" i="27"/>
  <c r="Y221" i="27"/>
  <c r="Y222" i="27"/>
  <c r="Y223" i="27"/>
  <c r="Y224" i="27"/>
  <c r="Y225" i="27"/>
  <c r="Y226" i="27"/>
  <c r="Y227" i="27"/>
  <c r="Y228" i="27"/>
  <c r="Y229" i="27"/>
  <c r="Y230" i="27"/>
  <c r="Y231" i="27"/>
  <c r="Y232" i="27"/>
  <c r="Y233" i="27"/>
  <c r="Y234" i="27"/>
  <c r="Y235" i="27"/>
  <c r="Y236" i="27"/>
  <c r="Y237" i="27"/>
  <c r="Y238" i="27"/>
  <c r="Y239" i="27"/>
  <c r="Y240" i="27"/>
  <c r="Y241" i="27"/>
  <c r="Y242" i="27"/>
  <c r="Y243" i="27"/>
  <c r="Y244" i="27"/>
  <c r="Y245" i="27"/>
  <c r="Y246" i="27"/>
  <c r="Y247" i="27"/>
  <c r="Y248" i="27"/>
  <c r="Y249" i="27"/>
  <c r="Y250" i="27"/>
  <c r="Y251" i="27"/>
  <c r="Y252" i="27"/>
  <c r="Y253" i="27"/>
  <c r="Y254" i="27"/>
  <c r="Y255" i="27"/>
  <c r="Y256" i="27"/>
  <c r="Y257" i="27"/>
  <c r="Y258" i="27"/>
  <c r="Y259" i="27"/>
  <c r="Y260" i="27"/>
  <c r="Y261" i="27"/>
  <c r="Y262" i="27"/>
  <c r="Y263" i="27"/>
  <c r="Y264" i="27"/>
  <c r="Y265" i="27"/>
  <c r="Y266" i="27"/>
  <c r="Y267" i="27"/>
  <c r="Y268" i="27"/>
  <c r="Y269" i="27"/>
  <c r="Y270" i="27"/>
  <c r="Y271" i="27"/>
  <c r="Y272" i="27"/>
  <c r="Y273" i="27"/>
  <c r="Y274" i="27"/>
  <c r="Y275" i="27"/>
  <c r="Y276" i="27"/>
  <c r="Y277" i="27"/>
  <c r="Y278" i="27"/>
  <c r="Y279" i="27"/>
  <c r="Y280" i="27"/>
  <c r="Y281" i="27"/>
  <c r="Y282" i="27"/>
  <c r="Y283" i="27"/>
  <c r="Y284" i="27"/>
  <c r="Y285" i="27"/>
  <c r="Y286" i="27"/>
  <c r="Y287" i="27"/>
  <c r="Y288" i="27"/>
  <c r="Y289" i="27"/>
  <c r="Y290" i="27"/>
  <c r="Y291" i="27"/>
  <c r="Y292" i="27"/>
  <c r="Y293" i="27"/>
  <c r="Y294" i="27"/>
  <c r="Y295" i="27"/>
  <c r="Y296" i="27"/>
  <c r="Y297" i="27"/>
  <c r="Y2" i="27"/>
  <c r="W294" i="27"/>
  <c r="X294" i="27" s="1"/>
  <c r="W290" i="27"/>
  <c r="X290" i="27" s="1"/>
  <c r="W286" i="27"/>
  <c r="X286" i="27" s="1"/>
  <c r="W274" i="27"/>
  <c r="X274" i="27" s="1"/>
  <c r="W270" i="27"/>
  <c r="X270" i="27" s="1"/>
  <c r="W266" i="27"/>
  <c r="X266" i="27" s="1"/>
  <c r="W262" i="27"/>
  <c r="X262" i="27" s="1"/>
  <c r="W254" i="27"/>
  <c r="X254" i="27" s="1"/>
  <c r="W250" i="27"/>
  <c r="X250" i="27" s="1"/>
  <c r="W246" i="27"/>
  <c r="X246" i="27" s="1"/>
  <c r="W242" i="27"/>
  <c r="X242" i="27" s="1"/>
  <c r="W234" i="27"/>
  <c r="X234" i="27" s="1"/>
  <c r="W230" i="27"/>
  <c r="X230" i="27" s="1"/>
  <c r="W226" i="27"/>
  <c r="X226" i="27" s="1"/>
  <c r="W222" i="27"/>
  <c r="X222" i="27" s="1"/>
  <c r="W210" i="27"/>
  <c r="X210" i="27" s="1"/>
  <c r="W206" i="27"/>
  <c r="X206" i="27" s="1"/>
  <c r="W202" i="27"/>
  <c r="X202" i="27" s="1"/>
  <c r="W198" i="27"/>
  <c r="X198" i="27" s="1"/>
  <c r="W190" i="27"/>
  <c r="X190" i="27" s="1"/>
  <c r="W186" i="27"/>
  <c r="X186" i="27" s="1"/>
  <c r="W182" i="27"/>
  <c r="X182" i="27" s="1"/>
  <c r="W178" i="27"/>
  <c r="X178" i="27" s="1"/>
  <c r="W170" i="27"/>
  <c r="X170" i="27" s="1"/>
  <c r="W166" i="27"/>
  <c r="X166" i="27" s="1"/>
  <c r="W162" i="27"/>
  <c r="X162" i="27" s="1"/>
  <c r="W158" i="27"/>
  <c r="X158" i="27" s="1"/>
  <c r="W146" i="27"/>
  <c r="X146" i="27" s="1"/>
  <c r="W142" i="27"/>
  <c r="X142" i="27" s="1"/>
  <c r="W138" i="27"/>
  <c r="X138" i="27" s="1"/>
  <c r="W134" i="27"/>
  <c r="X134" i="27" s="1"/>
  <c r="W126" i="27"/>
  <c r="X126" i="27" s="1"/>
  <c r="W122" i="27"/>
  <c r="X122" i="27" s="1"/>
  <c r="W118" i="27"/>
  <c r="X118" i="27" s="1"/>
  <c r="W102" i="27"/>
  <c r="X102" i="27" s="1"/>
  <c r="W70" i="27"/>
  <c r="X70" i="27" s="1"/>
  <c r="W54" i="27"/>
  <c r="X54" i="27" s="1"/>
  <c r="W50" i="27"/>
  <c r="X50" i="27" s="1"/>
  <c r="W46" i="27"/>
  <c r="X46" i="27" s="1"/>
  <c r="W22" i="27"/>
  <c r="X22" i="27" s="1"/>
  <c r="W18" i="27"/>
  <c r="X18" i="27" s="1"/>
  <c r="W14" i="27"/>
  <c r="X14" i="27" s="1"/>
  <c r="W6" i="27"/>
  <c r="X6" i="27" s="1"/>
  <c r="W278" i="27"/>
  <c r="X278" i="27" s="1"/>
  <c r="W258" i="27"/>
  <c r="X258" i="27" s="1"/>
  <c r="W238" i="27"/>
  <c r="X238" i="27" s="1"/>
  <c r="W214" i="27"/>
  <c r="X214" i="27" s="1"/>
  <c r="W194" i="27"/>
  <c r="X194" i="27" s="1"/>
  <c r="W174" i="27"/>
  <c r="X174" i="27" s="1"/>
  <c r="W150" i="27"/>
  <c r="X150" i="27" s="1"/>
  <c r="W130" i="27"/>
  <c r="X130" i="27" s="1"/>
  <c r="W30" i="27"/>
  <c r="X30" i="27" s="1"/>
  <c r="W282" i="27"/>
  <c r="X282" i="27" s="1"/>
  <c r="W218" i="27"/>
  <c r="X218" i="27" s="1"/>
  <c r="W154" i="27"/>
  <c r="X154" i="27" s="1"/>
  <c r="W38" i="27"/>
  <c r="X38" i="27" s="1"/>
  <c r="W3" i="27"/>
  <c r="X3" i="27" s="1"/>
  <c r="W4" i="27"/>
  <c r="X4" i="27" s="1"/>
  <c r="W5" i="27"/>
  <c r="X5" i="27" s="1"/>
  <c r="W7" i="27"/>
  <c r="X7" i="27" s="1"/>
  <c r="W8" i="27"/>
  <c r="X8" i="27" s="1"/>
  <c r="W9" i="27"/>
  <c r="X9" i="27" s="1"/>
  <c r="W11" i="27"/>
  <c r="X11" i="27" s="1"/>
  <c r="W12" i="27"/>
  <c r="X12" i="27" s="1"/>
  <c r="W13" i="27"/>
  <c r="X13" i="27" s="1"/>
  <c r="W15" i="27"/>
  <c r="X15" i="27" s="1"/>
  <c r="W16" i="27"/>
  <c r="X16" i="27" s="1"/>
  <c r="W17" i="27"/>
  <c r="X17" i="27" s="1"/>
  <c r="W19" i="27"/>
  <c r="X19" i="27" s="1"/>
  <c r="W20" i="27"/>
  <c r="X20" i="27" s="1"/>
  <c r="W21" i="27"/>
  <c r="X21" i="27" s="1"/>
  <c r="W23" i="27"/>
  <c r="X23" i="27" s="1"/>
  <c r="W24" i="27"/>
  <c r="X24" i="27" s="1"/>
  <c r="W25" i="27"/>
  <c r="X25" i="27" s="1"/>
  <c r="W27" i="27"/>
  <c r="X27" i="27" s="1"/>
  <c r="W28" i="27"/>
  <c r="X28" i="27" s="1"/>
  <c r="W29" i="27"/>
  <c r="X29" i="27" s="1"/>
  <c r="W31" i="27"/>
  <c r="X31" i="27" s="1"/>
  <c r="W32" i="27"/>
  <c r="X32" i="27" s="1"/>
  <c r="W33" i="27"/>
  <c r="X33" i="27" s="1"/>
  <c r="W35" i="27"/>
  <c r="X35" i="27" s="1"/>
  <c r="W36" i="27"/>
  <c r="X36" i="27" s="1"/>
  <c r="W37" i="27"/>
  <c r="X37" i="27" s="1"/>
  <c r="W39" i="27"/>
  <c r="X39" i="27" s="1"/>
  <c r="W40" i="27"/>
  <c r="X40" i="27" s="1"/>
  <c r="W41" i="27"/>
  <c r="X41" i="27" s="1"/>
  <c r="W43" i="27"/>
  <c r="X43" i="27" s="1"/>
  <c r="W44" i="27"/>
  <c r="X44" i="27" s="1"/>
  <c r="W45" i="27"/>
  <c r="X45" i="27" s="1"/>
  <c r="W47" i="27"/>
  <c r="X47" i="27" s="1"/>
  <c r="W48" i="27"/>
  <c r="X48" i="27" s="1"/>
  <c r="W49" i="27"/>
  <c r="X49" i="27" s="1"/>
  <c r="W51" i="27"/>
  <c r="X51" i="27" s="1"/>
  <c r="W52" i="27"/>
  <c r="X52" i="27" s="1"/>
  <c r="W53" i="27"/>
  <c r="X53" i="27" s="1"/>
  <c r="W55" i="27"/>
  <c r="X55" i="27" s="1"/>
  <c r="W56" i="27"/>
  <c r="X56" i="27" s="1"/>
  <c r="W57" i="27"/>
  <c r="X57" i="27" s="1"/>
  <c r="W59" i="27"/>
  <c r="X59" i="27" s="1"/>
  <c r="W60" i="27"/>
  <c r="X60" i="27" s="1"/>
  <c r="W61" i="27"/>
  <c r="X61" i="27" s="1"/>
  <c r="W63" i="27"/>
  <c r="X63" i="27" s="1"/>
  <c r="W64" i="27"/>
  <c r="X64" i="27" s="1"/>
  <c r="W65" i="27"/>
  <c r="X65" i="27" s="1"/>
  <c r="W67" i="27"/>
  <c r="X67" i="27" s="1"/>
  <c r="W68" i="27"/>
  <c r="X68" i="27" s="1"/>
  <c r="W69" i="27"/>
  <c r="X69" i="27" s="1"/>
  <c r="W71" i="27"/>
  <c r="X71" i="27" s="1"/>
  <c r="W72" i="27"/>
  <c r="X72" i="27" s="1"/>
  <c r="W73" i="27"/>
  <c r="X73" i="27" s="1"/>
  <c r="W75" i="27"/>
  <c r="X75" i="27" s="1"/>
  <c r="W76" i="27"/>
  <c r="X76" i="27" s="1"/>
  <c r="W77" i="27"/>
  <c r="X77" i="27" s="1"/>
  <c r="W79" i="27"/>
  <c r="X79" i="27" s="1"/>
  <c r="W80" i="27"/>
  <c r="X80" i="27" s="1"/>
  <c r="W81" i="27"/>
  <c r="X81" i="27" s="1"/>
  <c r="W83" i="27"/>
  <c r="X83" i="27" s="1"/>
  <c r="W84" i="27"/>
  <c r="X84" i="27" s="1"/>
  <c r="W85" i="27"/>
  <c r="X85" i="27" s="1"/>
  <c r="W87" i="27"/>
  <c r="X87" i="27" s="1"/>
  <c r="W88" i="27"/>
  <c r="X88" i="27" s="1"/>
  <c r="W89" i="27"/>
  <c r="X89" i="27" s="1"/>
  <c r="W91" i="27"/>
  <c r="X91" i="27" s="1"/>
  <c r="W92" i="27"/>
  <c r="X92" i="27" s="1"/>
  <c r="W93" i="27"/>
  <c r="X93" i="27" s="1"/>
  <c r="W95" i="27"/>
  <c r="X95" i="27" s="1"/>
  <c r="W96" i="27"/>
  <c r="X96" i="27" s="1"/>
  <c r="W97" i="27"/>
  <c r="X97" i="27" s="1"/>
  <c r="W99" i="27"/>
  <c r="X99" i="27" s="1"/>
  <c r="W100" i="27"/>
  <c r="X100" i="27" s="1"/>
  <c r="W101" i="27"/>
  <c r="X101" i="27" s="1"/>
  <c r="W103" i="27"/>
  <c r="X103" i="27" s="1"/>
  <c r="W104" i="27"/>
  <c r="X104" i="27" s="1"/>
  <c r="W105" i="27"/>
  <c r="X105" i="27" s="1"/>
  <c r="W107" i="27"/>
  <c r="X107" i="27" s="1"/>
  <c r="W108" i="27"/>
  <c r="X108" i="27" s="1"/>
  <c r="W109" i="27"/>
  <c r="X109" i="27" s="1"/>
  <c r="W111" i="27"/>
  <c r="X111" i="27" s="1"/>
  <c r="W112" i="27"/>
  <c r="X112" i="27" s="1"/>
  <c r="W113" i="27"/>
  <c r="X113" i="27" s="1"/>
  <c r="W115" i="27"/>
  <c r="X115" i="27" s="1"/>
  <c r="W116" i="27"/>
  <c r="X116" i="27" s="1"/>
  <c r="W117" i="27"/>
  <c r="X117" i="27" s="1"/>
  <c r="W119" i="27"/>
  <c r="X119" i="27" s="1"/>
  <c r="W120" i="27"/>
  <c r="X120" i="27" s="1"/>
  <c r="W121" i="27"/>
  <c r="X121" i="27" s="1"/>
  <c r="W123" i="27"/>
  <c r="X123" i="27" s="1"/>
  <c r="W124" i="27"/>
  <c r="X124" i="27" s="1"/>
  <c r="W125" i="27"/>
  <c r="X125" i="27" s="1"/>
  <c r="W127" i="27"/>
  <c r="X127" i="27" s="1"/>
  <c r="W128" i="27"/>
  <c r="X128" i="27" s="1"/>
  <c r="W129" i="27"/>
  <c r="X129" i="27" s="1"/>
  <c r="W131" i="27"/>
  <c r="X131" i="27" s="1"/>
  <c r="W132" i="27"/>
  <c r="X132" i="27" s="1"/>
  <c r="W133" i="27"/>
  <c r="X133" i="27" s="1"/>
  <c r="W135" i="27"/>
  <c r="X135" i="27" s="1"/>
  <c r="W136" i="27"/>
  <c r="X136" i="27" s="1"/>
  <c r="W137" i="27"/>
  <c r="X137" i="27" s="1"/>
  <c r="W139" i="27"/>
  <c r="X139" i="27" s="1"/>
  <c r="W140" i="27"/>
  <c r="X140" i="27" s="1"/>
  <c r="W141" i="27"/>
  <c r="X141" i="27" s="1"/>
  <c r="W143" i="27"/>
  <c r="X143" i="27" s="1"/>
  <c r="W144" i="27"/>
  <c r="X144" i="27" s="1"/>
  <c r="W145" i="27"/>
  <c r="X145" i="27" s="1"/>
  <c r="W147" i="27"/>
  <c r="X147" i="27" s="1"/>
  <c r="W148" i="27"/>
  <c r="X148" i="27" s="1"/>
  <c r="W149" i="27"/>
  <c r="X149" i="27" s="1"/>
  <c r="W151" i="27"/>
  <c r="X151" i="27" s="1"/>
  <c r="W152" i="27"/>
  <c r="X152" i="27" s="1"/>
  <c r="W153" i="27"/>
  <c r="X153" i="27" s="1"/>
  <c r="W155" i="27"/>
  <c r="X155" i="27" s="1"/>
  <c r="W156" i="27"/>
  <c r="X156" i="27" s="1"/>
  <c r="W157" i="27"/>
  <c r="X157" i="27" s="1"/>
  <c r="W159" i="27"/>
  <c r="X159" i="27" s="1"/>
  <c r="W160" i="27"/>
  <c r="X160" i="27" s="1"/>
  <c r="W161" i="27"/>
  <c r="X161" i="27" s="1"/>
  <c r="W163" i="27"/>
  <c r="X163" i="27" s="1"/>
  <c r="W164" i="27"/>
  <c r="X164" i="27" s="1"/>
  <c r="W165" i="27"/>
  <c r="X165" i="27" s="1"/>
  <c r="W167" i="27"/>
  <c r="X167" i="27" s="1"/>
  <c r="W168" i="27"/>
  <c r="X168" i="27" s="1"/>
  <c r="W169" i="27"/>
  <c r="X169" i="27" s="1"/>
  <c r="W171" i="27"/>
  <c r="X171" i="27" s="1"/>
  <c r="W172" i="27"/>
  <c r="X172" i="27" s="1"/>
  <c r="W173" i="27"/>
  <c r="X173" i="27" s="1"/>
  <c r="W175" i="27"/>
  <c r="X175" i="27" s="1"/>
  <c r="W176" i="27"/>
  <c r="X176" i="27" s="1"/>
  <c r="W177" i="27"/>
  <c r="X177" i="27" s="1"/>
  <c r="W179" i="27"/>
  <c r="X179" i="27" s="1"/>
  <c r="W180" i="27"/>
  <c r="X180" i="27" s="1"/>
  <c r="W181" i="27"/>
  <c r="X181" i="27" s="1"/>
  <c r="W183" i="27"/>
  <c r="X183" i="27" s="1"/>
  <c r="W184" i="27"/>
  <c r="X184" i="27" s="1"/>
  <c r="W185" i="27"/>
  <c r="X185" i="27" s="1"/>
  <c r="W187" i="27"/>
  <c r="X187" i="27" s="1"/>
  <c r="W188" i="27"/>
  <c r="X188" i="27" s="1"/>
  <c r="W189" i="27"/>
  <c r="X189" i="27" s="1"/>
  <c r="W191" i="27"/>
  <c r="X191" i="27" s="1"/>
  <c r="W192" i="27"/>
  <c r="X192" i="27" s="1"/>
  <c r="W193" i="27"/>
  <c r="X193" i="27" s="1"/>
  <c r="W195" i="27"/>
  <c r="X195" i="27" s="1"/>
  <c r="W196" i="27"/>
  <c r="X196" i="27" s="1"/>
  <c r="W197" i="27"/>
  <c r="X197" i="27" s="1"/>
  <c r="W199" i="27"/>
  <c r="X199" i="27" s="1"/>
  <c r="W200" i="27"/>
  <c r="X200" i="27" s="1"/>
  <c r="W201" i="27"/>
  <c r="X201" i="27" s="1"/>
  <c r="W203" i="27"/>
  <c r="X203" i="27" s="1"/>
  <c r="W204" i="27"/>
  <c r="X204" i="27" s="1"/>
  <c r="W205" i="27"/>
  <c r="X205" i="27" s="1"/>
  <c r="W207" i="27"/>
  <c r="X207" i="27" s="1"/>
  <c r="W208" i="27"/>
  <c r="X208" i="27" s="1"/>
  <c r="W209" i="27"/>
  <c r="X209" i="27" s="1"/>
  <c r="W211" i="27"/>
  <c r="X211" i="27" s="1"/>
  <c r="W212" i="27"/>
  <c r="X212" i="27" s="1"/>
  <c r="W213" i="27"/>
  <c r="X213" i="27" s="1"/>
  <c r="W215" i="27"/>
  <c r="X215" i="27" s="1"/>
  <c r="W216" i="27"/>
  <c r="X216" i="27" s="1"/>
  <c r="W217" i="27"/>
  <c r="X217" i="27" s="1"/>
  <c r="W219" i="27"/>
  <c r="X219" i="27" s="1"/>
  <c r="W220" i="27"/>
  <c r="X220" i="27" s="1"/>
  <c r="W221" i="27"/>
  <c r="X221" i="27" s="1"/>
  <c r="W223" i="27"/>
  <c r="X223" i="27" s="1"/>
  <c r="W224" i="27"/>
  <c r="X224" i="27" s="1"/>
  <c r="W225" i="27"/>
  <c r="X225" i="27" s="1"/>
  <c r="W227" i="27"/>
  <c r="X227" i="27" s="1"/>
  <c r="W228" i="27"/>
  <c r="X228" i="27" s="1"/>
  <c r="W229" i="27"/>
  <c r="X229" i="27" s="1"/>
  <c r="W231" i="27"/>
  <c r="X231" i="27" s="1"/>
  <c r="W232" i="27"/>
  <c r="X232" i="27" s="1"/>
  <c r="W233" i="27"/>
  <c r="X233" i="27" s="1"/>
  <c r="W235" i="27"/>
  <c r="X235" i="27" s="1"/>
  <c r="W236" i="27"/>
  <c r="X236" i="27" s="1"/>
  <c r="W237" i="27"/>
  <c r="X237" i="27" s="1"/>
  <c r="W239" i="27"/>
  <c r="X239" i="27" s="1"/>
  <c r="W240" i="27"/>
  <c r="X240" i="27" s="1"/>
  <c r="W241" i="27"/>
  <c r="X241" i="27" s="1"/>
  <c r="W243" i="27"/>
  <c r="X243" i="27" s="1"/>
  <c r="W244" i="27"/>
  <c r="X244" i="27" s="1"/>
  <c r="W245" i="27"/>
  <c r="X245" i="27" s="1"/>
  <c r="W247" i="27"/>
  <c r="X247" i="27" s="1"/>
  <c r="W248" i="27"/>
  <c r="X248" i="27" s="1"/>
  <c r="W249" i="27"/>
  <c r="X249" i="27" s="1"/>
  <c r="W251" i="27"/>
  <c r="X251" i="27" s="1"/>
  <c r="W252" i="27"/>
  <c r="X252" i="27" s="1"/>
  <c r="W253" i="27"/>
  <c r="X253" i="27" s="1"/>
  <c r="W255" i="27"/>
  <c r="X255" i="27" s="1"/>
  <c r="W256" i="27"/>
  <c r="X256" i="27" s="1"/>
  <c r="W257" i="27"/>
  <c r="X257" i="27" s="1"/>
  <c r="W259" i="27"/>
  <c r="X259" i="27" s="1"/>
  <c r="W260" i="27"/>
  <c r="X260" i="27" s="1"/>
  <c r="W261" i="27"/>
  <c r="X261" i="27" s="1"/>
  <c r="W263" i="27"/>
  <c r="X263" i="27" s="1"/>
  <c r="W264" i="27"/>
  <c r="X264" i="27" s="1"/>
  <c r="W265" i="27"/>
  <c r="X265" i="27" s="1"/>
  <c r="W267" i="27"/>
  <c r="X267" i="27" s="1"/>
  <c r="W268" i="27"/>
  <c r="X268" i="27" s="1"/>
  <c r="W269" i="27"/>
  <c r="X269" i="27" s="1"/>
  <c r="W271" i="27"/>
  <c r="X271" i="27" s="1"/>
  <c r="W272" i="27"/>
  <c r="X272" i="27" s="1"/>
  <c r="W273" i="27"/>
  <c r="X273" i="27" s="1"/>
  <c r="W275" i="27"/>
  <c r="X275" i="27" s="1"/>
  <c r="W276" i="27"/>
  <c r="X276" i="27" s="1"/>
  <c r="W277" i="27"/>
  <c r="X277" i="27" s="1"/>
  <c r="W279" i="27"/>
  <c r="X279" i="27" s="1"/>
  <c r="W280" i="27"/>
  <c r="X280" i="27" s="1"/>
  <c r="W281" i="27"/>
  <c r="X281" i="27" s="1"/>
  <c r="W283" i="27"/>
  <c r="X283" i="27" s="1"/>
  <c r="W284" i="27"/>
  <c r="X284" i="27" s="1"/>
  <c r="W285" i="27"/>
  <c r="X285" i="27" s="1"/>
  <c r="W287" i="27"/>
  <c r="X287" i="27" s="1"/>
  <c r="W288" i="27"/>
  <c r="X288" i="27" s="1"/>
  <c r="W289" i="27"/>
  <c r="X289" i="27" s="1"/>
  <c r="W291" i="27"/>
  <c r="X291" i="27" s="1"/>
  <c r="W292" i="27"/>
  <c r="X292" i="27" s="1"/>
  <c r="W293" i="27"/>
  <c r="X293" i="27" s="1"/>
  <c r="W295" i="27"/>
  <c r="X295" i="27" s="1"/>
  <c r="W296" i="27"/>
  <c r="X296" i="27" s="1"/>
  <c r="W297" i="27"/>
  <c r="X297" i="27" s="1"/>
  <c r="W86" i="27" l="1"/>
  <c r="X86" i="27" s="1"/>
  <c r="W2" i="27"/>
  <c r="X2" i="27" s="1"/>
  <c r="W10" i="27"/>
  <c r="X10" i="27" s="1"/>
  <c r="W26" i="27"/>
  <c r="X26" i="27" s="1"/>
  <c r="W34" i="27"/>
  <c r="X34" i="27" s="1"/>
  <c r="W42" i="27"/>
  <c r="X42" i="27" s="1"/>
  <c r="W58" i="27"/>
  <c r="X58" i="27" s="1"/>
  <c r="W62" i="27"/>
  <c r="X62" i="27" s="1"/>
  <c r="W66" i="27"/>
  <c r="X66" i="27" s="1"/>
  <c r="W74" i="27"/>
  <c r="X74" i="27" s="1"/>
  <c r="W78" i="27"/>
  <c r="X78" i="27" s="1"/>
  <c r="W82" i="27"/>
  <c r="X82" i="27" s="1"/>
  <c r="W90" i="27"/>
  <c r="X90" i="27" s="1"/>
  <c r="W94" i="27"/>
  <c r="X94" i="27" s="1"/>
  <c r="W98" i="27"/>
  <c r="X98" i="27" s="1"/>
  <c r="W106" i="27"/>
  <c r="X106" i="27" s="1"/>
  <c r="W110" i="27"/>
  <c r="X110" i="27" s="1"/>
  <c r="W114" i="27"/>
  <c r="X114"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T_Compartimentos" description="Conexão com a consulta 'CT_Compartimentos' na pasta de trabalho." type="5" refreshedVersion="6" background="1" saveData="1">
    <dbPr connection="Provider=Microsoft.Mashup.OleDb.1;Data Source=$Workbook$;Location=CT_Compartimentos;Extended Properties=&quot;&quot;" command="SELECT * FROM [CT_Compartimentos]"/>
  </connection>
  <connection id="2" xr16:uid="{00000000-0015-0000-FFFF-FFFF01000000}" keepAlive="1" name="Consulta - CT_Compartimentos (2)" description="Conexão com a consulta 'CT_Compartimentos (2)' na pasta de trabalho." type="5" refreshedVersion="6" background="1" saveData="1">
    <dbPr connection="Provider=Microsoft.Mashup.OleDb.1;Data Source=$Workbook$;Location=&quot;CT_Compartimentos (2)&quot;;Extended Properties=&quot;&quot;" command="SELECT * FROM [CT_Compartimentos (2)]"/>
  </connection>
  <connection id="3" xr16:uid="{00000000-0015-0000-FFFF-FFFF02000000}" keepAlive="1" name="Consulta - CT_Compartimentos (3)" description="Conexão com a consulta 'CT_Compartimentos (3)' na pasta de trabalho." type="5" refreshedVersion="6" background="1" saveData="1">
    <dbPr connection="Provider=Microsoft.Mashup.OleDb.1;Data Source=$Workbook$;Location=&quot;CT_Compartimentos (3)&quot;;Extended Properties=&quot;&quot;" command="SELECT * FROM [CT_Compartimentos (3)]"/>
  </connection>
  <connection id="4" xr16:uid="{00000000-0015-0000-FFFF-FFFF03000000}" keepAlive="1" name="Consulta - CT_Compartimentos (4)" description="Conexão com a consulta 'CT_Compartimentos (4)' na pasta de trabalho." type="5" refreshedVersion="6" background="1" saveData="1">
    <dbPr connection="Provider=Microsoft.Mashup.OleDb.1;Data Source=$Workbook$;Location=&quot;CT_Compartimentos (4)&quot;;Extended Properties=&quot;&quot;" command="SELECT * FROM [CT_Compartimentos (4)]"/>
  </connection>
  <connection id="5" xr16:uid="{00000000-0015-0000-FFFF-FFFF04000000}" keepAlive="1" name="Consulta - CT_Compartimentos (5)" description="Conexão com a consulta 'CT_Compartimentos (5)' na pasta de trabalho." type="5" refreshedVersion="6" background="1" saveData="1">
    <dbPr connection="Provider=Microsoft.Mashup.OleDb.1;Data Source=$Workbook$;Location=&quot;CT_Compartimentos (5)&quot;;Extended Properties=&quot;&quot;" command="SELECT * FROM [CT_Compartimentos (5)]"/>
  </connection>
  <connection id="6" xr16:uid="{00000000-0015-0000-FFFF-FFFF05000000}" keepAlive="1" name="Consulta - CT_Compartimentos (6)" description="Conexão com a consulta 'CT_Compartimentos (6)' na pasta de trabalho." type="5" refreshedVersion="6" background="1" saveData="1">
    <dbPr connection="Provider=Microsoft.Mashup.OleDb.1;Data Source=$Workbook$;Location=&quot;CT_Compartimentos (6)&quot;;Extended Properties=&quot;&quot;" command="SELECT * FROM [CT_Compartimentos (6)]"/>
  </connection>
  <connection id="7" xr16:uid="{00000000-0015-0000-FFFF-FFFF06000000}" keepAlive="1" name="Consulta - CT_Compartimentos_Completo" description="Conexão com a consulta 'CT_Compartimentos_Completo' na pasta de trabalho." type="5" refreshedVersion="6" background="1" saveData="1">
    <dbPr connection="Provider=Microsoft.Mashup.OleDb.1;Data Source=$Workbook$;Location=CT_Compartimentos_Completo;Extended Properties=&quot;&quot;" command="SELECT * FROM [CT_Compartimentos_Completo]"/>
  </connection>
  <connection id="8" xr16:uid="{00000000-0015-0000-FFFF-FFFF07000000}" keepAlive="1" name="Consulta - Vigas" description="Conexão com a consulta 'Vigas' na pasta de trabalho." type="5" refreshedVersion="7" background="1" saveData="1">
    <dbPr connection="Provider=Microsoft.Mashup.OleDb.1;Data Source=$Workbook$;Location=Vigas;Extended Properties=&quot;&quot;" command="SELECT * FROM [Viga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<sst xmlns="http://schemas.openxmlformats.org/spreadsheetml/2006/main" count="40959" uniqueCount="7316">
  <si>
    <t>A</t>
  </si>
  <si>
    <t>PNE</t>
  </si>
  <si>
    <t>.</t>
  </si>
  <si>
    <t>Mictório</t>
  </si>
  <si>
    <t>Bidet</t>
  </si>
  <si>
    <t>Lavatório</t>
  </si>
  <si>
    <t>MIC</t>
  </si>
  <si>
    <t>BID</t>
  </si>
  <si>
    <t>LAV</t>
  </si>
  <si>
    <t>ADU</t>
  </si>
  <si>
    <t>CRI</t>
  </si>
  <si>
    <t>SUS</t>
  </si>
  <si>
    <t>COL</t>
  </si>
  <si>
    <t>Bancada</t>
  </si>
  <si>
    <t>BAN</t>
  </si>
  <si>
    <t>SEC</t>
  </si>
  <si>
    <t>H2O</t>
  </si>
  <si>
    <t>VAS</t>
  </si>
  <si>
    <t>Cuba</t>
  </si>
  <si>
    <t>CUB</t>
  </si>
  <si>
    <t>SPO</t>
  </si>
  <si>
    <t>EMB</t>
  </si>
  <si>
    <t>CXA</t>
  </si>
  <si>
    <t>VAL</t>
  </si>
  <si>
    <t>Porta</t>
  </si>
  <si>
    <t>SAN</t>
  </si>
  <si>
    <t>ACU</t>
  </si>
  <si>
    <t>PCF</t>
  </si>
  <si>
    <t>Janela</t>
  </si>
  <si>
    <t>JAN</t>
  </si>
  <si>
    <t>Veneziana</t>
  </si>
  <si>
    <t>Grupo</t>
  </si>
  <si>
    <t>ELE</t>
  </si>
  <si>
    <t>COZ</t>
  </si>
  <si>
    <t>COP</t>
  </si>
  <si>
    <t>LAB</t>
  </si>
  <si>
    <t>SIM</t>
  </si>
  <si>
    <t>Item</t>
  </si>
  <si>
    <t>FAC</t>
  </si>
  <si>
    <t>BIO</t>
  </si>
  <si>
    <t>EST</t>
  </si>
  <si>
    <t>INF</t>
  </si>
  <si>
    <t>ACI</t>
  </si>
  <si>
    <t>ACA</t>
  </si>
  <si>
    <t>SHA</t>
  </si>
  <si>
    <t>INT</t>
  </si>
  <si>
    <t>ACE</t>
  </si>
  <si>
    <t>DUA</t>
  </si>
  <si>
    <t>APP</t>
  </si>
  <si>
    <t>Descrição</t>
  </si>
  <si>
    <t>GAB</t>
  </si>
  <si>
    <t>Luminária</t>
  </si>
  <si>
    <t>LUM</t>
  </si>
  <si>
    <t>TET</t>
  </si>
  <si>
    <t>PAR</t>
  </si>
  <si>
    <t>pendente</t>
  </si>
  <si>
    <t>PEN</t>
  </si>
  <si>
    <t>Carac1</t>
  </si>
  <si>
    <t>Carac2</t>
  </si>
  <si>
    <t>Carac3</t>
  </si>
  <si>
    <t>C1</t>
  </si>
  <si>
    <t>LIN</t>
  </si>
  <si>
    <t>PON</t>
  </si>
  <si>
    <t>PFL</t>
  </si>
  <si>
    <t>EXT</t>
  </si>
  <si>
    <t>VZA</t>
  </si>
  <si>
    <t>POR</t>
  </si>
  <si>
    <t>ARA</t>
  </si>
  <si>
    <t>MEN</t>
  </si>
  <si>
    <t>embutida</t>
  </si>
  <si>
    <t>tipo plafon</t>
  </si>
  <si>
    <t>arandela</t>
  </si>
  <si>
    <t>mensula</t>
  </si>
  <si>
    <t>para sobrepor</t>
  </si>
  <si>
    <t>Carac4</t>
  </si>
  <si>
    <t>EME</t>
  </si>
  <si>
    <t>decorativa</t>
  </si>
  <si>
    <t>DEC</t>
  </si>
  <si>
    <t>SEG</t>
  </si>
  <si>
    <t>de segurança</t>
  </si>
  <si>
    <t>de posto de trabalho</t>
  </si>
  <si>
    <t>de tráfego pedestre</t>
  </si>
  <si>
    <t>adulto</t>
  </si>
  <si>
    <t>acústica</t>
  </si>
  <si>
    <t>convencional</t>
  </si>
  <si>
    <t>crianças</t>
  </si>
  <si>
    <t>dupla simétrica</t>
  </si>
  <si>
    <t>dupla asimétrica</t>
  </si>
  <si>
    <t>suspenso</t>
  </si>
  <si>
    <t>PED</t>
  </si>
  <si>
    <t>PIS</t>
  </si>
  <si>
    <t>VEI</t>
  </si>
  <si>
    <t>CON</t>
  </si>
  <si>
    <t>Type Mark</t>
  </si>
  <si>
    <t>Chuveiro</t>
  </si>
  <si>
    <t>MIS</t>
  </si>
  <si>
    <t>elétrico</t>
  </si>
  <si>
    <t>Ducha</t>
  </si>
  <si>
    <t>DCH</t>
  </si>
  <si>
    <t>manual</t>
  </si>
  <si>
    <t>MAN</t>
  </si>
  <si>
    <t>AFQ</t>
  </si>
  <si>
    <t>agua fria e quente</t>
  </si>
  <si>
    <t>monocomando</t>
  </si>
  <si>
    <t>BAA</t>
  </si>
  <si>
    <t>1PI</t>
  </si>
  <si>
    <t>de sanitário</t>
  </si>
  <si>
    <t>2PI</t>
  </si>
  <si>
    <t>3PI</t>
  </si>
  <si>
    <t>4PI</t>
  </si>
  <si>
    <t>de mesa</t>
  </si>
  <si>
    <t>MES</t>
  </si>
  <si>
    <t>de parede</t>
  </si>
  <si>
    <t>de teto</t>
  </si>
  <si>
    <t>de barra deslizante</t>
  </si>
  <si>
    <t>de elevador</t>
  </si>
  <si>
    <t>ELV</t>
  </si>
  <si>
    <t>de piso</t>
  </si>
  <si>
    <t>ILH</t>
  </si>
  <si>
    <t>DEZ</t>
  </si>
  <si>
    <t>POC</t>
  </si>
  <si>
    <t>CAB</t>
  </si>
  <si>
    <t>GUA</t>
  </si>
  <si>
    <t>PRO</t>
  </si>
  <si>
    <t>de vigilância</t>
  </si>
  <si>
    <t>VIG</t>
  </si>
  <si>
    <t>corta fogo</t>
  </si>
  <si>
    <t>de correr</t>
  </si>
  <si>
    <t>CRR</t>
  </si>
  <si>
    <t>VEV</t>
  </si>
  <si>
    <t>de vaivem</t>
  </si>
  <si>
    <t>BLX</t>
  </si>
  <si>
    <t>L35</t>
  </si>
  <si>
    <t>U75</t>
  </si>
  <si>
    <t>Tanque</t>
  </si>
  <si>
    <t>TAN</t>
  </si>
  <si>
    <t>ACS</t>
  </si>
  <si>
    <t>shaft</t>
  </si>
  <si>
    <t>CHV</t>
  </si>
  <si>
    <t>1.25m</t>
  </si>
  <si>
    <t>de gabinete</t>
  </si>
  <si>
    <t>acesso ppal</t>
  </si>
  <si>
    <t>interna</t>
  </si>
  <si>
    <t>lineal</t>
  </si>
  <si>
    <t>simples</t>
  </si>
  <si>
    <t>seccional</t>
  </si>
  <si>
    <t>blindex</t>
  </si>
  <si>
    <t>interior</t>
  </si>
  <si>
    <t>exterior</t>
  </si>
  <si>
    <t>Parede</t>
  </si>
  <si>
    <t>Divisória</t>
  </si>
  <si>
    <t>DIV</t>
  </si>
  <si>
    <t>painel naval</t>
  </si>
  <si>
    <t>NAV</t>
  </si>
  <si>
    <t>drywall</t>
  </si>
  <si>
    <t>DYW</t>
  </si>
  <si>
    <t>de mictório</t>
  </si>
  <si>
    <t>de box sanitário</t>
  </si>
  <si>
    <t>BOX</t>
  </si>
  <si>
    <t>painel madeira</t>
  </si>
  <si>
    <t>Grade</t>
  </si>
  <si>
    <t>GRA</t>
  </si>
  <si>
    <t>ornamental</t>
  </si>
  <si>
    <t>Forro</t>
  </si>
  <si>
    <t>FRR</t>
  </si>
  <si>
    <t>de placas de gesso</t>
  </si>
  <si>
    <t>Piso</t>
  </si>
  <si>
    <t>elevado</t>
  </si>
  <si>
    <t>cimentado</t>
  </si>
  <si>
    <t>padronizado</t>
  </si>
  <si>
    <t>continuo</t>
  </si>
  <si>
    <t>com juntas</t>
  </si>
  <si>
    <t>ardósia</t>
  </si>
  <si>
    <t>parquet</t>
  </si>
  <si>
    <t>laminado</t>
  </si>
  <si>
    <t>cerâmico</t>
  </si>
  <si>
    <t>porcelanato</t>
  </si>
  <si>
    <t>pastilhas</t>
  </si>
  <si>
    <t>ladrilho hidráulico</t>
  </si>
  <si>
    <t>granilite</t>
  </si>
  <si>
    <t>pedra marmore</t>
  </si>
  <si>
    <t>pedra granito</t>
  </si>
  <si>
    <t>pedra artificial silestone</t>
  </si>
  <si>
    <t>PMA</t>
  </si>
  <si>
    <t>com placas</t>
  </si>
  <si>
    <t>de emergência</t>
  </si>
  <si>
    <t>de iluminação geral</t>
  </si>
  <si>
    <t>lateral</t>
  </si>
  <si>
    <t>frontal</t>
  </si>
  <si>
    <t>LAT</t>
  </si>
  <si>
    <t>FRO</t>
  </si>
  <si>
    <t>EFI</t>
  </si>
  <si>
    <t>EQI</t>
  </si>
  <si>
    <t>EEE</t>
  </si>
  <si>
    <t>EQP</t>
  </si>
  <si>
    <t>EES</t>
  </si>
  <si>
    <t xml:space="preserve">em ponta </t>
  </si>
  <si>
    <t xml:space="preserve">em ilha </t>
  </si>
  <si>
    <t>EMG</t>
  </si>
  <si>
    <t>EAC</t>
  </si>
  <si>
    <t>seca</t>
  </si>
  <si>
    <t>com pia</t>
  </si>
  <si>
    <t>com visor</t>
  </si>
  <si>
    <t>VIS</t>
  </si>
  <si>
    <t>com visor e ventilação</t>
  </si>
  <si>
    <t>VIV</t>
  </si>
  <si>
    <t>com ventilação</t>
  </si>
  <si>
    <t>VEN</t>
  </si>
  <si>
    <t>de laboratório</t>
  </si>
  <si>
    <t>de local projeção</t>
  </si>
  <si>
    <t>de guarita</t>
  </si>
  <si>
    <t>de cabine</t>
  </si>
  <si>
    <t>de fachada</t>
  </si>
  <si>
    <t>de poço ventilação</t>
  </si>
  <si>
    <t>com tábuas</t>
  </si>
  <si>
    <t>ARD</t>
  </si>
  <si>
    <t>LAM</t>
  </si>
  <si>
    <t>CRM</t>
  </si>
  <si>
    <t>GTI</t>
  </si>
  <si>
    <t>LHI</t>
  </si>
  <si>
    <t>PQT</t>
  </si>
  <si>
    <t>PTI</t>
  </si>
  <si>
    <t>NAT</t>
  </si>
  <si>
    <t>de iluminação especial</t>
  </si>
  <si>
    <t>IGE</t>
  </si>
  <si>
    <t>IES</t>
  </si>
  <si>
    <t>de pé</t>
  </si>
  <si>
    <t>DPE</t>
  </si>
  <si>
    <t>móvel</t>
  </si>
  <si>
    <t>MOV</t>
  </si>
  <si>
    <t>estruturado</t>
  </si>
  <si>
    <t>GES</t>
  </si>
  <si>
    <t>JUN</t>
  </si>
  <si>
    <t>CTO</t>
  </si>
  <si>
    <t>TAB</t>
  </si>
  <si>
    <t>PLA</t>
  </si>
  <si>
    <t>CIM</t>
  </si>
  <si>
    <t>CIR</t>
  </si>
  <si>
    <t>PAD</t>
  </si>
  <si>
    <t>MOC</t>
  </si>
  <si>
    <t>Mesa</t>
  </si>
  <si>
    <t>Cadeira</t>
  </si>
  <si>
    <t>CAD</t>
  </si>
  <si>
    <t>de trabalho</t>
  </si>
  <si>
    <t>de auditório</t>
  </si>
  <si>
    <t>AUD</t>
  </si>
  <si>
    <t>de espera</t>
  </si>
  <si>
    <t>ESP</t>
  </si>
  <si>
    <t>L</t>
  </si>
  <si>
    <t>P</t>
  </si>
  <si>
    <t xml:space="preserve">de pedra </t>
  </si>
  <si>
    <t>PDR</t>
  </si>
  <si>
    <t>de divisa</t>
  </si>
  <si>
    <t>NUC</t>
  </si>
  <si>
    <t>PRF</t>
  </si>
  <si>
    <t>1 painel</t>
  </si>
  <si>
    <t>2 painel</t>
  </si>
  <si>
    <t>3 painel</t>
  </si>
  <si>
    <t>4 painel</t>
  </si>
  <si>
    <t>5 painel</t>
  </si>
  <si>
    <t>6 painel</t>
  </si>
  <si>
    <t>1PA</t>
  </si>
  <si>
    <t>com brise</t>
  </si>
  <si>
    <t>BRI</t>
  </si>
  <si>
    <t>antibala</t>
  </si>
  <si>
    <t>ABA</t>
  </si>
  <si>
    <t>DSA</t>
  </si>
  <si>
    <t>de água</t>
  </si>
  <si>
    <t>de ácidos</t>
  </si>
  <si>
    <t>para copa</t>
  </si>
  <si>
    <t>para cozinha</t>
  </si>
  <si>
    <t>para ensáios acústicos</t>
  </si>
  <si>
    <t>para ensáios biológicos</t>
  </si>
  <si>
    <t>para ensáios biológicos insetos</t>
  </si>
  <si>
    <t>para ensáios biológicos molecular</t>
  </si>
  <si>
    <t>para ensáios estruturais</t>
  </si>
  <si>
    <t>para ensáios físicos</t>
  </si>
  <si>
    <t>para ensáios magnéticos</t>
  </si>
  <si>
    <t>para ensáios químicos</t>
  </si>
  <si>
    <t>para ensáios químicos pós</t>
  </si>
  <si>
    <t>para informática</t>
  </si>
  <si>
    <t>para sanitário</t>
  </si>
  <si>
    <t>de sala de aula</t>
  </si>
  <si>
    <t>de circulação</t>
  </si>
  <si>
    <t>AUL</t>
  </si>
  <si>
    <t>modulado</t>
  </si>
  <si>
    <t>MOD</t>
  </si>
  <si>
    <t>de refeição</t>
  </si>
  <si>
    <t>REF</t>
  </si>
  <si>
    <t>SAL</t>
  </si>
  <si>
    <t>SIL</t>
  </si>
  <si>
    <t>MAR</t>
  </si>
  <si>
    <t>terra compactada</t>
  </si>
  <si>
    <t>TER</t>
  </si>
  <si>
    <t>ORN</t>
  </si>
  <si>
    <t>BAR</t>
  </si>
  <si>
    <t>FUR</t>
  </si>
  <si>
    <t>densidade X</t>
  </si>
  <si>
    <t>DnX</t>
  </si>
  <si>
    <t>Brise</t>
  </si>
  <si>
    <t>SOL</t>
  </si>
  <si>
    <t>solar</t>
  </si>
  <si>
    <t>Pilar</t>
  </si>
  <si>
    <t>PIL</t>
  </si>
  <si>
    <t>Viga</t>
  </si>
  <si>
    <t>de barras</t>
  </si>
  <si>
    <t>furada</t>
  </si>
  <si>
    <t>TRB</t>
  </si>
  <si>
    <t>CNT</t>
  </si>
  <si>
    <t>OAS</t>
  </si>
  <si>
    <t>OSI</t>
  </si>
  <si>
    <t>concreto</t>
  </si>
  <si>
    <t>metálico</t>
  </si>
  <si>
    <t>MET</t>
  </si>
  <si>
    <t>BLC</t>
  </si>
  <si>
    <t>ESC</t>
  </si>
  <si>
    <t>MZN</t>
  </si>
  <si>
    <t>circular</t>
  </si>
  <si>
    <t>oval simétrico</t>
  </si>
  <si>
    <t>oval asimétrico</t>
  </si>
  <si>
    <t>na fundação</t>
  </si>
  <si>
    <t>retangular</t>
  </si>
  <si>
    <t>RET</t>
  </si>
  <si>
    <t>FUN</t>
  </si>
  <si>
    <t>JDI</t>
  </si>
  <si>
    <t xml:space="preserve"> com junta de dilatação</t>
  </si>
  <si>
    <t>na fachada</t>
  </si>
  <si>
    <t>ponte bloco I</t>
  </si>
  <si>
    <t>PBI</t>
  </si>
  <si>
    <t>Cinta</t>
  </si>
  <si>
    <t>Fundação</t>
  </si>
  <si>
    <t>CIN</t>
  </si>
  <si>
    <t>horizontal</t>
  </si>
  <si>
    <t>PLT</t>
  </si>
  <si>
    <t>mestra</t>
  </si>
  <si>
    <t>MST</t>
  </si>
  <si>
    <t>Laje</t>
  </si>
  <si>
    <t>LAJ</t>
  </si>
  <si>
    <t>dupla</t>
  </si>
  <si>
    <t>DUP</t>
  </si>
  <si>
    <t>de cobertura</t>
  </si>
  <si>
    <t>COB</t>
  </si>
  <si>
    <t>perfil</t>
  </si>
  <si>
    <t>com estacas</t>
  </si>
  <si>
    <t>TAC</t>
  </si>
  <si>
    <t>treliçada</t>
  </si>
  <si>
    <t>TRE</t>
  </si>
  <si>
    <t>no bloco C</t>
  </si>
  <si>
    <t>C</t>
  </si>
  <si>
    <t>HOR</t>
  </si>
  <si>
    <t>com junta de dilatação</t>
  </si>
  <si>
    <t>cega</t>
  </si>
  <si>
    <t>CEG</t>
  </si>
  <si>
    <t>para pessoa com necessidade esp.</t>
  </si>
  <si>
    <t>acesso departamento</t>
  </si>
  <si>
    <t>ACD</t>
  </si>
  <si>
    <t>metálica</t>
  </si>
  <si>
    <t>Vao</t>
  </si>
  <si>
    <t>VAO</t>
  </si>
  <si>
    <t>em mezanino</t>
  </si>
  <si>
    <t>para pessoa com necessidade especial</t>
  </si>
  <si>
    <t>LYO</t>
  </si>
  <si>
    <t>CCE</t>
  </si>
  <si>
    <t>escadas</t>
  </si>
  <si>
    <t>elevadores</t>
  </si>
  <si>
    <t>layout</t>
  </si>
  <si>
    <t>das circulações centrais</t>
  </si>
  <si>
    <t>de jardim</t>
  </si>
  <si>
    <t>baixa</t>
  </si>
  <si>
    <t>BXA</t>
  </si>
  <si>
    <t>JAR</t>
  </si>
  <si>
    <t>cobogô</t>
  </si>
  <si>
    <t>CBO</t>
  </si>
  <si>
    <t>externa</t>
  </si>
  <si>
    <t>alambrado</t>
  </si>
  <si>
    <t>ALA</t>
  </si>
  <si>
    <t>SSO</t>
  </si>
  <si>
    <t>em subsolos</t>
  </si>
  <si>
    <t>estrutural</t>
  </si>
  <si>
    <t>azulejo</t>
  </si>
  <si>
    <t>AZU</t>
  </si>
  <si>
    <t>2FA</t>
  </si>
  <si>
    <t>1FA</t>
  </si>
  <si>
    <t>em uma face</t>
  </si>
  <si>
    <t>em ambas as faces</t>
  </si>
  <si>
    <t>em junta de dilatação</t>
  </si>
  <si>
    <t>nuclear</t>
  </si>
  <si>
    <t>CLZ</t>
  </si>
  <si>
    <t>do campus</t>
  </si>
  <si>
    <t>CAM</t>
  </si>
  <si>
    <t>do Centro de Tecnologia</t>
  </si>
  <si>
    <t>CTE</t>
  </si>
  <si>
    <t>acesso do CT</t>
  </si>
  <si>
    <t>dos mezaninos</t>
  </si>
  <si>
    <t>gramado</t>
  </si>
  <si>
    <t>Eixo</t>
  </si>
  <si>
    <t>EIX</t>
  </si>
  <si>
    <t>Normal</t>
  </si>
  <si>
    <t>NOR</t>
  </si>
  <si>
    <t>Bloco</t>
  </si>
  <si>
    <t>K-01</t>
  </si>
  <si>
    <t>K-02</t>
  </si>
  <si>
    <t>K-03</t>
  </si>
  <si>
    <t>K-04</t>
  </si>
  <si>
    <t>K-10</t>
  </si>
  <si>
    <t>K-11</t>
  </si>
  <si>
    <t>K-18</t>
  </si>
  <si>
    <t>Bloco J</t>
  </si>
  <si>
    <t>J</t>
  </si>
  <si>
    <t>Survey N/S</t>
  </si>
  <si>
    <t>CT</t>
  </si>
  <si>
    <t>Survey E/O</t>
  </si>
  <si>
    <t>55.82211</t>
  </si>
  <si>
    <t>K-07</t>
  </si>
  <si>
    <t>K-05</t>
  </si>
  <si>
    <t>K-06</t>
  </si>
  <si>
    <t>K-08</t>
  </si>
  <si>
    <t>K-09</t>
  </si>
  <si>
    <t>K-12</t>
  </si>
  <si>
    <t>K-13</t>
  </si>
  <si>
    <t>K-14</t>
  </si>
  <si>
    <t>K-15</t>
  </si>
  <si>
    <t>K-16</t>
  </si>
  <si>
    <t>K-17</t>
  </si>
  <si>
    <t>RotaçãoNorte</t>
  </si>
  <si>
    <t>105.9260</t>
  </si>
  <si>
    <t>99.5150</t>
  </si>
  <si>
    <t>117.7120</t>
  </si>
  <si>
    <t>134.7490</t>
  </si>
  <si>
    <t>146.7180</t>
  </si>
  <si>
    <t>192.6860</t>
  </si>
  <si>
    <t>220.5720</t>
  </si>
  <si>
    <t>252.7460</t>
  </si>
  <si>
    <t>278.5300</t>
  </si>
  <si>
    <t>315.5740</t>
  </si>
  <si>
    <t>352.4800</t>
  </si>
  <si>
    <t>385.0530</t>
  </si>
  <si>
    <t>405.4980</t>
  </si>
  <si>
    <t>262.4100</t>
  </si>
  <si>
    <t>286.5330</t>
  </si>
  <si>
    <t>282.0580</t>
  </si>
  <si>
    <t>280.2830</t>
  </si>
  <si>
    <t>280.4660</t>
  </si>
  <si>
    <t>276.1630</t>
  </si>
  <si>
    <t>280.4870</t>
  </si>
  <si>
    <t>288.9010</t>
  </si>
  <si>
    <t>280.7200</t>
  </si>
  <si>
    <t>281.8420</t>
  </si>
  <si>
    <t>280.6560</t>
  </si>
  <si>
    <t>281.6330</t>
  </si>
  <si>
    <t>259.3770</t>
  </si>
  <si>
    <t>Louça</t>
  </si>
  <si>
    <t>MetalSanitário</t>
  </si>
  <si>
    <t>Móvel</t>
  </si>
  <si>
    <t>Grid</t>
  </si>
  <si>
    <t>Level</t>
  </si>
  <si>
    <t>de antecâmara escada e corta fogo</t>
  </si>
  <si>
    <t xml:space="preserve">de antecâmara de entrada </t>
  </si>
  <si>
    <t>de antecâmara de saída</t>
  </si>
  <si>
    <t>de antecâmara de entrada-saída</t>
  </si>
  <si>
    <t>de antecâmara</t>
  </si>
  <si>
    <t>de antecâmara escada</t>
  </si>
  <si>
    <t>de sala de trabalho</t>
  </si>
  <si>
    <t xml:space="preserve">em L </t>
  </si>
  <si>
    <t>na junta de dilatação</t>
  </si>
  <si>
    <t>em escada</t>
  </si>
  <si>
    <t>em auditório</t>
  </si>
  <si>
    <t>em brise de fachada</t>
  </si>
  <si>
    <t>em núcleo de elevador</t>
  </si>
  <si>
    <t>em piloti do CT</t>
  </si>
  <si>
    <t>em bloco do CT</t>
  </si>
  <si>
    <t>para veículo</t>
  </si>
  <si>
    <t>calçada</t>
  </si>
  <si>
    <t>cobertura</t>
  </si>
  <si>
    <t>de placas acústicas</t>
  </si>
  <si>
    <t>para laboratório</t>
  </si>
  <si>
    <t>para ensáios elétricos</t>
  </si>
  <si>
    <t>BII</t>
  </si>
  <si>
    <t>BIL</t>
  </si>
  <si>
    <t>Misturador</t>
  </si>
  <si>
    <t>VasoSanitário</t>
  </si>
  <si>
    <t>BarraApóio</t>
  </si>
  <si>
    <t>C6</t>
  </si>
  <si>
    <t>C7</t>
  </si>
  <si>
    <t>C8</t>
  </si>
  <si>
    <t>C9</t>
  </si>
  <si>
    <t>C10</t>
  </si>
  <si>
    <t>com caixa acoplada</t>
  </si>
  <si>
    <t>de válvula</t>
  </si>
  <si>
    <t>de coluna</t>
  </si>
  <si>
    <t>de canto</t>
  </si>
  <si>
    <t>de embutir</t>
  </si>
  <si>
    <t>de sobrepor</t>
  </si>
  <si>
    <t>água fria e quente</t>
  </si>
  <si>
    <t>de simetria</t>
  </si>
  <si>
    <t>de referência</t>
  </si>
  <si>
    <t>interior-exterior</t>
  </si>
  <si>
    <t>INE</t>
  </si>
  <si>
    <t>em L 35 cm</t>
  </si>
  <si>
    <t>junta de dilatação</t>
  </si>
  <si>
    <t>mictório</t>
  </si>
  <si>
    <t>normal</t>
  </si>
  <si>
    <t>sanitário</t>
  </si>
  <si>
    <t>vaivem</t>
  </si>
  <si>
    <t>Val</t>
  </si>
  <si>
    <t>D</t>
  </si>
  <si>
    <t>1.20m</t>
  </si>
  <si>
    <t>1.00m</t>
  </si>
  <si>
    <t>1.70m</t>
  </si>
  <si>
    <t>1.40m</t>
  </si>
  <si>
    <t>1.50m</t>
  </si>
  <si>
    <t>1.35m</t>
  </si>
  <si>
    <t>1.45m</t>
  </si>
  <si>
    <t>1.68m</t>
  </si>
  <si>
    <t>1.14m</t>
  </si>
  <si>
    <t>1.27m</t>
  </si>
  <si>
    <t>1.30m</t>
  </si>
  <si>
    <t>segurança</t>
  </si>
  <si>
    <t>simetria</t>
  </si>
  <si>
    <t>sobrepor</t>
  </si>
  <si>
    <t>válvula</t>
  </si>
  <si>
    <t>embutir</t>
  </si>
  <si>
    <t>em U 75 cm</t>
  </si>
  <si>
    <t>0.07m</t>
  </si>
  <si>
    <t>0.60m</t>
  </si>
  <si>
    <t>0.70m</t>
  </si>
  <si>
    <t>0.80m</t>
  </si>
  <si>
    <t>0.90m</t>
  </si>
  <si>
    <t>0.10m</t>
  </si>
  <si>
    <t>0.625m</t>
  </si>
  <si>
    <t>0.50m</t>
  </si>
  <si>
    <t>0.15m</t>
  </si>
  <si>
    <t>0.25m</t>
  </si>
  <si>
    <t>0.30m</t>
  </si>
  <si>
    <t>0.95m</t>
  </si>
  <si>
    <t>0.20m</t>
  </si>
  <si>
    <t>0.40m</t>
  </si>
  <si>
    <t>0.75m</t>
  </si>
  <si>
    <t>0.12m</t>
  </si>
  <si>
    <t>0.05m</t>
  </si>
  <si>
    <t>0.03m</t>
  </si>
  <si>
    <t>0.08m</t>
  </si>
  <si>
    <t>0.55m</t>
  </si>
  <si>
    <t>0.035m</t>
  </si>
  <si>
    <t>0.075m</t>
  </si>
  <si>
    <t>0.095m</t>
  </si>
  <si>
    <t>0.025m</t>
  </si>
  <si>
    <t>0.85m</t>
  </si>
  <si>
    <t>0.71m</t>
  </si>
  <si>
    <t>0.92m</t>
  </si>
  <si>
    <t>0.54m</t>
  </si>
  <si>
    <t>0.35m</t>
  </si>
  <si>
    <t>2.10m</t>
  </si>
  <si>
    <t>0.72m</t>
  </si>
  <si>
    <t>0.58m</t>
  </si>
  <si>
    <t>0.45m</t>
  </si>
  <si>
    <t>0.77m</t>
  </si>
  <si>
    <t>BLOCO
CT</t>
  </si>
  <si>
    <t>com 1 pia</t>
  </si>
  <si>
    <t>com 2 pias</t>
  </si>
  <si>
    <t>com 3 pias</t>
  </si>
  <si>
    <t>com 4 pias</t>
  </si>
  <si>
    <t>porta corta fogo</t>
  </si>
  <si>
    <t>PLF</t>
  </si>
  <si>
    <t>pessoa com necessidade especial</t>
  </si>
  <si>
    <t>POV</t>
  </si>
  <si>
    <t>projeção</t>
  </si>
  <si>
    <t>SCC</t>
  </si>
  <si>
    <t>STR</t>
  </si>
  <si>
    <t>EML</t>
  </si>
  <si>
    <t>referência</t>
  </si>
  <si>
    <t>CER</t>
  </si>
  <si>
    <t>CCI</t>
  </si>
  <si>
    <t>CEN</t>
  </si>
  <si>
    <t>coluna</t>
  </si>
  <si>
    <t>divisória</t>
  </si>
  <si>
    <t>emergência</t>
  </si>
  <si>
    <t>B</t>
  </si>
  <si>
    <t>fachada</t>
  </si>
  <si>
    <t>iluminação especial</t>
  </si>
  <si>
    <t>iluminação geral</t>
  </si>
  <si>
    <t>mesa</t>
  </si>
  <si>
    <t>teto</t>
  </si>
  <si>
    <t>tráfego pedestre</t>
  </si>
  <si>
    <t xml:space="preserve">ilha </t>
  </si>
  <si>
    <t xml:space="preserve">ponta </t>
  </si>
  <si>
    <t>gesso</t>
  </si>
  <si>
    <t>IEX</t>
  </si>
  <si>
    <t>junta</t>
  </si>
  <si>
    <t>porta</t>
  </si>
  <si>
    <t>janela</t>
  </si>
  <si>
    <t>tábuas</t>
  </si>
  <si>
    <t>tacos</t>
  </si>
  <si>
    <t>ETC</t>
  </si>
  <si>
    <t>veículo</t>
  </si>
  <si>
    <t>visor</t>
  </si>
  <si>
    <t>HID</t>
  </si>
  <si>
    <t>INC</t>
  </si>
  <si>
    <t>luminária</t>
  </si>
  <si>
    <t>ILU</t>
  </si>
  <si>
    <t>extintor de incêndio</t>
  </si>
  <si>
    <t>OVA</t>
  </si>
  <si>
    <t>OVS</t>
  </si>
  <si>
    <t>oval assimétrico</t>
  </si>
  <si>
    <t>CEL</t>
  </si>
  <si>
    <t>AFR</t>
  </si>
  <si>
    <t>AQU</t>
  </si>
  <si>
    <t>ENT</t>
  </si>
  <si>
    <t>MOL</t>
  </si>
  <si>
    <t>FIS</t>
  </si>
  <si>
    <t>MAG</t>
  </si>
  <si>
    <t>QUI</t>
  </si>
  <si>
    <t>QUP</t>
  </si>
  <si>
    <t>ANT</t>
  </si>
  <si>
    <t>BLO</t>
  </si>
  <si>
    <t>alta</t>
  </si>
  <si>
    <t>ALT</t>
  </si>
  <si>
    <t>PLU</t>
  </si>
  <si>
    <t>dupla assimétrica</t>
  </si>
  <si>
    <t>AB</t>
  </si>
  <si>
    <t>ABC</t>
  </si>
  <si>
    <t>E</t>
  </si>
  <si>
    <t>F</t>
  </si>
  <si>
    <t>G</t>
  </si>
  <si>
    <t>H</t>
  </si>
  <si>
    <t>I</t>
  </si>
  <si>
    <t>GRD</t>
  </si>
  <si>
    <t>grade</t>
  </si>
  <si>
    <t>eixo estrutural</t>
  </si>
  <si>
    <t>AND</t>
  </si>
  <si>
    <t>andar pavimento</t>
  </si>
  <si>
    <t>laje</t>
  </si>
  <si>
    <t>ZON</t>
  </si>
  <si>
    <t>zona</t>
  </si>
  <si>
    <t>AMB</t>
  </si>
  <si>
    <t>ambiente</t>
  </si>
  <si>
    <t>ROD</t>
  </si>
  <si>
    <t>rodapé</t>
  </si>
  <si>
    <t>rodamédio</t>
  </si>
  <si>
    <t>ROM</t>
  </si>
  <si>
    <t>sanca</t>
  </si>
  <si>
    <t>SAC</t>
  </si>
  <si>
    <t>FOR</t>
  </si>
  <si>
    <t>forro</t>
  </si>
  <si>
    <t>pilar</t>
  </si>
  <si>
    <t>fundação</t>
  </si>
  <si>
    <t>bancada</t>
  </si>
  <si>
    <t>vaso sanitário</t>
  </si>
  <si>
    <t>CHU</t>
  </si>
  <si>
    <t>chuveiro</t>
  </si>
  <si>
    <t>PIA</t>
  </si>
  <si>
    <t>lavatório</t>
  </si>
  <si>
    <t>FOL</t>
  </si>
  <si>
    <t>folha</t>
  </si>
  <si>
    <t>CAR</t>
  </si>
  <si>
    <t>carimbo</t>
  </si>
  <si>
    <t>LEG</t>
  </si>
  <si>
    <t>legenda</t>
  </si>
  <si>
    <t>TUB</t>
  </si>
  <si>
    <t>tubulação</t>
  </si>
  <si>
    <t>acessório</t>
  </si>
  <si>
    <t>XTI</t>
  </si>
  <si>
    <t>ARQ</t>
  </si>
  <si>
    <t>PAI</t>
  </si>
  <si>
    <t>GAS</t>
  </si>
  <si>
    <t>AVA</t>
  </si>
  <si>
    <t>MEC</t>
  </si>
  <si>
    <t>DIS</t>
  </si>
  <si>
    <t>dispositivo</t>
  </si>
  <si>
    <t>viga</t>
  </si>
  <si>
    <t>pedra</t>
  </si>
  <si>
    <t>GLT</t>
  </si>
  <si>
    <t>pedra granilite</t>
  </si>
  <si>
    <t>TCO</t>
  </si>
  <si>
    <t>PAS</t>
  </si>
  <si>
    <t>VEG</t>
  </si>
  <si>
    <t>vegetação</t>
  </si>
  <si>
    <t>C2</t>
  </si>
  <si>
    <t>C3</t>
  </si>
  <si>
    <t>C4</t>
  </si>
  <si>
    <t>C5</t>
  </si>
  <si>
    <t>2PA</t>
  </si>
  <si>
    <t>3PA</t>
  </si>
  <si>
    <t>4PA</t>
  </si>
  <si>
    <t>5PA</t>
  </si>
  <si>
    <t>6PA</t>
  </si>
  <si>
    <t>com 2 paineis</t>
  </si>
  <si>
    <t>com 1 painel</t>
  </si>
  <si>
    <t>com 3 paineis</t>
  </si>
  <si>
    <t>com 4 paineis</t>
  </si>
  <si>
    <t>com 5 paineis</t>
  </si>
  <si>
    <t>com 6 paineis</t>
  </si>
  <si>
    <t>null</t>
  </si>
  <si>
    <t>Sala de ensáios</t>
  </si>
  <si>
    <t>Sala de vigilância</t>
  </si>
  <si>
    <t>Sala de trabalho</t>
  </si>
  <si>
    <t>Sala de aulas</t>
  </si>
  <si>
    <t>SLA</t>
  </si>
  <si>
    <t>Sala de pesquisa</t>
  </si>
  <si>
    <t>LIG</t>
  </si>
  <si>
    <t>brise</t>
  </si>
  <si>
    <t>Sala de espera</t>
  </si>
  <si>
    <t>Sala de recepção</t>
  </si>
  <si>
    <t>Antecamera</t>
  </si>
  <si>
    <t>Auditório</t>
  </si>
  <si>
    <t>ponte</t>
  </si>
  <si>
    <t>AUT</t>
  </si>
  <si>
    <t>automático</t>
  </si>
  <si>
    <t>K</t>
  </si>
  <si>
    <t>Mark do Indivíduo</t>
  </si>
  <si>
    <t>Jardim</t>
  </si>
  <si>
    <t>Andar</t>
  </si>
  <si>
    <t>C11</t>
  </si>
  <si>
    <t>C12</t>
  </si>
  <si>
    <t>Bloco A</t>
  </si>
  <si>
    <t>Bloco AB</t>
  </si>
  <si>
    <t>Bloco ABC</t>
  </si>
  <si>
    <t>Bloco B</t>
  </si>
  <si>
    <t>Bloco C</t>
  </si>
  <si>
    <t>Bloco D</t>
  </si>
  <si>
    <t>Bloco E</t>
  </si>
  <si>
    <t>Bloco F</t>
  </si>
  <si>
    <t>Bloco G</t>
  </si>
  <si>
    <t>Bloco H</t>
  </si>
  <si>
    <t>Bloco I</t>
  </si>
  <si>
    <t>Shaft</t>
  </si>
  <si>
    <t>Poço ventilação</t>
  </si>
  <si>
    <t>Núcleo elevador</t>
  </si>
  <si>
    <t>Gabinete</t>
  </si>
  <si>
    <t>Guarita</t>
  </si>
  <si>
    <t>Laboratório</t>
  </si>
  <si>
    <t>Laboratório de Informática de Graduação</t>
  </si>
  <si>
    <t>BIB</t>
  </si>
  <si>
    <t>Biblioteca</t>
  </si>
  <si>
    <t>SET</t>
  </si>
  <si>
    <t>Setorial</t>
  </si>
  <si>
    <t>Química</t>
  </si>
  <si>
    <t>Química em pó</t>
  </si>
  <si>
    <t>Informática</t>
  </si>
  <si>
    <t>Física</t>
  </si>
  <si>
    <t>Entomologia</t>
  </si>
  <si>
    <t>Biologia</t>
  </si>
  <si>
    <t>Biologia molecular</t>
  </si>
  <si>
    <t>Central</t>
  </si>
  <si>
    <t>GUI</t>
  </si>
  <si>
    <t>guilhotina</t>
  </si>
  <si>
    <t>BAS</t>
  </si>
  <si>
    <t>basculante</t>
  </si>
  <si>
    <t>pivotante</t>
  </si>
  <si>
    <t>PIV</t>
  </si>
  <si>
    <t>PTE</t>
  </si>
  <si>
    <t>SES</t>
  </si>
  <si>
    <t>SEN</t>
  </si>
  <si>
    <t>SPE</t>
  </si>
  <si>
    <t>SER</t>
  </si>
  <si>
    <t>SVI</t>
  </si>
  <si>
    <t>SIR</t>
  </si>
  <si>
    <t>Materiais</t>
  </si>
  <si>
    <t>Posição</t>
  </si>
  <si>
    <t>Documental</t>
  </si>
  <si>
    <t>C13</t>
  </si>
  <si>
    <t>tanque</t>
  </si>
  <si>
    <t>cuba</t>
  </si>
  <si>
    <t>C14</t>
  </si>
  <si>
    <t>CRT</t>
  </si>
  <si>
    <t>símbolo de corte</t>
  </si>
  <si>
    <t>PRA</t>
  </si>
  <si>
    <t>prancha</t>
  </si>
  <si>
    <t>símbolo geral</t>
  </si>
  <si>
    <t>Magnética</t>
  </si>
  <si>
    <t>EMU</t>
  </si>
  <si>
    <t>em forma de L</t>
  </si>
  <si>
    <t>em forma de U</t>
  </si>
  <si>
    <t>dilatação</t>
  </si>
  <si>
    <t>DIL</t>
  </si>
  <si>
    <t>cadeira</t>
  </si>
  <si>
    <t>VSO</t>
  </si>
  <si>
    <t>andar tipo</t>
  </si>
  <si>
    <t>andar térreo</t>
  </si>
  <si>
    <t>TIP</t>
  </si>
  <si>
    <t>andar subsolo</t>
  </si>
  <si>
    <t>QUA</t>
  </si>
  <si>
    <t>quadrada</t>
  </si>
  <si>
    <t>SUP</t>
  </si>
  <si>
    <t>superior</t>
  </si>
  <si>
    <t>inferior</t>
  </si>
  <si>
    <t>IFR</t>
  </si>
  <si>
    <t>espaço</t>
  </si>
  <si>
    <t>ARE</t>
  </si>
  <si>
    <t>area</t>
  </si>
  <si>
    <t>Elem.Ambientais</t>
  </si>
  <si>
    <t>Equipamentos</t>
  </si>
  <si>
    <t>pessoa necessidade especial</t>
  </si>
  <si>
    <t>acústico</t>
  </si>
  <si>
    <t>ISO</t>
  </si>
  <si>
    <t>isolado</t>
  </si>
  <si>
    <t>Antecâmara de saída</t>
  </si>
  <si>
    <t xml:space="preserve">Antecâmara de entrada </t>
  </si>
  <si>
    <t>Acesso aos departamentos</t>
  </si>
  <si>
    <t>Acesso principal</t>
  </si>
  <si>
    <t>Copa</t>
  </si>
  <si>
    <t>Cozinha</t>
  </si>
  <si>
    <t>RES</t>
  </si>
  <si>
    <t>Restaurante</t>
  </si>
  <si>
    <t>ORI</t>
  </si>
  <si>
    <t>PIN</t>
  </si>
  <si>
    <t>pintura</t>
  </si>
  <si>
    <t>Elem. estruturantes</t>
  </si>
  <si>
    <t>ALU</t>
  </si>
  <si>
    <t>metálica de alumínio</t>
  </si>
  <si>
    <t>MAD</t>
  </si>
  <si>
    <t>madeira</t>
  </si>
  <si>
    <t>placa ou painel</t>
  </si>
  <si>
    <t>VIN</t>
  </si>
  <si>
    <t>vinílico</t>
  </si>
  <si>
    <t>VER</t>
  </si>
  <si>
    <t>verde de gramado</t>
  </si>
  <si>
    <t>VID</t>
  </si>
  <si>
    <t>vidro</t>
  </si>
  <si>
    <t>EUC</t>
  </si>
  <si>
    <t>eucatex ou painel naval</t>
  </si>
  <si>
    <t>deslizante</t>
  </si>
  <si>
    <t>boxes</t>
  </si>
  <si>
    <t>BLI</t>
  </si>
  <si>
    <t>blindado</t>
  </si>
  <si>
    <t>C15</t>
  </si>
  <si>
    <t>APC</t>
  </si>
  <si>
    <t>Acesso principal ao conjunto</t>
  </si>
  <si>
    <t>água fria</t>
  </si>
  <si>
    <t>água quente</t>
  </si>
  <si>
    <t>COV</t>
  </si>
  <si>
    <t>Circulação</t>
  </si>
  <si>
    <t>Cabine</t>
  </si>
  <si>
    <t>M</t>
  </si>
  <si>
    <t>N</t>
  </si>
  <si>
    <t>O</t>
  </si>
  <si>
    <t>Q</t>
  </si>
  <si>
    <t>Bloco K</t>
  </si>
  <si>
    <t>Bloco L</t>
  </si>
  <si>
    <t>Bloco M</t>
  </si>
  <si>
    <t>Bloco N</t>
  </si>
  <si>
    <t>Bloco O</t>
  </si>
  <si>
    <t>Bloco P</t>
  </si>
  <si>
    <t>Bloco Q</t>
  </si>
  <si>
    <t>veneziana</t>
  </si>
  <si>
    <t>cinta</t>
  </si>
  <si>
    <t>estaca</t>
  </si>
  <si>
    <t>escada</t>
  </si>
  <si>
    <t>ducha</t>
  </si>
  <si>
    <t>pia de água</t>
  </si>
  <si>
    <t>N°</t>
  </si>
  <si>
    <t>Indivíduo</t>
  </si>
  <si>
    <t>Fato</t>
  </si>
  <si>
    <t>Chave</t>
  </si>
  <si>
    <t>Valor</t>
  </si>
  <si>
    <t>OntologiaPrefixo</t>
  </si>
  <si>
    <t>bim:</t>
  </si>
  <si>
    <t>OntologiaTema</t>
  </si>
  <si>
    <t>RaizClass</t>
  </si>
  <si>
    <t>BIM</t>
  </si>
  <si>
    <t>RaizProp</t>
  </si>
  <si>
    <t>RaizData</t>
  </si>
  <si>
    <t>URI</t>
  </si>
  <si>
    <t>https://github.com/JLMenegotto/RepoOnto#</t>
  </si>
  <si>
    <t>Autor</t>
  </si>
  <si>
    <t>Organização</t>
  </si>
  <si>
    <t>Escola Politécnica da UFRJ</t>
  </si>
  <si>
    <t>-</t>
  </si>
  <si>
    <t>Observações</t>
  </si>
  <si>
    <t>DataHora</t>
  </si>
  <si>
    <t>Prédio</t>
  </si>
  <si>
    <t>Cidade</t>
  </si>
  <si>
    <t>Explicação</t>
  </si>
  <si>
    <t>Explicación</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</si>
  <si>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</si>
  <si>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</si>
  <si>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</si>
  <si>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</si>
  <si>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</si>
  <si>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</si>
  <si>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</si>
  <si>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</si>
  <si>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</si>
  <si>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</si>
  <si>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</si>
  <si>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</si>
  <si>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000 Tradução Classe 5</t>
  </si>
  <si>
    <t>000 Traducción Classe 5</t>
  </si>
  <si>
    <t>Natureza</t>
  </si>
  <si>
    <t>Especie</t>
  </si>
  <si>
    <t>Tema</t>
  </si>
  <si>
    <t>Disciplina</t>
  </si>
  <si>
    <t>Key</t>
  </si>
  <si>
    <t>CategoriaRvt</t>
  </si>
  <si>
    <t>ABNT</t>
  </si>
  <si>
    <t>significado</t>
  </si>
  <si>
    <t>"Bloco A"</t>
  </si>
  <si>
    <t>"Bloco AB"</t>
  </si>
  <si>
    <t>"Bloco ABC"</t>
  </si>
  <si>
    <t>"Bloco B"</t>
  </si>
  <si>
    <t>"Bloco C"</t>
  </si>
  <si>
    <t>"Bloco D"</t>
  </si>
  <si>
    <t>"Bloco E"</t>
  </si>
  <si>
    <t>"Bloco F"</t>
  </si>
  <si>
    <t>"Bloco G"</t>
  </si>
  <si>
    <t>"Bloco H"</t>
  </si>
  <si>
    <t>"Bloco I"</t>
  </si>
  <si>
    <t>"Bloco J"</t>
  </si>
  <si>
    <t>"Bloco K"</t>
  </si>
  <si>
    <t>"Bloco L"</t>
  </si>
  <si>
    <t>"Bloco M"</t>
  </si>
  <si>
    <t>"Bloco N"</t>
  </si>
  <si>
    <t>"Bloco O"</t>
  </si>
  <si>
    <t>"Bloco P"</t>
  </si>
  <si>
    <t>"Bloco Q"</t>
  </si>
  <si>
    <t>"Biologia"</t>
  </si>
  <si>
    <t>"Entomologia"</t>
  </si>
  <si>
    <t>"Física"</t>
  </si>
  <si>
    <t>"Informática"</t>
  </si>
  <si>
    <t>"Magnética"</t>
  </si>
  <si>
    <t>"Biologia molecular"</t>
  </si>
  <si>
    <t>"Química"</t>
  </si>
  <si>
    <t>"Química em pó"</t>
  </si>
  <si>
    <t>"Setorial"</t>
  </si>
  <si>
    <t>"Central"</t>
  </si>
  <si>
    <t>"Antecamera"</t>
  </si>
  <si>
    <t>"Auditório"</t>
  </si>
  <si>
    <t>"Biblioteca"</t>
  </si>
  <si>
    <t>"Cabine"</t>
  </si>
  <si>
    <t>"Circulação"</t>
  </si>
  <si>
    <t>"Copa"</t>
  </si>
  <si>
    <t>"Cozinha"</t>
  </si>
  <si>
    <t>"Gabinete"</t>
  </si>
  <si>
    <t>"Guarita"</t>
  </si>
  <si>
    <t>"Jardim"</t>
  </si>
  <si>
    <t>"Laboratório"</t>
  </si>
  <si>
    <t>"Laboratório de Informática de Graduação"</t>
  </si>
  <si>
    <t>"Restaurante"</t>
  </si>
  <si>
    <t>"Shaft"</t>
  </si>
  <si>
    <t>Classe</t>
  </si>
  <si>
    <t>Equivalente a</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</si>
  <si>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</si>
  <si>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</si>
  <si>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</si>
  <si>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</si>
  <si>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</si>
  <si>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</si>
  <si>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</si>
  <si>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</si>
  <si>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</si>
  <si>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</si>
  <si>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</si>
  <si>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</si>
  <si>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</si>
  <si>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</si>
  <si>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</si>
  <si>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</si>
  <si>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</si>
  <si>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</si>
  <si>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</si>
  <si>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</si>
  <si>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</si>
  <si>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Códigos_do_CT</t>
  </si>
  <si>
    <t>Conceitos de elementos de codificação interna do Centro de Tecnologia</t>
  </si>
  <si>
    <t>Formalizar conceitos de elementos de codificação interna do Centro de Tecnologia</t>
  </si>
  <si>
    <t>Formalizar conceptos de elementos de codificación interna del Centro de Tecnologia</t>
  </si>
  <si>
    <t>grupo</t>
  </si>
  <si>
    <t>"Disciplinas"</t>
  </si>
  <si>
    <t>"Elementos estruturantes"</t>
  </si>
  <si>
    <t>Tipos de Salas</t>
  </si>
  <si>
    <t>bidet</t>
  </si>
  <si>
    <t>misturador</t>
  </si>
  <si>
    <t>Disciplinas ou sistemas</t>
  </si>
  <si>
    <t>Tipos de Pavimentos</t>
  </si>
  <si>
    <t>Elementos Estrutura</t>
  </si>
  <si>
    <t>ALV</t>
  </si>
  <si>
    <t>alvenaria arquitetura</t>
  </si>
  <si>
    <t>CPI</t>
  </si>
  <si>
    <t>contrapiso</t>
  </si>
  <si>
    <t>piso acabado</t>
  </si>
  <si>
    <t>EQS</t>
  </si>
  <si>
    <t>equipamento sanitário</t>
  </si>
  <si>
    <t>Mobiliários</t>
  </si>
  <si>
    <t>equipamento de incêndio</t>
  </si>
  <si>
    <t>Sistemas e Tubulações</t>
  </si>
  <si>
    <t>equipamento de mobiliário</t>
  </si>
  <si>
    <t>mobília geral</t>
  </si>
  <si>
    <t>sofá</t>
  </si>
  <si>
    <t>C16</t>
  </si>
  <si>
    <t>C17</t>
  </si>
  <si>
    <t>C18</t>
  </si>
  <si>
    <t>armário</t>
  </si>
  <si>
    <t>cama</t>
  </si>
  <si>
    <t>MCA</t>
  </si>
  <si>
    <t>MME</t>
  </si>
  <si>
    <t>MEQ</t>
  </si>
  <si>
    <t>MGE</t>
  </si>
  <si>
    <t>MSO</t>
  </si>
  <si>
    <t>alvenaria estrutural</t>
  </si>
  <si>
    <t>montante de treliça</t>
  </si>
  <si>
    <t>diagonal de treliça</t>
  </si>
  <si>
    <t>treliça plana</t>
  </si>
  <si>
    <t>TRP</t>
  </si>
  <si>
    <t>treliça espacial</t>
  </si>
  <si>
    <t>BAE</t>
  </si>
  <si>
    <t>BAV</t>
  </si>
  <si>
    <t>barra de vergalhão</t>
  </si>
  <si>
    <t>barra de estribo</t>
  </si>
  <si>
    <t>AES</t>
  </si>
  <si>
    <t>TDI</t>
  </si>
  <si>
    <t>TMO</t>
  </si>
  <si>
    <t>TBZ</t>
  </si>
  <si>
    <t>banzo de treliça</t>
  </si>
  <si>
    <t>piso de calçada</t>
  </si>
  <si>
    <t>PCA</t>
  </si>
  <si>
    <t>Característica Funcional</t>
  </si>
  <si>
    <t>APO</t>
  </si>
  <si>
    <t>de apóio</t>
  </si>
  <si>
    <t>para criança</t>
  </si>
  <si>
    <t>para adulto</t>
  </si>
  <si>
    <t>DEX</t>
  </si>
  <si>
    <t>para água</t>
  </si>
  <si>
    <t>para ácidos</t>
  </si>
  <si>
    <t>proteção antibala</t>
  </si>
  <si>
    <t>COM</t>
  </si>
  <si>
    <t>ventilado</t>
  </si>
  <si>
    <t>visor e ventilado</t>
  </si>
  <si>
    <t>Característica Formal</t>
  </si>
  <si>
    <t>Função Académica</t>
  </si>
  <si>
    <t>Característica de Composição</t>
  </si>
  <si>
    <t>"Elementos espaciais"</t>
  </si>
  <si>
    <t>"Elementos estruturais"</t>
  </si>
  <si>
    <t>"Elementos de arquitetura"</t>
  </si>
  <si>
    <t>"Elementos de equipamentos"</t>
  </si>
  <si>
    <t>"Elementos de mobiliários"</t>
  </si>
  <si>
    <t>CNX</t>
  </si>
  <si>
    <t>conexão</t>
  </si>
  <si>
    <t>TOM</t>
  </si>
  <si>
    <t>tomada</t>
  </si>
  <si>
    <t>interruptor</t>
  </si>
  <si>
    <t>RUP</t>
  </si>
  <si>
    <t>quadro de luz</t>
  </si>
  <si>
    <t>QLU</t>
  </si>
  <si>
    <t>quadro de força</t>
  </si>
  <si>
    <t>QFO</t>
  </si>
  <si>
    <t>campainha</t>
  </si>
  <si>
    <t>ALM</t>
  </si>
  <si>
    <t>alarme</t>
  </si>
  <si>
    <t>calha</t>
  </si>
  <si>
    <t>LHA</t>
  </si>
  <si>
    <t>conduite</t>
  </si>
  <si>
    <t>ITE</t>
  </si>
  <si>
    <t>"Característica formal"</t>
  </si>
  <si>
    <t>"Característica funcional ou de uso"</t>
  </si>
  <si>
    <t>"Característica de posicionamento"</t>
  </si>
  <si>
    <t>"Característica de materialidade"</t>
  </si>
  <si>
    <t>"Tipos de compartimentos"</t>
  </si>
  <si>
    <t>"Funcões acadêmicas"</t>
  </si>
  <si>
    <t>"Características de composição"</t>
  </si>
  <si>
    <t>"Localização no Centro de Tecnologia"</t>
  </si>
  <si>
    <t>"Elementos simbólicos e documentais"</t>
  </si>
  <si>
    <t>TAG</t>
  </si>
  <si>
    <t>A1</t>
  </si>
  <si>
    <t>A0</t>
  </si>
  <si>
    <t>A2</t>
  </si>
  <si>
    <t>A3</t>
  </si>
  <si>
    <t>A4</t>
  </si>
  <si>
    <t>"Tamanhos de pranchas"</t>
  </si>
  <si>
    <t>Tamanho pranchas</t>
  </si>
  <si>
    <t>tamanho A0</t>
  </si>
  <si>
    <t>tamanho A1</t>
  </si>
  <si>
    <t>tamanho A2</t>
  </si>
  <si>
    <t>tamanho A3</t>
  </si>
  <si>
    <t>tamanho A4</t>
  </si>
  <si>
    <t>C19</t>
  </si>
  <si>
    <t>símbolo de vista ou elevação</t>
  </si>
  <si>
    <t>símbolo de Norte</t>
  </si>
  <si>
    <t>Localização no Centro de Tecnologia</t>
  </si>
  <si>
    <t>C20</t>
  </si>
  <si>
    <t>Localização na UFRJ</t>
  </si>
  <si>
    <t>Campus Macaé</t>
  </si>
  <si>
    <t>Campus Cidade Universitária</t>
  </si>
  <si>
    <t>Campus Praia Vemelha</t>
  </si>
  <si>
    <t>Campus Centro</t>
  </si>
  <si>
    <t>UFRJ.1</t>
  </si>
  <si>
    <t>UFRJ.2</t>
  </si>
  <si>
    <t>UFRJ.3</t>
  </si>
  <si>
    <t>UFRJ.4</t>
  </si>
  <si>
    <t>"Campus Cidade Universitária"</t>
  </si>
  <si>
    <t>"Campus Macaé"</t>
  </si>
  <si>
    <t>"Campus Praia Vemelha"</t>
  </si>
  <si>
    <t>"Campus Centro"</t>
  </si>
  <si>
    <t>"Localização na UFRJ"</t>
  </si>
  <si>
    <t>DET</t>
  </si>
  <si>
    <t>símbolo de chamada de detalhe</t>
  </si>
  <si>
    <t>símbolo de etiqueta (tag)</t>
  </si>
  <si>
    <t>NRT</t>
  </si>
  <si>
    <t>MO1</t>
  </si>
  <si>
    <t>MO2</t>
  </si>
  <si>
    <t>MO3</t>
  </si>
  <si>
    <t>MO4</t>
  </si>
  <si>
    <t>MO5</t>
  </si>
  <si>
    <t>"Características de composição modular"</t>
  </si>
  <si>
    <t>Característica de Composição modular</t>
  </si>
  <si>
    <t>C21</t>
  </si>
  <si>
    <t>usa modular igual a 1</t>
  </si>
  <si>
    <t>usa modular igual a 2</t>
  </si>
  <si>
    <t>usa modular igual a 3</t>
  </si>
  <si>
    <t>usa modular igual a 4</t>
  </si>
  <si>
    <t>usa modular igual a 5</t>
  </si>
  <si>
    <t>MO6</t>
  </si>
  <si>
    <t>usa modular igual a 6</t>
  </si>
  <si>
    <t>sigla</t>
  </si>
  <si>
    <t>TEC</t>
  </si>
  <si>
    <t>andar técnico</t>
  </si>
  <si>
    <t>1AN</t>
  </si>
  <si>
    <t>2AN</t>
  </si>
  <si>
    <t>3AN</t>
  </si>
  <si>
    <t>4AN</t>
  </si>
  <si>
    <t>5AN</t>
  </si>
  <si>
    <t>6AN</t>
  </si>
  <si>
    <t>2° andar</t>
  </si>
  <si>
    <t>1° andar</t>
  </si>
  <si>
    <t>3° andar</t>
  </si>
  <si>
    <t>4° andar</t>
  </si>
  <si>
    <t>5° andar</t>
  </si>
  <si>
    <t>6° andar</t>
  </si>
  <si>
    <t>7AN</t>
  </si>
  <si>
    <t>7° andar</t>
  </si>
  <si>
    <t>1TE</t>
  </si>
  <si>
    <t>2TE</t>
  </si>
  <si>
    <t>3TE</t>
  </si>
  <si>
    <t>4TE</t>
  </si>
  <si>
    <t>5TE</t>
  </si>
  <si>
    <t>6TE</t>
  </si>
  <si>
    <t>7TE</t>
  </si>
  <si>
    <t>1° andar técnico</t>
  </si>
  <si>
    <t>2° andar técnico</t>
  </si>
  <si>
    <t>3° andar técnico</t>
  </si>
  <si>
    <t>4° andar técnico</t>
  </si>
  <si>
    <t>5° andar técnico</t>
  </si>
  <si>
    <t>6° andar técnico</t>
  </si>
  <si>
    <t>7° andar técnico</t>
  </si>
  <si>
    <t>"Tipos de pavimentos do CT"</t>
  </si>
  <si>
    <t>ACO</t>
  </si>
  <si>
    <t>andar de cobertura</t>
  </si>
  <si>
    <t>AMZ</t>
  </si>
  <si>
    <t>andar mezanino</t>
  </si>
  <si>
    <t>APL</t>
  </si>
  <si>
    <t>andar piloti do CT</t>
  </si>
  <si>
    <t>00Super
Class
5</t>
  </si>
  <si>
    <t>Anotações 
de ajuda
Classe 4</t>
  </si>
  <si>
    <t>Interop.</t>
  </si>
  <si>
    <t>Estudos</t>
  </si>
  <si>
    <t>Preliminar</t>
  </si>
  <si>
    <t>100.Piso</t>
  </si>
  <si>
    <t>Piso definido em etapas iniciais do projeto. Nivel de detalhamento, desenvolvimento ou informação 100.</t>
  </si>
  <si>
    <t>Piso definido en las primeras etapas del proyecto. Nivel de detalle, desarrollo o información 100.</t>
  </si>
  <si>
    <t>100.Parede</t>
  </si>
  <si>
    <t>Paredes definida em etapas iniciais do projeto. Nivel de detalhamento, desenvolvimento ou informação 100.</t>
  </si>
  <si>
    <t>Paredes definidas en las primeras etapas del proyecto. Nivel de detalle, desarrollo o información 100.</t>
  </si>
  <si>
    <t>100.Divisória</t>
  </si>
  <si>
    <t>Divisória definida em etapas iniciais do projeto. Nivel de detalhamento, desenvolvimento ou informação 100.</t>
  </si>
  <si>
    <t>Tabique definido en las primeras etapas del proyecto. Nivel de detalle, desarrollo o información 100.</t>
  </si>
  <si>
    <t>100.Forro</t>
  </si>
  <si>
    <t>Forro definido em etapas iniciais do projeto. Nivel de detalhamento, desenvolvimento ou informação 100.</t>
  </si>
  <si>
    <t>Cielorraso definido en las primeras etapas del proyecto. Nivel de detalle, desarrollo o información 100.</t>
  </si>
  <si>
    <t>100.Porta</t>
  </si>
  <si>
    <t>Porta. Nivel de detalhamento, desenvolvimento ou informação 200.</t>
  </si>
  <si>
    <t>Puerta. Nivel de detalle, desarrollo o información 100.</t>
  </si>
  <si>
    <t>100.Janela</t>
  </si>
  <si>
    <t>Janela. Nivel de detalhamento, desenvolvimento ou informação 200.</t>
  </si>
  <si>
    <t>Ventana. Nivel de detalle, desarrollo o información 100.</t>
  </si>
  <si>
    <t>AnteProjeto</t>
  </si>
  <si>
    <t>200.Piso</t>
  </si>
  <si>
    <t>Piso definido em etapa de anteprojeto ou projeto básico. Nivel de detalhamento, desenvolvimento ou informação 200.</t>
  </si>
  <si>
    <t>Piso definido en la etapa de diseño preliminar o diseño básico. Nivel de detalle, desarrollo o información 200.</t>
  </si>
  <si>
    <t>200.Parede</t>
  </si>
  <si>
    <t>Paredes definida em etapa de anteprojeto ou projeto básico. Nivel de detalhamento, desenvolvimento ou informação 200.</t>
  </si>
  <si>
    <t>Paredes definidas en la etapa de diseño preliminar o diseño básico. Nivel de detalle, desarrollo o información 200.</t>
  </si>
  <si>
    <t>200.Divisória</t>
  </si>
  <si>
    <t>Divisória definida em etapa de anteprojeto ou projeto básico. Nivel de detalhamento, desenvolvimento ou informação 200.</t>
  </si>
  <si>
    <t>Tabique definido en la etapa de diseño preliminar o diseño básico. Nivel de detalle, desarrollo o información 200.</t>
  </si>
  <si>
    <t>200.Forro</t>
  </si>
  <si>
    <t>Forro definido em etapa de anteprojeto ou projeto básico. Nivel de detalhamento, desenvolvimento ou informação 200.</t>
  </si>
  <si>
    <t>Cielorraso definido en la etapa de diseño preliminar o diseño básico. Nivel de detalle, desarrollo o información 200.</t>
  </si>
  <si>
    <t>200.Porta</t>
  </si>
  <si>
    <t>Puerta. desarrollo o información 200.</t>
  </si>
  <si>
    <t>200.Janela</t>
  </si>
  <si>
    <t>Ventana. Nivel de detalle, desarrollo o información 200.</t>
  </si>
  <si>
    <t>Volumetrias</t>
  </si>
  <si>
    <t>Bloco.Principal</t>
  </si>
  <si>
    <t>É a massa volumétrica do bloco principal do projeto.</t>
  </si>
  <si>
    <t>Es la masa volumétrica del bloque principal del proyecto.</t>
  </si>
  <si>
    <t>Bloco.Secundário</t>
  </si>
  <si>
    <t>É a massa volumétrica do bloco secundário do projeto.</t>
  </si>
  <si>
    <t>Es la masa volumétrica del bloque secundario del proyecto.</t>
  </si>
  <si>
    <t>Bloco.Excêntrico</t>
  </si>
  <si>
    <t>É a massa volumétrica de um bloco excêntrico do bloco principal do projeto.</t>
  </si>
  <si>
    <t>Es la masa volumétrica de un bloque excéntrico del bloque principal del proyecto.</t>
  </si>
  <si>
    <t>Estudos.de.Massas</t>
  </si>
  <si>
    <t>Massas</t>
  </si>
  <si>
    <t>Volume.Formal</t>
  </si>
  <si>
    <t>Massa: forma da massa.</t>
  </si>
  <si>
    <t>Masa: forma de la masa.</t>
  </si>
  <si>
    <t>Volume.Massas</t>
  </si>
  <si>
    <t>Massa: massa.</t>
  </si>
  <si>
    <t>Masa: masa.</t>
  </si>
  <si>
    <t>Massas.Zonas</t>
  </si>
  <si>
    <t>Massa: zonas.</t>
  </si>
  <si>
    <t>Misa: zonas.</t>
  </si>
  <si>
    <t>Massa.Void</t>
  </si>
  <si>
    <t>Massa: massa de substração.</t>
  </si>
  <si>
    <t>Masa: masa que resta.</t>
  </si>
  <si>
    <t>Massa.Divisor.de.Face</t>
  </si>
  <si>
    <t>Massa: divisor de faces.</t>
  </si>
  <si>
    <t>Masa: separador de faces.</t>
  </si>
  <si>
    <t>Massa.Contorno</t>
  </si>
  <si>
    <t>Massa: contornos de corte.</t>
  </si>
  <si>
    <t>Masa: corte de contornos.</t>
  </si>
  <si>
    <t>Massa.Projeção</t>
  </si>
  <si>
    <t>Superfícies</t>
  </si>
  <si>
    <t>Plano.de.Laje</t>
  </si>
  <si>
    <t>Massa: piso.</t>
  </si>
  <si>
    <t>Masa: piso.</t>
  </si>
  <si>
    <t>Planos.das.Lajes</t>
  </si>
  <si>
    <t>Massa: todos os pisos.</t>
  </si>
  <si>
    <t>Misa: todos los pisos.</t>
  </si>
  <si>
    <t>Envoltória</t>
  </si>
  <si>
    <t>Massa: parede externa.</t>
  </si>
  <si>
    <t>Masa: pared externa.</t>
  </si>
  <si>
    <t>Envoltória.Subsolos</t>
  </si>
  <si>
    <t>Massa: parede externa subsolos.</t>
  </si>
  <si>
    <t>Masa: pared exterior del subsuelo.</t>
  </si>
  <si>
    <t>Fachada.Envidraçada</t>
  </si>
  <si>
    <t>Massa: envidraçado.</t>
  </si>
  <si>
    <t>Masa: ventanas de vidrio.</t>
  </si>
  <si>
    <t>Fachadas.Envidraçadas</t>
  </si>
  <si>
    <t>Massa: todos os envidraçados.</t>
  </si>
  <si>
    <t>Masa: todss las ventanas de vidrio.</t>
  </si>
  <si>
    <t>Massas.Paredes.Internas</t>
  </si>
  <si>
    <t>Massa: as paredes interiores.</t>
  </si>
  <si>
    <t>Masa: paredes interiores.</t>
  </si>
  <si>
    <t>Massas.Paredes</t>
  </si>
  <si>
    <t>Massa: todas as paredes.</t>
  </si>
  <si>
    <t>Misa: todas las paredes.</t>
  </si>
  <si>
    <t>Massas.Aberturas</t>
  </si>
  <si>
    <t>Massa: aberturas.</t>
  </si>
  <si>
    <t>Masa: aberturas.</t>
  </si>
  <si>
    <t>Massas.Lajes</t>
  </si>
  <si>
    <t>Massa: lajes.</t>
  </si>
  <si>
    <t>Masa: losas.</t>
  </si>
  <si>
    <t>Massas.Telhados</t>
  </si>
  <si>
    <t>Massa: telhados.</t>
  </si>
  <si>
    <t>Masa: techos.</t>
  </si>
  <si>
    <t>Massas.Brises</t>
  </si>
  <si>
    <t>Massa: brises.</t>
  </si>
  <si>
    <t>Masa: para-soles.</t>
  </si>
  <si>
    <t>Massas.Claraboias</t>
  </si>
  <si>
    <t>Massa: claraboias.</t>
  </si>
  <si>
    <t>Masa: claraboyas.</t>
  </si>
  <si>
    <t>Planos.Horizontais</t>
  </si>
  <si>
    <t>Andares</t>
  </si>
  <si>
    <t>Andar.Cobertura</t>
  </si>
  <si>
    <t>Andar de cobertura do edifício.</t>
  </si>
  <si>
    <t>Planta de la cubierta del edificio.</t>
  </si>
  <si>
    <t>Andar.Tipo</t>
  </si>
  <si>
    <t>Andar tipo do edifício.</t>
  </si>
  <si>
    <t>Planta típica del edificio.</t>
  </si>
  <si>
    <t>Andar.Customizado</t>
  </si>
  <si>
    <t>Andar único do edifício. Andares que não são típicos e são projetados sob medida.</t>
  </si>
  <si>
    <t>Planta única del edificio. Plantas que no son típicas y están diseñadas a medida.</t>
  </si>
  <si>
    <t>Andar.Variável</t>
  </si>
  <si>
    <t>Andar único do edifício. Andares que não são típicos.</t>
  </si>
  <si>
    <t>Planta única del edificio. Plantas que no son típicas.</t>
  </si>
  <si>
    <t>Andar.Palco</t>
  </si>
  <si>
    <t>Andar único do edifício. Em prédios que tem salas de espetáculos é o andar que contem o palco ou tela de projeção.</t>
  </si>
  <si>
    <t>Planta única del edificio. En los edificios que tienen salas de conciertos, es el piso integrado al palco o la pantalla de proyección.</t>
  </si>
  <si>
    <t>Andar.Especial</t>
  </si>
  <si>
    <t>Andar único do edifício. Identifica o andar que se destaca por sua dupla altura ou alguma característica que o torna único.</t>
  </si>
  <si>
    <t>Planta única del edificio. Identifica el suelo que destaca por su doble altura o alguna característica que lo haga único.</t>
  </si>
  <si>
    <t>Andar.Técnico</t>
  </si>
  <si>
    <t>Andar técnico do edifício.</t>
  </si>
  <si>
    <t>Planta técnica del edificio.</t>
  </si>
  <si>
    <t>Andar.Mezanino</t>
  </si>
  <si>
    <t>Andar parcial mais baixo introduzido no pé-direito de um andar, com acesso apenas pelo interior do recinto.</t>
  </si>
  <si>
    <t>Planta parcial inferior introducida a la altura del techo de una planta, con acceso solo desde el interior del recinto.</t>
  </si>
  <si>
    <t>Andar.Acesso</t>
  </si>
  <si>
    <t>Andar de acesso ao edifício.</t>
  </si>
  <si>
    <t>Planta de acceso al edificio.</t>
  </si>
  <si>
    <t>Andar.Subsolo</t>
  </si>
  <si>
    <t>Andar do subsolo do prédio.</t>
  </si>
  <si>
    <t>Planta sótano del edificio.</t>
  </si>
  <si>
    <t>Planos.Fundações</t>
  </si>
  <si>
    <t>Plano.de.Bloco.Fundação</t>
  </si>
  <si>
    <t>Plano horizontal dos blocos de fundação do edifício.</t>
  </si>
  <si>
    <t>Plano horizontal de los bloques de cimentación del edificio.</t>
  </si>
  <si>
    <t>Plano.de.Estacas</t>
  </si>
  <si>
    <t>Plano horizontal das estacas de fundação do edifício.</t>
  </si>
  <si>
    <t>Plano horizontal de los pilotes de cimentación del edificio.</t>
  </si>
  <si>
    <t>Gabaritos</t>
  </si>
  <si>
    <t>Gabarito.Freático</t>
  </si>
  <si>
    <t>Gabarito que define o nível da camada superior da água subterrânea.</t>
  </si>
  <si>
    <t>Plantilla que define el nivel de la capa superior de agua subterránea.</t>
  </si>
  <si>
    <t>Gabarito.Subterrâneo</t>
  </si>
  <si>
    <t>Gabarito de profundidade. Pode ser usado para definir a cota superior de um projeto subterrâneo, como linha de metrô ou instalações especiais urbanas. Usado como limite de penetração em profundidade.</t>
  </si>
  <si>
    <t>Plantilla de profundidad. Se puede utilizar para establecer la elevación superior de un proyecto subterráneo, como una línea de metro o instalaciones urbanas especiales. Se utiliza como límite de penetración en profundidad.</t>
  </si>
  <si>
    <t>Gabarito.Aéreo</t>
  </si>
  <si>
    <t>Gabarito de altura permitida para realizar voos segurança com UAS (drones). Estabelecido pela ANAC (Agência Nacional de Aviação Civil). Especialmente em regiões próximas a aeroportos.</t>
  </si>
  <si>
    <t>Plantilla de altura permitida para realizar vuelos seguros con UAS (drones). Establecido por ANAC (Agencia Nacional de Aviación Civil). Especialmente en regiones cercanas a los aeropuertos.</t>
  </si>
  <si>
    <t>Gabarito.Hídrico</t>
  </si>
  <si>
    <t>Gabarito que define o nível de um corpo de água natural como o mar ou níveis de crescentes máximas e mínimas de rios ou lagoas. Referência para projetos em zonas litorais ou alagáveis.</t>
  </si>
  <si>
    <t>Plantilla que define el nivel de un cuerpo de agua natural como el mar o los niveles máximos y mínimos de elevación de ríos o lagunas. Referencia para proyectos en zonas costeras o inundables.</t>
  </si>
  <si>
    <t>Gabarito.Municipal</t>
  </si>
  <si>
    <t>Gabarito de altura máxima permitida para as edificações em cada área urbana. Estabelecido por leis municipais de uso e ocupação do solo. Não pode ser ultrapassado pelo projeto.</t>
  </si>
  <si>
    <t>Plantilla de altura máxima permitida para edificios en cada área urbana. Establecido por las leyes municipales de uso y ocupación de la tierra. No puede ser superado por el proyecto.</t>
  </si>
  <si>
    <t>Planos.Verticais</t>
  </si>
  <si>
    <t>Eixos.Estruturais</t>
  </si>
  <si>
    <t>Eixo.Estrutural</t>
  </si>
  <si>
    <t>Eixos de projeto usados para localização dos pilares, simetrias, corpos, etc.</t>
  </si>
  <si>
    <t>Ejes de diseño utilizados para la ubicación de columnas, simetrías, cuerpos, etc.</t>
  </si>
  <si>
    <t>Eixo.Estrutural.Irregular</t>
  </si>
  <si>
    <t>Eixos de projeto dispostos de modo irregular usados para localização dos pilares, simetrias, corpos, etc.</t>
  </si>
  <si>
    <t>Ejes de diseño dispuestos irregularmente utilizados para la ubicación de columnas, simetrías, cuerpos, etc.</t>
  </si>
  <si>
    <t>Eixo.Estrutural.Radial</t>
  </si>
  <si>
    <t>Eixos de projeto dispostos radialmente usados para localização dos pilares, simetrias, corpos, etc.</t>
  </si>
  <si>
    <t>Ejes de diseño dispuestos radialmente utilizados para la ubicación de columnas, simetrías, cuerpos, etc.</t>
  </si>
  <si>
    <t>Eixo.Estrutural.Retangular</t>
  </si>
  <si>
    <t>Eixos de projeto dispostos de modo matricial regular usados para localização dos pilares, simetrias, corpos, etc.</t>
  </si>
  <si>
    <t>Ejes de diseño dispuestos regularmente utilizados para la ubicación de columnas, simetrías, cuerpos, etc.</t>
  </si>
  <si>
    <t>Eixo.Estrutural.Triangular</t>
  </si>
  <si>
    <t>Eixos de projeto dispostos de modo inclinado ou triangular usados para localização dos pilares, simetrias, corpos, etc.</t>
  </si>
  <si>
    <t>Ejes de diseño dispuestos de forma inclinada o triangular utilizados para localizar columnas, simetrías, cuerpos, etc.</t>
  </si>
  <si>
    <t>Elevações.de.Projeto</t>
  </si>
  <si>
    <t>Fachada.Principal</t>
  </si>
  <si>
    <t>Elevação da fachada Principal do projeto. Relativo ao Norte do projeto de Revit.</t>
  </si>
  <si>
    <t>Alzado de la fachada principal del proyecto. Relativo al Norte del proyecto de Revit.</t>
  </si>
  <si>
    <t>Fachada.Fundos</t>
  </si>
  <si>
    <t>Elevação da fachada dos fundos do projeto. Relativo ao Norte do projeto de Revit.</t>
  </si>
  <si>
    <t>Alzado de la fachada posterior del proyecto. Relativo al Norte del proyecto de Revit.</t>
  </si>
  <si>
    <t>Fachada.Lateral.Leste</t>
  </si>
  <si>
    <t>Elevação da fachada lateral direita do projeto. Relativo ao Norte do projeto de Revit.</t>
  </si>
  <si>
    <t>Alzado de la fachada lateral derecha del proyecto. Relativo al Norte del proyecto de Revit.</t>
  </si>
  <si>
    <t>Fachada.Lateral.Oeste</t>
  </si>
  <si>
    <t>Elevação da fachada lateral esquerda do projeto. Relativo ao Norte do projeto de Revit.</t>
  </si>
  <si>
    <t>Alzado de la fachada lateral izquierda del proyecto. Relativo al Norte del proyecto de Revit.</t>
  </si>
  <si>
    <t>Símbolo.de.Vista</t>
  </si>
  <si>
    <t>Simbologia: marcador de vistas.</t>
  </si>
  <si>
    <t>Simbología: marcador de vistas.</t>
  </si>
  <si>
    <t>Elevações.Solares</t>
  </si>
  <si>
    <t>Vista.Norte</t>
  </si>
  <si>
    <t>Elevação da fachada orientada ao Norte. Relativo ao Norte Verdadeiro ou solar do projeto de Revit.</t>
  </si>
  <si>
    <t>Alzado de la fachada orientada al norte. En relación con el Norte Verdadero o solar del proyecto Revit.</t>
  </si>
  <si>
    <t>Vista.Sul</t>
  </si>
  <si>
    <t>Elevação da fachada orientada ao Sul.  Relativo ao Norte Verdadeiro ou solar do projeto de Revit.</t>
  </si>
  <si>
    <t>Alzado de la fachada orientada al sur.  En relación con el Norte Verdadero o solar del proyecto Revit.</t>
  </si>
  <si>
    <t>Vista.Leste</t>
  </si>
  <si>
    <t>Elevação da fachada orientada ao Leste.  Relativo ao Norte Verdadeiro ou solar do projeto de Revit.</t>
  </si>
  <si>
    <t>Alzado de la fachada orientada al Este.  En relación con el Norte Verdadero o solar del proyecto Revit.</t>
  </si>
  <si>
    <t>Vista.Oeste</t>
  </si>
  <si>
    <t>Elevação da fachada orientada ao Oeste.  Relativo ao Norte Verdadeiro ou solar do projeto de Revit.</t>
  </si>
  <si>
    <t>Alzado de la fachada orientada al oeste.  En relación con el Norte Verdadero o solar del proyecto Revit.</t>
  </si>
  <si>
    <t>Areas</t>
  </si>
  <si>
    <t>Exteriores</t>
  </si>
  <si>
    <t>Espaço.Externo</t>
  </si>
  <si>
    <t>O elemento espacial externo que define regiões externas no local da construção.</t>
  </si>
  <si>
    <t>Elemento espacial externo que define las regiones externas en la obra.</t>
  </si>
  <si>
    <t>Espaço.Aéreo</t>
  </si>
  <si>
    <t>Espaço de ar externo ao redor do edifício.</t>
  </si>
  <si>
    <t>Espacio aéreo exterior alrededor del edificio.</t>
  </si>
  <si>
    <t>Espaço.Construção.Vizinha</t>
  </si>
  <si>
    <t>Espaço ocupado por um prédio vizinho.</t>
  </si>
  <si>
    <t>Espacio ocupado por un edificio vecino.</t>
  </si>
  <si>
    <t>Espaço.Espelho.Agua</t>
  </si>
  <si>
    <t>Volume externo coberto com água ao redor do edifício.</t>
  </si>
  <si>
    <t>Volumen exterior cubierto de agua alrededor del edificio.</t>
  </si>
  <si>
    <t>Espaço.Exterior</t>
  </si>
  <si>
    <t>Espaço exterior a uma instalação.</t>
  </si>
  <si>
    <t>Espacio exterior de una instalación.</t>
  </si>
  <si>
    <t>Estacionamento</t>
  </si>
  <si>
    <t>Espaço dedicado para uso como vaga de estacionamento de veículos, incluindo acesso.</t>
  </si>
  <si>
    <t>Espacio dedicado para su uso como plaza de aparcamiento de vehículos, incluido el acceso.</t>
  </si>
  <si>
    <t>Área.Bruta</t>
  </si>
  <si>
    <t>Área bruta de piso - um tipo específico de espaço para cada pavimento de edificação.</t>
  </si>
  <si>
    <t>Superficie bruta: un tipo específico de espacio para cada planta del edificio.</t>
  </si>
  <si>
    <t>Ambientes</t>
  </si>
  <si>
    <t>Labs</t>
  </si>
  <si>
    <t>Laboratório.NB1</t>
  </si>
  <si>
    <t>Laboratório Risco Biológico Baixo. Práticas básicas de microbiologia. Sem barreiras especiais.</t>
  </si>
  <si>
    <t>Laboratorio de bajo riesgo biológico. Prácticas básicas de microbiología. Sin barreras especiales.</t>
  </si>
  <si>
    <t>Laboratório.NB2</t>
  </si>
  <si>
    <t>Laboratório Risco Biológico Moderado. Ambiente para barreiras primárias (EPIs, pia, descontaminação). Acesso restrito.</t>
  </si>
  <si>
    <t>Laboratorio de riesgo biológico moderado. Utiliza barreras primarias (EPI, fregadero, descontaminación). Acceso restringido.</t>
  </si>
  <si>
    <t>Laboratório.NB3</t>
  </si>
  <si>
    <t>Laboratório Risco Biológico Alto. Ambiente de contenção avançada (cabines de segurança, ventilação controlada, chuveiros de água). Acesso rigoroso.</t>
  </si>
  <si>
    <t>Laboratorio de riesgo biológico alto. Ambiente de contención avanzado (cabinas de seguridad, ventilación controlada, duchas de agua). Acceso estricto.</t>
  </si>
  <si>
    <t>Laboratório.NB4</t>
  </si>
  <si>
    <t>Laboratório Risco Biológico Muito Alto. Ambiente de máxima contenção (macacões com ar filtrado, chuveiro químico, zonas isoladas).</t>
  </si>
  <si>
    <t>Laboratorio de riesgo biológico altísimo. Ambiente de máxima contención (uniformes con aire filtrado, ducha química, zonas aisladas).</t>
  </si>
  <si>
    <t>Salas.Especializadas</t>
  </si>
  <si>
    <t>Salas.Acústicas</t>
  </si>
  <si>
    <t>Salas com tratamento acústico especializado. Ambiente de gravação, câmaras anecóicas, reverberantes, etc.</t>
  </si>
  <si>
    <t>Salas con tratamiento acústico especializado. Salas de grabación, cámaras anecoicas, reverberantes, etc.</t>
  </si>
  <si>
    <t>Salas.Grandes</t>
  </si>
  <si>
    <t>Grandes salas de teatro, cinema, etc.</t>
  </si>
  <si>
    <t>Grandes salas de teatros, cines, etc.</t>
  </si>
  <si>
    <t>Salas.Expositivas</t>
  </si>
  <si>
    <t>Salas de museus, exposições, etc.</t>
  </si>
  <si>
    <t>Salas de museos, exposiciones, etc.</t>
  </si>
  <si>
    <t>Esportivos</t>
  </si>
  <si>
    <t>Local.Esportivo</t>
  </si>
  <si>
    <t>Ambientes com instalações para o esporte, etc.</t>
  </si>
  <si>
    <t>Ambientes con instalaciones para deportes, etc.</t>
  </si>
  <si>
    <t>Banheiros</t>
  </si>
  <si>
    <t>Banheiro.Masculino</t>
  </si>
  <si>
    <t>Ambiente tipo sanitário masculino.</t>
  </si>
  <si>
    <t>Ambiente tipo sanitario masculino.</t>
  </si>
  <si>
    <t>Banheiro.Feminino</t>
  </si>
  <si>
    <t>Ambiente tipo sanitário feminino.</t>
  </si>
  <si>
    <t>Ambiente tipo sanitario femenino.</t>
  </si>
  <si>
    <t>Banheiro.Acessível</t>
  </si>
  <si>
    <t>Ambiente tipo sanitário acessível para pessoas com necessidades especiais (PNE).</t>
  </si>
  <si>
    <t>Ambiente sanitario accesible para personas con necesidades especiales (PNE).</t>
  </si>
  <si>
    <t>Banheiro</t>
  </si>
  <si>
    <t>Ambiente tipo sanitário indiferenciado.</t>
  </si>
  <si>
    <t>Ambiente sanitario indiferenciado.</t>
  </si>
  <si>
    <t>Administrativos</t>
  </si>
  <si>
    <t>Sala.Administrativa</t>
  </si>
  <si>
    <t>Ambientes administrativos.</t>
  </si>
  <si>
    <t>Ambiente administrativos.</t>
  </si>
  <si>
    <t>Sala.de.Produção</t>
  </si>
  <si>
    <t>Ambiente para produção como cozinhas de restaurantes, oficinas, etc.</t>
  </si>
  <si>
    <t>Ambiente para producción como cocinas de restaurantes, talleres, etc.</t>
  </si>
  <si>
    <t>Sala.Funcional</t>
  </si>
  <si>
    <t>Espaço dedicado à ancoragem das embarcações dentro de um porto ou área gerenciada.</t>
  </si>
  <si>
    <t>Ambiente dedicado al fondeo de buques dentro de un puerto o zona gestionada.</t>
  </si>
  <si>
    <t>Sala.Interna</t>
  </si>
  <si>
    <t>Espaço dentro de uma instalação.</t>
  </si>
  <si>
    <t>Ambiente dentro de una instalación.</t>
  </si>
  <si>
    <t>Sala.Utilizável</t>
  </si>
  <si>
    <t>Qualquer espaço que não se insere em outra categoria.</t>
  </si>
  <si>
    <t>Cualquier espacio que no pertenezca a otra categoría.</t>
  </si>
  <si>
    <t>Residenciais</t>
  </si>
  <si>
    <t>Local.Social</t>
  </si>
  <si>
    <t>Ambiente residencial social - Salas, Varandas, Espaços de recepção, etc.</t>
  </si>
  <si>
    <t>Ambiente residencial social - Habitaciones, Balcones, Espacios de recepción, etc.</t>
  </si>
  <si>
    <t>Local.Intimo</t>
  </si>
  <si>
    <t>Ambiente residencial íntimo - Quartos, Vestidores, etc.</t>
  </si>
  <si>
    <t>Ambiente residencial íntimo - Dormitorios, vestidores, etc.</t>
  </si>
  <si>
    <t>Local.Higiene</t>
  </si>
  <si>
    <t>Ambiente residencial de higiene - Banheiros, WC, etc.</t>
  </si>
  <si>
    <t>Ambiente residencial de higiene - Baños, aseos, etc.</t>
  </si>
  <si>
    <t>Local.Serviço</t>
  </si>
  <si>
    <t>Ambiente residencial de serviço - Areas, Cozinhas, etc.</t>
  </si>
  <si>
    <t>Ambiente residencial de servicios - Lavaderos, Cocinas, etc.</t>
  </si>
  <si>
    <t>Hospitalares</t>
  </si>
  <si>
    <t>Sala.Consulta</t>
  </si>
  <si>
    <t>Ambiente hospitalar de consulta.</t>
  </si>
  <si>
    <t>Ambiente de consulta hospitalaria.</t>
  </si>
  <si>
    <t>Sala.Quirúrgico</t>
  </si>
  <si>
    <t>Ambiente hospitalar quirúrgico.</t>
  </si>
  <si>
    <t>Ambiente hospitalario quirúrgico.</t>
  </si>
  <si>
    <t>Sala.Triagem</t>
  </si>
  <si>
    <t>Ambiente hospitalar de triagem.</t>
  </si>
  <si>
    <t>Ambiente de triaje hospitalario.</t>
  </si>
  <si>
    <t>Escolares</t>
  </si>
  <si>
    <t>Sala.Aula</t>
  </si>
  <si>
    <t>Ambiente escolar tipo sala de aula geral.</t>
  </si>
  <si>
    <t>Ambiente escolar para clases de temas generales.</t>
  </si>
  <si>
    <t>Sala.Aula.Arte</t>
  </si>
  <si>
    <t>Ambiente escolar tipo sala de aula de artes (plásticas, música, etc.).</t>
  </si>
  <si>
    <t>Ambiente escolar tipo laboratorios para clases de arte (plástica, música, etc.).</t>
  </si>
  <si>
    <t>Sala.Aula.Ciência</t>
  </si>
  <si>
    <t>Ambiente escolar laboratórios de aulas de ciências.</t>
  </si>
  <si>
    <t>Ambiente escolar tipo laboratorios para clases de ciencias.</t>
  </si>
  <si>
    <t>Sala.Aula.Informática</t>
  </si>
  <si>
    <t>Ambiente escolar laboratórios de informática.</t>
  </si>
  <si>
    <t>Ambiente escolar tipo laboratorios para clases de informática.</t>
  </si>
  <si>
    <t>Teatrais</t>
  </si>
  <si>
    <t>Bilheteria</t>
  </si>
  <si>
    <t>Ambiente preparado para a venda de ingressos.</t>
  </si>
  <si>
    <t>Entorno preparado para la venta de entradas.</t>
  </si>
  <si>
    <t>Foyer</t>
  </si>
  <si>
    <t>Hall de entrada, onde o público aguarda antes do espetáculo ou durante as pausas do espetáculo.</t>
  </si>
  <si>
    <t>Hall de entrada, donde el público espera antes del espectáculo o durante los descansos del espectáculo.</t>
  </si>
  <si>
    <t>Saída.de.Emergência</t>
  </si>
  <si>
    <t>Ambiente de circulação obrigatório preparado para escape em caso de siniestro.</t>
  </si>
  <si>
    <t>Entorno de conducción obligatorio preparado para escapar en caso de accidente.</t>
  </si>
  <si>
    <t>Camarim</t>
  </si>
  <si>
    <t>Ambiente destinado à preparação dos artistas.</t>
  </si>
  <si>
    <t>Entorno para la preparación de artistas.</t>
  </si>
  <si>
    <t>Proscênio</t>
  </si>
  <si>
    <t>Parte frontal do palco, próxima à plateia. Integra arquitetonicamente à cena cumprindo funções estéticas e acústicas, chamada também de boca de cena.</t>
  </si>
  <si>
    <t>Frente al escenario, cerca de la audiencia. Se integra arquitectónicamente en la escena, cumpliendo funciones estéticas y acústicas, también llamada boca escénica.</t>
  </si>
  <si>
    <t>Palco</t>
  </si>
  <si>
    <t>Espaço exposto aos espectadores, onde os atores se apresentam. Pode ser elevado, plano, giratório, italiano, arena, entre outros formatos.</t>
  </si>
  <si>
    <t>Espacio expuesto a los espectadores, donde actúan los actores. Puede ser elevado, plano, giratorio, italiano, arena, entre otros formatos.</t>
  </si>
  <si>
    <t>Fundo.do.Palco</t>
  </si>
  <si>
    <t>Espaço oculto e posterior ao palco, atrás da área de atuação dos artistas. Pode abrigar diversos elementos cenográficos, técnicos e funcionais à peça.</t>
  </si>
  <si>
    <t>Espacio oculto y de vuelta al escenario, detrás del área de actuación de los artistas. Puede albergar varios elementos escenográficos, técnicos y funcionales a la pieza.</t>
  </si>
  <si>
    <t>Coxia</t>
  </si>
  <si>
    <t>Espaços laterais do palco, usados para a entrada e saída dos artistas.</t>
  </si>
  <si>
    <t>Espacios laterales del escenario, utilizados para la entrada y salida de los artistas.</t>
  </si>
  <si>
    <t>Foso</t>
  </si>
  <si>
    <t>Espaço entre a plateia e o palco, normalmente abaixo do palco, para acomodar a orquestra durante um espetáculo musical ou de dança.</t>
  </si>
  <si>
    <t>Espacio entre el público y el escenario, generalmente debajo del escenario, para acomodar a la orquesta durante una actuación musical o de danza.</t>
  </si>
  <si>
    <t>Plateia</t>
  </si>
  <si>
    <t>Espaço no nível do palco, onde o público se acomoda com visão frontal ao palco.</t>
  </si>
  <si>
    <t>Espacio a nivel del escenario, donde se sienta el público con vista al frente del escenario.</t>
  </si>
  <si>
    <t>Balção</t>
  </si>
  <si>
    <t>Espaço integrado à plateia, mas em nível superior onde o público se acomoda com visão frontal do palco.</t>
  </si>
  <si>
    <t>Espacio integrado al público, pero en un nivel superior donde el público se acomoda con una vista frontal del escenario.</t>
  </si>
  <si>
    <t>Camarote</t>
  </si>
  <si>
    <t>Espaço integrado à sala de espetáculo, geralmente reservado e com melhor visibilidade e conforto.</t>
  </si>
  <si>
    <t>Espacio integrado en la sala de conciertos, normalmente reservado y con mejor visibilidad y comodidad.</t>
  </si>
  <si>
    <t>Galeria</t>
  </si>
  <si>
    <t>Espaços superiores para acomodar o público com preços mais acessíveis.</t>
  </si>
  <si>
    <t>Espacios superiores para acoger al público a precios más asequibles.</t>
  </si>
  <si>
    <t>Unidades.Prediais</t>
  </si>
  <si>
    <t>Autônomas</t>
  </si>
  <si>
    <t>Apartamento</t>
  </si>
  <si>
    <t>Uma unidade residencial.</t>
  </si>
  <si>
    <t>Um unidad residencial tipo departamento.</t>
  </si>
  <si>
    <t>Corpo.Edificado</t>
  </si>
  <si>
    <t>Representa um corpo edificado que contem outras unidades autônomas.</t>
  </si>
  <si>
    <t>Representa un cuerpo edificado que contiene otras unidades autónomas.</t>
  </si>
  <si>
    <t>Loft</t>
  </si>
  <si>
    <t>Zonificação</t>
  </si>
  <si>
    <t>Zonas.Construtivas</t>
  </si>
  <si>
    <t>Zona.Espacial</t>
  </si>
  <si>
    <t>Zona espacial é uma decomposição não hierárquica e potencialmente sobreposta do projeto sob alguma condição.</t>
  </si>
  <si>
    <t>La zona espacial es una descomposición no jerárquica y potencialmente superpuesta del proyecto bajo alguna condición.</t>
  </si>
  <si>
    <t>Zona.de.Construção</t>
  </si>
  <si>
    <t>Zona espacial é usada para representar uma zona de construção para o processo de fabricação.</t>
  </si>
  <si>
    <t>La zona espacial se utiliza para representar una zona de construcción para el proceso de fabricación.</t>
  </si>
  <si>
    <t>Zona.de.Interferência</t>
  </si>
  <si>
    <t>Zona espacial é usada para definir uma interferência entre ocorrências de Ifcspatialelement.</t>
  </si>
  <si>
    <t>La zona espacial se utiliza para definir una interferencia entre las ocurrencias de Ifcspatialelement].</t>
  </si>
  <si>
    <t>Zona.de.Ocupação</t>
  </si>
  <si>
    <t>Zona espacial é usada para representar uma zona de ocupação particular.</t>
  </si>
  <si>
    <t>La zona espacial se utiliza para representar una zona de ocupación determinada.</t>
  </si>
  <si>
    <t>Zona.de.Reserva</t>
  </si>
  <si>
    <t>Zona espacial que representa algum tipo de reserva dentro do projeto para uso futuro.</t>
  </si>
  <si>
    <t>Una zona espacial que representa algún tipo de reserva dentro de la extensión del proyecto.</t>
  </si>
  <si>
    <t>Zona.de.Transporte</t>
  </si>
  <si>
    <t>Zona espacial é usada para representar uma área primariamente dedicada à circulação de pessoas ou veículos.</t>
  </si>
  <si>
    <t>La zona espacial se utiliza para representar un área dedicada principalmente al movimiento de personas.</t>
  </si>
  <si>
    <t>Zonas.de.Sistemas</t>
  </si>
  <si>
    <t>Zona.de.Térmica</t>
  </si>
  <si>
    <t>Zona espacial é usada para representar uma zona térmica com características homogêneas.</t>
  </si>
  <si>
    <t>La zona espacial se utiliza para representar una zona térmica.</t>
  </si>
  <si>
    <t>Zona.de.Iluminação</t>
  </si>
  <si>
    <t>Zona espacial é usada para representar uma zona de iluminação; uma zona de luz natural.</t>
  </si>
  <si>
    <t>La zona espacial se utiliza para representar una zona de iluminación; una zona de luz natural.</t>
  </si>
  <si>
    <t>Zona.de.Ventilação</t>
  </si>
  <si>
    <t>Zona espacial é usada para representar uma zona de ventilação.</t>
  </si>
  <si>
    <t>La zona espacial se utiliza para representar una zona de ventilación.</t>
  </si>
  <si>
    <t>Zonas.de.Segurança</t>
  </si>
  <si>
    <t>Zona.de.Segurança.Incêndio</t>
  </si>
  <si>
    <t>Zona espacial é usada para representar uma zona de segurança contra incêndios, ou compartimento.</t>
  </si>
  <si>
    <t>La zona espacial se utiliza para representar una zona de seguridad contra incendios o compartimento.</t>
  </si>
  <si>
    <t>Zona.de.Segurança</t>
  </si>
  <si>
    <t>Zona espacial é usada para representar uma zona para planejamento de segurança e trabalho, acessos, etc.</t>
  </si>
  <si>
    <t>La zona espacial se utiliza para representar una zona de seguridad y planificación del trabajo.</t>
  </si>
  <si>
    <t>Zona.de.Biosegurança</t>
  </si>
  <si>
    <t>Laboratório.NB1 or Laboratório.NB2 or Laboratório.NB3 or Laboratório.NB4</t>
  </si>
  <si>
    <t>Zona espacial é usada para representar uma zona de biosegurança, normalmente onde a ventilação é crítica.</t>
  </si>
  <si>
    <t>La zona espacial se utiliza para representar una zona de bioseguridad, donde las ventilaciones son críticas.</t>
  </si>
  <si>
    <t>Composições</t>
  </si>
  <si>
    <t>Camadas.Estruturantes</t>
  </si>
  <si>
    <t>Estruturantes</t>
  </si>
  <si>
    <t>Painel.Maciço</t>
  </si>
  <si>
    <t>Painel pré-fabricado de concreto de alto desempenho maciço.</t>
  </si>
  <si>
    <t>Panel sólido de hormigón prefabricado de alto rendimiento.</t>
  </si>
  <si>
    <t>Painel.Alveolar</t>
  </si>
  <si>
    <t>Painel pré-fabricado de concreto protendido alveolar.</t>
  </si>
  <si>
    <t>Panel prefabricado de hormigón pretensado en nido de abeja.</t>
  </si>
  <si>
    <t>Parede.CA</t>
  </si>
  <si>
    <t xml:space="preserve">Paredes estruturais moldadas in loco de concreto armado. </t>
  </si>
  <si>
    <t>Muros estructurales moldeados in situ de hormigón armado.</t>
  </si>
  <si>
    <t>Bloco.CCA</t>
  </si>
  <si>
    <t>Blocos de concreto celular autoclavado (CCA). Isolamento térmico e acústico para paredes de vedação.</t>
  </si>
  <si>
    <t>Bloques de hormigón celular autoclavado (CCA). Aislamiento térmico y acústico para paredes internas no portantes.</t>
  </si>
  <si>
    <t>Bloco.Concreto.Estrutural</t>
  </si>
  <si>
    <t>Blocos de concreto estrutural.</t>
  </si>
  <si>
    <t>Bloques de hormigón portantes.</t>
  </si>
  <si>
    <t>Bloco.Concreto.Vedação</t>
  </si>
  <si>
    <t>Blocos de concreto para vedação.</t>
  </si>
  <si>
    <t>Bloques de hormigón para cerramientos.</t>
  </si>
  <si>
    <t>Bloco.Gesso.Maciço</t>
  </si>
  <si>
    <t>Blocos de gesso maciço para paredes internas não portantes. Rapidez de execução e obtenção de parede limpa e lisa.</t>
  </si>
  <si>
    <t>Bloques de yeso macizo para paredes internas no portantes. Rapidez de ejecución y obtención de una pared limpia y lisa.</t>
  </si>
  <si>
    <t>Bloco.Gesso.Alveolar</t>
  </si>
  <si>
    <t>Blocos de gesso vazado para paredes internas não portantes. Rapidez de execução e obtenção de parede limpa e lisa.</t>
  </si>
  <si>
    <t>Bloques de yeso huecos para paredes internas no portantes. Rapidez de ejecución y obtención de una pared limpia y lisa.</t>
  </si>
  <si>
    <t>Tijolo.Comúm</t>
  </si>
  <si>
    <t>Blocos de tijolo cerâmico común. De acordo a Norma NBR 15270-1.</t>
  </si>
  <si>
    <t>Bloques cerámicos común. Según la norma NBR 15270-1.</t>
  </si>
  <si>
    <t>Tijolo.Laminado</t>
  </si>
  <si>
    <t>Blocos de tijolo cerâmico maciço para alvenarias aparentes.</t>
  </si>
  <si>
    <t>Bloques cerámicos macizos para mampostería a la vista.</t>
  </si>
  <si>
    <t>Tijolo.Refratário</t>
  </si>
  <si>
    <t>Blocos cerâmicos refratários para fornos, lareiras ou exposição ao fogo.</t>
  </si>
  <si>
    <t xml:space="preserve">Bloques cerámicos refractários para hornos, hogares o expuestos al fuego. </t>
  </si>
  <si>
    <t>Tijolo.Ecológico</t>
  </si>
  <si>
    <t>Blocos de tijolo furado de solo-cimento prensado em prensa hidráulica, com encaixe vertical tipo macho e fêmea, dispensa argamassa de assentamento. Chamado 'Tijolito', foi desenvolvido pela Andrade Gutierrez e o prof. João B. Santos de Assis da PUC Minas.</t>
  </si>
  <si>
    <t>Bloques de ladrillo perforados de suelo-cemento con encaje vertical tipo machihembrado, no necesita mortero de asentar. Llamado 'Tijolito', fue desarrollado por Andrade Gutierrez y el prof. João B. Santos de Assis de PUC Minas.</t>
  </si>
  <si>
    <t>Bloco.Furado</t>
  </si>
  <si>
    <t>Blocos de tijolo cerâmico furado e com ranhuras na superfícies. Também chamado tijolo baiano. De acordo a Norma NBR 15270-1.</t>
  </si>
  <si>
    <t>Bloques de ladrillo cerámico perforados y ranurados en las superficies. También llamado ladrillo bahiano. Según la norma NBR 15270-1.</t>
  </si>
  <si>
    <t>Canaleta.J</t>
  </si>
  <si>
    <t>Canaleta cerâmica J para construção de cintas e finalização da borda da laje.</t>
  </si>
  <si>
    <t>Canaleta cerámica con forma de J.</t>
  </si>
  <si>
    <t>Canaleta.U</t>
  </si>
  <si>
    <t>Canaleta cerâmica U para construção de vergas e contravergas em aberturas de paredes.</t>
  </si>
  <si>
    <t>Canaleta cerámica con forma de U.</t>
  </si>
  <si>
    <t>Cobogô</t>
  </si>
  <si>
    <t>Bloco de tijolo vazado para fachadas ou interiores. Podem ser rústicos ou esmaltados. O nome 'Cobogó' refere-se aos seus criadores Coimbra, Boeckmann e de Góis.</t>
  </si>
  <si>
    <t>Bloque de ladrillo hueco para fachadas ou interiores. Pueden ser rústicas o acristaladas. El nombre 'Cobogó' hace referencia a sus creadores Coimbra, Boeckmann y Góis.</t>
  </si>
  <si>
    <t>Tijolo.Vidro</t>
  </si>
  <si>
    <t>Bloco de tijolo de vidro para fachadas ou interiores.</t>
  </si>
  <si>
    <t>Bloques de vidrio para fachadas o interiores.</t>
  </si>
  <si>
    <t>Camadas.Internas</t>
  </si>
  <si>
    <t>Argamassas</t>
  </si>
  <si>
    <t>Assentamento.De.Parede</t>
  </si>
  <si>
    <t>Argamassa para assentamento de tijolos e blocos.</t>
  </si>
  <si>
    <t>Mortero para la colocación de ladrillos y bloques.</t>
  </si>
  <si>
    <t>De.Parede.Colante</t>
  </si>
  <si>
    <t>Argamassa para colar peças cerámicas ou porcelanatos em paredes.</t>
  </si>
  <si>
    <t>Mortero para pegar piezas cerámicas o porcelanatos en paredes.</t>
  </si>
  <si>
    <t>De.Parede.Polimérica</t>
  </si>
  <si>
    <t>Argamassa polimérica para camadas de isolamento.</t>
  </si>
  <si>
    <t>Mortero polimérico para capas aislantes.</t>
  </si>
  <si>
    <t>De.Parede.Baritada</t>
  </si>
  <si>
    <t>Argamassa utilizada para proteção radiológica. Usar em paredes de salas de radioterapia, radiologia, medicina nuclear de centros de saúde.</t>
  </si>
  <si>
    <t>Mortero utilizado para protección radiológica. Usar en paredes de salas de radioterapia, radiología, medicina nuclear de centros de salud.</t>
  </si>
  <si>
    <t>De.Piso.Colante</t>
  </si>
  <si>
    <t>Argamassa para colar peças cerámicas ou porcelanatos em pisos.</t>
  </si>
  <si>
    <t>Mortero para pegar piezas cerámicas o porcelanatos en pisos.</t>
  </si>
  <si>
    <t>De.Piso.Polimérica</t>
  </si>
  <si>
    <t>Mortero polimérico para capas aislantes de pisos.</t>
  </si>
  <si>
    <t>De.Piso.Baritada</t>
  </si>
  <si>
    <t>Argamassa utilizada para proteção radiológica. Usar em pisos de salas de radioterapia, radiologia, medicina nuclear de centros de saúde.</t>
  </si>
  <si>
    <t>Mortero utilizado para protección radiológica. Usar en pisos de salas de radioterapia, radiología, medicina nuclear de centros de salud.</t>
  </si>
  <si>
    <t>Chapisco</t>
  </si>
  <si>
    <t>Argamassa para chapiscar paredes.</t>
  </si>
  <si>
    <t>Mortero para salpicar paredes.</t>
  </si>
  <si>
    <t>Emboço</t>
  </si>
  <si>
    <t>Argamassa para de emboço regularizadora da superfície da parede.</t>
  </si>
  <si>
    <t>Mortero para enlucir la superficie a regularizar las paredes.</t>
  </si>
  <si>
    <t>Reboco</t>
  </si>
  <si>
    <t>Argamassa para reboco final da parede.</t>
  </si>
  <si>
    <t>Mortero para enlucido final de las paredes.</t>
  </si>
  <si>
    <t>Niveladora</t>
  </si>
  <si>
    <t>Argamassa para os contrapisos.</t>
  </si>
  <si>
    <t>Mortero para los contrapisos.</t>
  </si>
  <si>
    <t>Graute</t>
  </si>
  <si>
    <t>Argamassa de grauteamento para preenchimento de cavidades em estruturas.</t>
  </si>
  <si>
    <t>Mortero de rejuntado para el relleno de cavidades en estructuras.</t>
  </si>
  <si>
    <t>Colas</t>
  </si>
  <si>
    <t>Cola.Madeira</t>
  </si>
  <si>
    <t>Adesivo especialmente formulado para madeiras.</t>
  </si>
  <si>
    <t>Pegamento especialmente formulado para maderas.</t>
  </si>
  <si>
    <t>Cola.Metal</t>
  </si>
  <si>
    <t>Adesivo especialmente formulado para metais.</t>
  </si>
  <si>
    <t>Pegamento especialmente formulado para metales.</t>
  </si>
  <si>
    <t>Cola.Textil</t>
  </si>
  <si>
    <t>Adesivo especialmente formulado para texteis.</t>
  </si>
  <si>
    <t>Pegamento especialmente formulado para textiles.</t>
  </si>
  <si>
    <t>Cola.Espuma</t>
  </si>
  <si>
    <t>Adesivo especialmente formulado para espumas.</t>
  </si>
  <si>
    <t>Pegamento especialmente formulado para espumas.</t>
  </si>
  <si>
    <t>Cola.Louça</t>
  </si>
  <si>
    <t>Adesivo especialmente formulado para louças.</t>
  </si>
  <si>
    <t>Pegamento especialmente formulado para porcelanas.</t>
  </si>
  <si>
    <t>Cavidades</t>
  </si>
  <si>
    <t>Ar.Térmica</t>
  </si>
  <si>
    <t>Camada de cavidade de ar na parede para finalidade térmica.</t>
  </si>
  <si>
    <t>Cámara de aire en la pared para finalidad térmica.</t>
  </si>
  <si>
    <t>Ar.Acústica</t>
  </si>
  <si>
    <t>Camada de cavidade de ar na parede para finalidade acústica.</t>
  </si>
  <si>
    <t>Cámara de aire en la pared para finalidad acústica.</t>
  </si>
  <si>
    <t>Mantas</t>
  </si>
  <si>
    <t>Manta.Piso.Acústico</t>
  </si>
  <si>
    <t>Camada de membrana contínua tipo manta isolante acústica.</t>
  </si>
  <si>
    <t>Manta aislante acústica tipo capa de membrana continua.</t>
  </si>
  <si>
    <t>Manta.Piso.Hidrófugo</t>
  </si>
  <si>
    <t>Camada de membrana contínua tipo manta isolante hidrófuga.</t>
  </si>
  <si>
    <t>Manta aislante hidrófuga tipo capa de membrana continua.</t>
  </si>
  <si>
    <t>Manta.Piso.Térmico</t>
  </si>
  <si>
    <t>Camada de membrana contínua tipo manta isolante térmica.</t>
  </si>
  <si>
    <t>Manta aislante térmica tipo capa de membrana continua.</t>
  </si>
  <si>
    <t>Camadas.Externas</t>
  </si>
  <si>
    <t>Acessíveis</t>
  </si>
  <si>
    <t>Piso.Tátil.Alerta</t>
  </si>
  <si>
    <t>Camada de piso acessível tátil de alerta.</t>
  </si>
  <si>
    <t>Capa de banda de rodadura accesible de alerta táctil.</t>
  </si>
  <si>
    <t>Piso.Tátil.Direcional</t>
  </si>
  <si>
    <t>Camada de piso acessível tátil de direção.</t>
  </si>
  <si>
    <t>Capa de banda de rodadura accesible direccional táctil.</t>
  </si>
  <si>
    <t>Resistentes</t>
  </si>
  <si>
    <t>Piso.Asfaltado</t>
  </si>
  <si>
    <t>Camada de piso de alta resistência asfaltado de alta resistência para tráfico veicular.</t>
  </si>
  <si>
    <t>Capa de suelo asfáltico de alta resistencia para el tráfico rodado.</t>
  </si>
  <si>
    <t>Piso.Concretado</t>
  </si>
  <si>
    <t>Camada de piso de alta resistência concretado para tráfico veicular.</t>
  </si>
  <si>
    <t>Capa de suelo hormigonado de alta resistencia para el tráfico rodado.</t>
  </si>
  <si>
    <t>Piso.Automotivo</t>
  </si>
  <si>
    <t>Camada de piso de alta resistência de placas para suporte veicular.</t>
  </si>
  <si>
    <t>Capa de piso de placa de alta resistencia para soporte de vehículos.</t>
  </si>
  <si>
    <t>Piso.Bloquete.Carro</t>
  </si>
  <si>
    <t>Camada de piso drenante de bloquetes de concreto de alta resistência para suporte veicular.</t>
  </si>
  <si>
    <t>Capa de piso drenante de bloques de concreto de alta resistencia para soporte vehicular.</t>
  </si>
  <si>
    <t>Drenantes</t>
  </si>
  <si>
    <t>Piso.Intertravado</t>
  </si>
  <si>
    <t>Camada de piso intertravado para calçadas de pedestres.</t>
  </si>
  <si>
    <t>Capa de piso entrelazada para aceras peatonales.</t>
  </si>
  <si>
    <t>Piso.Fulget</t>
  </si>
  <si>
    <t>Camada de piso drenante tipo fulget para jardins, piscinas e exteriores.</t>
  </si>
  <si>
    <t>Capa de suelo drenante tipo fulget para jardines, piscinas y exteriores.</t>
  </si>
  <si>
    <t>Piso.Bloquete.Grama</t>
  </si>
  <si>
    <t>Camada de piso drenante tipo bloquetes vazados para permitir o crescimento de grama entre as peças.</t>
  </si>
  <si>
    <t>Capa de drenaje de piso tipo bloques huecos para permitir que el césped crezca entre las piezas.</t>
  </si>
  <si>
    <t>Paginadas</t>
  </si>
  <si>
    <t>Piso.Cerâmico</t>
  </si>
  <si>
    <t>Camada de piso paginado em peças cerâmicas.</t>
  </si>
  <si>
    <t>Capa de pavimento paginado en piezas cerámicas.</t>
  </si>
  <si>
    <t>Piso.Porcelanato</t>
  </si>
  <si>
    <t>Camada de piso paginado em peças de porcelanato.</t>
  </si>
  <si>
    <t>Capa de suelo paginado en gres porcelánico.</t>
  </si>
  <si>
    <t>Piso.Taco</t>
  </si>
  <si>
    <t>Camada de piso de taco de madeira.</t>
  </si>
  <si>
    <t>Capa de suelo de parquet de madera.</t>
  </si>
  <si>
    <t>Piso.Vinílico</t>
  </si>
  <si>
    <t>Camada de piso vinílico.</t>
  </si>
  <si>
    <t>Capa de suelo de vinilo.</t>
  </si>
  <si>
    <t>Piso.Pedra.Natural</t>
  </si>
  <si>
    <t>Camada de piso de pedra natural, tipo granitos, mármores, ardózias, etc.</t>
  </si>
  <si>
    <t>Capa de pavimentos de piedra natural, como granitos, mármoles, pizarras, etc.</t>
  </si>
  <si>
    <t>Piso.Pedra.Sintética</t>
  </si>
  <si>
    <t xml:space="preserve">Camada de piso de pedras sintéticas tipo Silestone, </t>
  </si>
  <si>
    <t>Capa de rodadura de piedra sintética tipo Silestone,</t>
  </si>
  <si>
    <t>Piso.Elevado</t>
  </si>
  <si>
    <t>Camada de piso elevados para escritórios e datacenters.</t>
  </si>
  <si>
    <t>Capa de piso elevado para oficinas y centros de datos.</t>
  </si>
  <si>
    <t>Piso.Vidro</t>
  </si>
  <si>
    <t>Camada de piso de elementos translúcidos ou transparentes como bloques de vidros ou vidros especiais.</t>
  </si>
  <si>
    <t>Capa de suelo de elementos translúcidos o transparentes como bloques de vidrio o vidrios especiales.</t>
  </si>
  <si>
    <t>Piso.Gradil</t>
  </si>
  <si>
    <t>Camada de piso de elemento gradil de aço carbono de alta resistência SAE 1045 e perfis estruturais.</t>
  </si>
  <si>
    <t>Capa de suelo de elemento tipo reja de acero carbono de alta resistencia SAE 1045 y perfiles estructurales.</t>
  </si>
  <si>
    <t>Rodapé.Cerâmico</t>
  </si>
  <si>
    <t>Rodapé para piso paginado em peças cerâmicas.</t>
  </si>
  <si>
    <t>Zócalo paginado en piezas cerámicas.</t>
  </si>
  <si>
    <t>Rodapé.Porcelanato</t>
  </si>
  <si>
    <t>Rodapé para piso paginado em peças de porcelanato.</t>
  </si>
  <si>
    <t>Zócalo paginado en gres porcelánico.</t>
  </si>
  <si>
    <t>Rodapé.Taco</t>
  </si>
  <si>
    <t>Rodapé para piso de taco de madeira.</t>
  </si>
  <si>
    <t>Zócalo de parquet de madera.</t>
  </si>
  <si>
    <t>Rodapé.Vinílico</t>
  </si>
  <si>
    <t>Rodapé para piso vinílico.</t>
  </si>
  <si>
    <t>Zócalo de piso vinílico.</t>
  </si>
  <si>
    <t>Rodapé.Pedra.Natural</t>
  </si>
  <si>
    <t>Rodapé para piso de pedra natural, tipo granitos, mármores, ardózias, etc.</t>
  </si>
  <si>
    <t>Zócalo de piedra natural, como granitos, mármoles, pizarras, etc.</t>
  </si>
  <si>
    <t>Rodapé.Pedra.Sintética</t>
  </si>
  <si>
    <t xml:space="preserve">Rodapé para piso de pedras sintéticas tipo Silestone, </t>
  </si>
  <si>
    <t>Zócalo de piedra sintética tipo Silestone,</t>
  </si>
  <si>
    <t>Parede.Cerâmica</t>
  </si>
  <si>
    <t>Revestimento de peças cerâmicas paginadas na parede.</t>
  </si>
  <si>
    <t>Revestimiento de piezas cerámicas paginadas en la pared.</t>
  </si>
  <si>
    <t>Parede.Porcelanato</t>
  </si>
  <si>
    <t>Revestimento de peças de porcelanato paginados na parede.</t>
  </si>
  <si>
    <t>Revestimiento de gres porcelánico paginada en la pared.</t>
  </si>
  <si>
    <t>Parede.Azulejada</t>
  </si>
  <si>
    <t>Revestimento formado por peças de azulejos para superfícies impermeáveis como banheiros ou cómodos hidráulicos.</t>
  </si>
  <si>
    <t>Revestimiento formado por piezas de baldosas para superficies impermeables como baños o locales con instalaciones hidráulicas.</t>
  </si>
  <si>
    <t>Parede.Hidráulica</t>
  </si>
  <si>
    <t>Revestimento formado por peças de ladrilhos vítreos para superfícies impermeáveis como banheiros ou cómodos hidráulicos.</t>
  </si>
  <si>
    <t>Revestimiento formado por piezas de baldosas vítreas para superficies impermeables como baños o locales con instalaciones hidráulicas.</t>
  </si>
  <si>
    <t>Parede.Lambri</t>
  </si>
  <si>
    <t xml:space="preserve">Revestimento projetado com réguas de madeira, MDF, PVC, gesso ou material metálico. </t>
  </si>
  <si>
    <t>Revestimiento projetado con tablas finas de madera, MDF, PVC, yeso o material metálico.</t>
  </si>
  <si>
    <t>Parede.Emplacada</t>
  </si>
  <si>
    <t>Revestimento projetado com placas com função decorativa, acústica, térmica, etc.</t>
  </si>
  <si>
    <t>Revestimiento projetado con placas con función decorativa, acústica, térmica, etc.</t>
  </si>
  <si>
    <t>Parede.Painel</t>
  </si>
  <si>
    <t>Painel projetado com função decorativa, acústica, térmica, etc.</t>
  </si>
  <si>
    <t>Panel proyectado con parafunción decorativa, acústica, térmica, etc.</t>
  </si>
  <si>
    <t>Parede.Alucobond</t>
  </si>
  <si>
    <t xml:space="preserve">Revestimento para paredes exteriores em sistemas ventilados ou diretamente aplicados. Alumínio composto (ACM) de alta resistência às intempéries, raios UV e corrosão. </t>
  </si>
  <si>
    <t>Revestimiento para paredes exteriores en sistemas ventilados o de aplicación directa. Aluminio compuesto (ACM) con alta resistencia a la intemperie, a los rayos UV y a la corrosión.</t>
  </si>
  <si>
    <t>Parede.Fachada</t>
  </si>
  <si>
    <t xml:space="preserve">Revestimento para fachada ventilada formado por peças com camada fotocatalítica que decompõe materiais orgânicos facilitando a sua remoção pela chuva (hidrofilicidade). </t>
  </si>
  <si>
    <t>Revestimiento para fachada ventilada formado por piezas con capa fotocatalítica que descompone materiales orgánicos facilitando su lavado con el agua de lluvia. (hidrofilicidade).</t>
  </si>
  <si>
    <t>Contínuas</t>
  </si>
  <si>
    <t>Piso.Carpete</t>
  </si>
  <si>
    <t>Camada de piso de material têxtil tipo carpetes.</t>
  </si>
  <si>
    <t>Capa de suelo de material textil como alfombras.</t>
  </si>
  <si>
    <t>Piso.Cimentado</t>
  </si>
  <si>
    <t>Camada de piso contínuos cimentados.</t>
  </si>
  <si>
    <t>Capa de suelo cementado macizo.</t>
  </si>
  <si>
    <t>Piso.Gramado</t>
  </si>
  <si>
    <t>Camada de pisos verdes de grama natural ou artificial.</t>
  </si>
  <si>
    <t>Capa de suelos verdes de césped natural o artificial.</t>
  </si>
  <si>
    <t>Pintura.Primer</t>
  </si>
  <si>
    <t>Demãos de pintura de base usada para preparar a superfície da parede selando porosidades.</t>
  </si>
  <si>
    <t>Capas de pintura base utilizadas para preparar la superficie de la pared sellando las porosidades.</t>
  </si>
  <si>
    <t>Pintura.Proteção</t>
  </si>
  <si>
    <t>Demãos de pintura de proteção anticorrosiva.</t>
  </si>
  <si>
    <t>Capas de pintura de protección anticorrosión.</t>
  </si>
  <si>
    <t>Pintura.Demão.1</t>
  </si>
  <si>
    <t>Demão 1 de pintura de finalização do revestimento, aplicar depois das demãos de primer.</t>
  </si>
  <si>
    <t>Primeira mano de pintura, aplicar después de la capa de imprimación.</t>
  </si>
  <si>
    <t>Pintura.Demão.2</t>
  </si>
  <si>
    <t>Demão 2 de pintura de finalização do revestimento, aplicar depois da demão 1.</t>
  </si>
  <si>
    <t>Segunda mano de pintura, aplicar después de la primera mano.</t>
  </si>
  <si>
    <t>Pintura.Demão.Final</t>
  </si>
  <si>
    <t>Demão de finalização de pintura, aplicar depois da demão 1 ou 2 conforme necessidade.</t>
  </si>
  <si>
    <t>Mano final de pintura, aplicar después de mano 1 o 2 según la necesidad.</t>
  </si>
  <si>
    <t>Lisas</t>
  </si>
  <si>
    <t>Gesso</t>
  </si>
  <si>
    <t>Forro de gesso aplicado sobre o teto.</t>
  </si>
  <si>
    <t>Cielorraso con revestimiento de yeso aplicado.</t>
  </si>
  <si>
    <t>Gesso.Emplacado</t>
  </si>
  <si>
    <t>Forro em placas de gesso.</t>
  </si>
  <si>
    <t>Cielorraso con revestimiento de placas de yeso.</t>
  </si>
  <si>
    <t>Moduladas</t>
  </si>
  <si>
    <t>Placa.EPS</t>
  </si>
  <si>
    <t>Forro modular leve de placas de Isopor.</t>
  </si>
  <si>
    <t>Cielorraso modular ligero de placas de espuma de poliestireno.</t>
  </si>
  <si>
    <t>Placa.Mineral</t>
  </si>
  <si>
    <t>Forro modular de placas de lás minerais bio-solúveis, argila, perlita e aglomerantes orgãnicos com bom desempenho acústico e resistência ao fogo.</t>
  </si>
  <si>
    <t>Cielorraso modular de tableros de lana mineral biosoluble, arcilla, perlita y aglutinantes orgánicos con buen rendimiento acústico y resistencia al fuego.</t>
  </si>
  <si>
    <t>Camadas.Acústicas</t>
  </si>
  <si>
    <t>Acústicas</t>
  </si>
  <si>
    <t>Placa.Espuma</t>
  </si>
  <si>
    <t>Forro acústico adesivado tipo placa de espuma acústica.</t>
  </si>
  <si>
    <t>Cielorraso de espuma acústica adhesivada.</t>
  </si>
  <si>
    <t>Placa.3D</t>
  </si>
  <si>
    <t>Forro acústico adesivado tipo placa com volumetrias 3D piramidais e formatos diversos para absorção sonora.</t>
  </si>
  <si>
    <t>Cielorraso acústico de placas adhesivadas con volúmenes piramidales 3D y varias formas para la absorción del sonido.</t>
  </si>
  <si>
    <t>Placa.Shell</t>
  </si>
  <si>
    <t>Forro acústico adesivado tipo placa com formatos diversos para absorção sonora.</t>
  </si>
  <si>
    <t>Cielorraso acústico de placas adhesivadas con varias formas para absorción acústica.</t>
  </si>
  <si>
    <t>Baffle.Cilíndrico</t>
  </si>
  <si>
    <t>Forro acústico suspenso tipo baffle cilíndrico para controle da inteligibilidade acústica.</t>
  </si>
  <si>
    <t>Cielorraso acústico suspendido con deflector cilíndrico para el control de la inteligibilidad acústica.</t>
  </si>
  <si>
    <t>Baffle.Linear</t>
  </si>
  <si>
    <t>Forro acústico suspenso tipo baffle linear para controle da inteligibilidade acústica.</t>
  </si>
  <si>
    <t>Cielorraso acústico suspendido con deflector lineal para el control de la inteligibilidad acústica.</t>
  </si>
  <si>
    <t>Nuvem.Quadrada</t>
  </si>
  <si>
    <t>Forro acústico suspenso tipo nuvem quadrada para controle da inteligibilidade acústica.</t>
  </si>
  <si>
    <t>Cielorraso acústico suspendido tipo nube cuadrada para el control de la inteligibilidad acústica.</t>
  </si>
  <si>
    <t>Nuvem.Circular</t>
  </si>
  <si>
    <t>Forro acústico suspenso tipo nuvem cilíndrica para controle da inteligibilidade acústica.</t>
  </si>
  <si>
    <t>Cielorraso acústico suspendido tipo nube cilíndrica para el control de la inteligibilidad acústica.</t>
  </si>
  <si>
    <t>Nuvem.Geométrica</t>
  </si>
  <si>
    <t>Forro acústico suspenso tipo nuvem com geometrias diversas para controle da inteligibilidade acústica.</t>
  </si>
  <si>
    <t>Cielorraso acústico suspendido tipo nube con diferentes geometrías para controlar la inteligibilidad acústica.</t>
  </si>
  <si>
    <t>Placas.Cegas</t>
  </si>
  <si>
    <t>Placas</t>
  </si>
  <si>
    <t>Placa.Eucatex</t>
  </si>
  <si>
    <t>é.componente.de some Divisórias</t>
  </si>
  <si>
    <t>Chapa para divisória formada por miolo em colneia e chapas feitas a partir de fibras de eucalipto.</t>
  </si>
  <si>
    <t>Lámina para tabique formada por núcleo de córnea y láminas de fibras de eucalipto.</t>
  </si>
  <si>
    <t>Placa.Metálica</t>
  </si>
  <si>
    <t xml:space="preserve">Chapa para paredes exteriores em sistemas ventilados ou diretamente aplicados. Alumínio composto (ACM) de alta resistência às intempéries, raios UV e corrosão. </t>
  </si>
  <si>
    <t>Lámina para paredes exteriores en sistemas ventilados o de aplicación directa. Aluminio compuesto (ACM) con alta resistencia a la intemperie, a los rayos UV y a la corrosión.</t>
  </si>
  <si>
    <t>Placa.Alumínio.Composto</t>
  </si>
  <si>
    <t>Placa.Laminada.TS</t>
  </si>
  <si>
    <t>Chapa de Laminado Estrutural TS (fórmica maciça) para divisórias sanitárias.</t>
  </si>
  <si>
    <t>TS Lámina Laminada Estructural (formica maciza) para tabiques sanitarios.</t>
  </si>
  <si>
    <t>Placa.Cimentícia</t>
  </si>
  <si>
    <t>Chapa para paredes exteriores em sistemas ventilados ou diretamente aplicados. Produzida com núcleo de cimento Portland aditivado e faces recobertas por malha de fibra de vidro.</t>
  </si>
  <si>
    <t>Lámina para paredes exteriores en sistemas ventilados o de aplicación directa. Producido con núcleo de cemento Portland con aditivos y caras recubiertas por malla de fibra de vidrio.</t>
  </si>
  <si>
    <t>Placa.Gesso.Acartonado</t>
  </si>
  <si>
    <t>Chapa de gesso acartonado para construções à seco.</t>
  </si>
  <si>
    <t>Lámina de paneles de yeso para construcción en seco.</t>
  </si>
  <si>
    <t>Placa.Pedra</t>
  </si>
  <si>
    <t>Chapa de pedra mármore ou granito para divisórias sanitárias.</t>
  </si>
  <si>
    <t>Lámina de piedra de mármol o granito para tabiques sanitarios.</t>
  </si>
  <si>
    <t>Placas.Transparentes</t>
  </si>
  <si>
    <t>Vidros</t>
  </si>
  <si>
    <t>Vidro.Temperado</t>
  </si>
  <si>
    <t>Chapa de vidro temperado.</t>
  </si>
  <si>
    <t>Lámina de vidrio templado.</t>
  </si>
  <si>
    <t>Vidro.Laminado</t>
  </si>
  <si>
    <t>é.componente.de some Aberturas</t>
  </si>
  <si>
    <t>Chapa de vidro laminado.</t>
  </si>
  <si>
    <t>Lámina de vidrio laminado.</t>
  </si>
  <si>
    <t>Vidro.Polarizado</t>
  </si>
  <si>
    <t>Chapa de vidro polarizado. Altera a transparência pela passagem de voltagem. Vidro duplo laminado e com um filme LCD (Liquid Cristal Display) intermedio.</t>
  </si>
  <si>
    <t>Lámina de vidrio polarizado. Cambia la transparencia al pasar voltaje. Doble vidrio laminado y con una película LCD (Liquid Crystal Display) intermedia.</t>
  </si>
  <si>
    <t>Vidro.Low.E</t>
  </si>
  <si>
    <t>Chapa de vidro de baixa emissividad. Reflete raios UV melhorando a sua capacidade de resistência térmica.</t>
  </si>
  <si>
    <t>Lámina de vidrio de baja emisividad. Refleja los rayos UV mejorando su capacidad de resistencia térmica.</t>
  </si>
  <si>
    <t>Vidro.Comúm</t>
  </si>
  <si>
    <t>Chapa de vidro comúm.</t>
  </si>
  <si>
    <t>Placa de vidrio común.</t>
  </si>
  <si>
    <t>Vidro.Plumbífero</t>
  </si>
  <si>
    <t>Chapa de vidro plumbífero para proteção contra os raios X nocivos à saúde. Tem alta capacidade de blindar radiações ionizantes.</t>
  </si>
  <si>
    <t>Lámina de vidrio de plomo para protección contra rayos X nocivos para la salud. Tiene una alta capacidad para proteger la radiación ionizante.</t>
  </si>
  <si>
    <t>Vidro.Serigrafado</t>
  </si>
  <si>
    <t>Chapa de vidro Serigrafado que combina areas transparentes e opacas para o controle lumínico e solar.</t>
  </si>
  <si>
    <t>Lámina de vidrio Serigrafado que combina areas transparentes y opacas para el control lumínico y solar.</t>
  </si>
  <si>
    <t>Guias.de.Placas</t>
  </si>
  <si>
    <t>Guias</t>
  </si>
  <si>
    <t>Guia.L</t>
  </si>
  <si>
    <t>Perfil metálico de aço galvanizado Z 275 (275 g/m²). Espessura mínima de 0,50 mm, produzido de acordo à norma NBR 15217. Usado para reforçar cantos vivos de 90º.</t>
  </si>
  <si>
    <t>Perfil metálico de acero galvanizado Z 275 (275 g/m²). Espesor mínimo de 0,50 mm, producido de acuerdo con la norma NBR 15217. Se utiliza para reforzar esquinas afiladas de 90º.</t>
  </si>
  <si>
    <t>Guia.U</t>
  </si>
  <si>
    <t>Perfil metálico de aço galvanizado Z 275 (275 g/m²). Espessura mínima de 0,50 mm, produzido de acordo à norma NBR 15217. Usado para estruturar a divisória DryWall.</t>
  </si>
  <si>
    <t>Perfil metálico de acero galvanizado Z 275 (275 g/m²). Espesor mínimo de 0,50 mm, producido de acuerdo con la norma NBR 15217. Se utiliza para estructurar la partición DryWall.</t>
  </si>
  <si>
    <t>Guia.Montante</t>
  </si>
  <si>
    <t>Acessórios</t>
  </si>
  <si>
    <t>Fixadores</t>
  </si>
  <si>
    <t>Parafuso</t>
  </si>
  <si>
    <t>Parafuso de montagem para sistemas de divisórias e forros.</t>
  </si>
  <si>
    <t>Tornillo de montaje para sistemas de tabiques y techos.</t>
  </si>
  <si>
    <t>Bucha</t>
  </si>
  <si>
    <t>Bucha.</t>
  </si>
  <si>
    <t>Anclaje.</t>
  </si>
  <si>
    <t>Fixador.Pinça</t>
  </si>
  <si>
    <t>Fixador metálico tipo pinça.</t>
  </si>
  <si>
    <t>Fijador metálico tipo pinza.</t>
  </si>
  <si>
    <t>Fixador.Cantoneira</t>
  </si>
  <si>
    <t>Fixador metálico tipo cantoneira.</t>
  </si>
  <si>
    <t>Fijador metálico tipo esquina.</t>
  </si>
  <si>
    <t>Conector</t>
  </si>
  <si>
    <t>Conector metálico.</t>
  </si>
  <si>
    <t>Puxadores</t>
  </si>
  <si>
    <t>Puxador.Externo</t>
  </si>
  <si>
    <t>Puxador externo.</t>
  </si>
  <si>
    <t>Pomo de abertura externo.</t>
  </si>
  <si>
    <t>Puxador.Interno</t>
  </si>
  <si>
    <t>Puxador interno.</t>
  </si>
  <si>
    <t>Pomo de abertura interno.</t>
  </si>
  <si>
    <t>Cabides</t>
  </si>
  <si>
    <t>Tipo.Gancho</t>
  </si>
  <si>
    <t>Cabide tipo gancho.</t>
  </si>
  <si>
    <t>Percha tipo gancho.</t>
  </si>
  <si>
    <t>Antifurto</t>
  </si>
  <si>
    <t>Cabide antifurto.</t>
  </si>
  <si>
    <t>Percha antirrobo.</t>
  </si>
  <si>
    <t>Fechaduras</t>
  </si>
  <si>
    <t>Multiponto</t>
  </si>
  <si>
    <t>Trava a porta em vários pontos simultaneamente. Muito usada em portas blindadas.</t>
  </si>
  <si>
    <t>Trava la puerta en varios puntos simultaneamente. Muy usada en puertas blindadas.</t>
  </si>
  <si>
    <t>Biométrica</t>
  </si>
  <si>
    <t>Usa biometria. Oferece alto nível de segurança e praticidade.</t>
  </si>
  <si>
    <t>Usa biometría. Ofrece alto nivel de seguridad y practicidad.</t>
  </si>
  <si>
    <t>Cartão.Magnético</t>
  </si>
  <si>
    <t>Usa cartão magnético.</t>
  </si>
  <si>
    <t>Usa tarjeta magnética.</t>
  </si>
  <si>
    <t>Usa chave como uma fechadura tradicional.</t>
  </si>
  <si>
    <t>Usa llave como una cerradura tradicional.</t>
  </si>
  <si>
    <t>Maçanetas</t>
  </si>
  <si>
    <t>Alavanca.e.Trinco</t>
  </si>
  <si>
    <t>Maçaneta tipo alavanca com trinco.</t>
  </si>
  <si>
    <t>Picaporte tipo palanca con llave.</t>
  </si>
  <si>
    <t>Alavanca</t>
  </si>
  <si>
    <t>Maçaneta tipo alavanca sem trinco.</t>
  </si>
  <si>
    <t>Picaporte tipo palanca sin llave.</t>
  </si>
  <si>
    <t>Esférica</t>
  </si>
  <si>
    <t>Maçaneta esférica.</t>
  </si>
  <si>
    <t>Picaporte esférico.</t>
  </si>
  <si>
    <t>Saída.Emergência</t>
  </si>
  <si>
    <t>Barra para portas de emergência.</t>
  </si>
  <si>
    <t>Barras.Apoio</t>
  </si>
  <si>
    <t>Barra.Reta.Sanitário</t>
  </si>
  <si>
    <t>Barra para apoio em sanitários utilizada para promoção de acessibilidade conforme norma ABNT 9050.</t>
  </si>
  <si>
    <t>Barra de apoyo en sanitarios utilizada para promover la accesibilidad según la norma ABNT 9050.</t>
  </si>
  <si>
    <t>Barra.Chuveiro.Sanitário</t>
  </si>
  <si>
    <t>Barra para apoio em box de chuveiros com trecho horizonta e vertical utilizada para promoção de acessibilidade conforme norma ABNT 9050.</t>
  </si>
  <si>
    <t>Barra de apoyo en cabinas de ducha con tramo horizontal y vertical utilizada para favorecer la accesibilidad según la norma ABNT 9050.</t>
  </si>
  <si>
    <t>Barra.Cantonera.Sanitária</t>
  </si>
  <si>
    <t>Barra para apoio em box sanitário para PNE em canto utilizada para promoção de acessibilidade conforme norma ABNT 9050.</t>
  </si>
  <si>
    <t>Barra de apoyo en box sanitario para PNE en esquina, utilizada para promover la accesibilidad según norma ABNT 9050.</t>
  </si>
  <si>
    <t>Barra.Angular.Sanitária</t>
  </si>
  <si>
    <t>Barra para apoio em sanitários com trecho horizontal e trecho inclinado utilizada para promoção de acessibilidade conforme norma ABNT 9050.</t>
  </si>
  <si>
    <t>Barra articulada de apoyo en sanitarios de tramo horizontal y tramo inclinado utilizada para favorecer la accesibilidad según la norma ABNT 9050.</t>
  </si>
  <si>
    <t>Barra.Articulada</t>
  </si>
  <si>
    <t>Barra para apoio lateral em sanitários utilizada para promoção de acessibilidade conforme norma ABNT 9050.</t>
  </si>
  <si>
    <t>Barra articulada apoyo lateral en inodoros utilizada para promover la accesibilidad según la norma ABNT 9050.</t>
  </si>
  <si>
    <t>Barra.Articulada.com.Coluna</t>
  </si>
  <si>
    <t>Barra para apoio lateral com reforço vertical em sanitários utilizada para promoção de acessibilidade conforme norma ABNT 9050.</t>
  </si>
  <si>
    <t>Barra para apoyo lateral con refuerzo vertical en inodoros utilizada para favorecer la accesibilidad según la norma ABNT 9050.</t>
  </si>
  <si>
    <t>Dobradiças</t>
  </si>
  <si>
    <t>Automática</t>
  </si>
  <si>
    <t>Dobradiças automáticas tipo “self-closing” em liga especial de alumínio.</t>
  </si>
  <si>
    <t>Bisagras automáticas de cierre automático en aleación especial de aluminio.</t>
  </si>
  <si>
    <t>Aberturas</t>
  </si>
  <si>
    <t>Atmósfera.Lateral</t>
  </si>
  <si>
    <t>Janelas</t>
  </si>
  <si>
    <t>Janela.Aberta</t>
  </si>
  <si>
    <t xml:space="preserve">Elemento de ventilação e iluminação tipo vão aberto sem elementos. Pode-se criar uma família de janela que contenha apenas o elemento de abertura (Opening). </t>
  </si>
  <si>
    <t xml:space="preserve">Elemento de iluminación natural tipo abertura sin elementos. Se puede crear una familia de ventana que contenga apenas el elemento de abertura (Opening). </t>
  </si>
  <si>
    <t>Janela.Fixa</t>
  </si>
  <si>
    <t>Elemento de ventilação e iluminação tipo Janela fixa.</t>
  </si>
  <si>
    <t>Elemento de iluminación natural tipo Ventana fija.</t>
  </si>
  <si>
    <t>Janela.Batente</t>
  </si>
  <si>
    <t>Elemento de ventilação e iluminação tipo Janela de abrir.</t>
  </si>
  <si>
    <t>Elemento de ventilación e iluminación natural tipo Ventana abatibles. Las hojas abren hacia dentro girando desde el marco vertical.</t>
  </si>
  <si>
    <t>Janela.Corrediça</t>
  </si>
  <si>
    <t>Elemento de ventilação e iluminação tipo Janela corrediça.</t>
  </si>
  <si>
    <t>Elemento de ventilación e iluminación natural tipo Ventana corrediza. Las hojas corren horizontalmente.</t>
  </si>
  <si>
    <t>Janela.Pivotante</t>
  </si>
  <si>
    <t>Elemento de ventilação e iluminação tipo Janela pivotante. Gira em torno de um eixo vertical deslocado do batente, com pinos fixados na parte superior e inferior da folha.</t>
  </si>
  <si>
    <t>Elemento de ventilación e iluminación natural tipo Ventana pivotante. Gira sobre un eje vertical deslocado del marco, con pinos fijados en la parte superior e inferior de la hoja.</t>
  </si>
  <si>
    <t>Janela.Guilhotina</t>
  </si>
  <si>
    <t>Elemento de ventilação e iluminação tipo Janela guilhotina.</t>
  </si>
  <si>
    <t>Elemento de ventilación e iluminación natural tipo Ventana guillotina. Las hojas deslizan verticalmente.</t>
  </si>
  <si>
    <t>Janela.MaximAr</t>
  </si>
  <si>
    <t>Elemento de ventilação e iluminação tipo Janela tipo Maxim-Ar. A folha inclina para o lado externo mediante braços articulados laterais.</t>
  </si>
  <si>
    <t>Elemento de ventilación e iluminación natural tipo Ventana Maxim-Air. La hoja inclina para el lado externo mediante brazos articulados laterales.</t>
  </si>
  <si>
    <t>Janela.Basculante</t>
  </si>
  <si>
    <t>Elemento de ventilação e iluminação tipo Janela basculante. A folha abre metade para o lado interior e metade para o exterior.</t>
  </si>
  <si>
    <t>Elemento de ventilación e iluminación natural tipo Ventana basculante. La hoja articula desde el medio marco 50% hacia el lado interior y 50% hacia el exterior.</t>
  </si>
  <si>
    <t>Janela.Oscilobatente</t>
  </si>
  <si>
    <t xml:space="preserve">Elemento de ventilação e iluminação tipo Janela oscilobatente inclina sua parte superior para o interior do ambiente. </t>
  </si>
  <si>
    <t xml:space="preserve">Elemento de ventilación e iluminación natural tipo Ventana oscilobatiente inclina su parte superior hacia adentro del ambiente. </t>
  </si>
  <si>
    <t>Janela.Telescópica</t>
  </si>
  <si>
    <t>Elemento de ventilação e iluminação tipo Janela com trilhos e guias que permitem a movimentação de duas ou mais folhas sobrepostas.</t>
  </si>
  <si>
    <t>Elemento de ventilación e iluminación natural tipo Ventana con rieles y guías que permiten el movimiento de dos o más hojas superpuestas.</t>
  </si>
  <si>
    <t>Janela.Veneziana</t>
  </si>
  <si>
    <t>Janela veneziana tem aletas inclinadas que permitem a ventilação e um pouco de entrada de luz. Permitem arejamento constante.</t>
  </si>
  <si>
    <t>Ventana veneciana tiene láminas inclinadas que permiten la ventilación y um poco de entrada de luz. Permitem aireación constante.</t>
  </si>
  <si>
    <t>Janela.Integral</t>
  </si>
  <si>
    <t>Elemento de ventilação e iluminação tipo Janela integral.</t>
  </si>
  <si>
    <t>Elemento de ventilación e iluminación natural tipo Ventana Integral de fachada.</t>
  </si>
  <si>
    <t>Atmósfera.Superior</t>
  </si>
  <si>
    <t>Claraboias</t>
  </si>
  <si>
    <t>Claraboia.Cúpula</t>
  </si>
  <si>
    <t>Elemento de ventilação e iluminação posicionado na cobertura tipo cúpula.</t>
  </si>
  <si>
    <t>Elemento de ventilación e iluminación posicionado en la cubierta tipo cúpula.</t>
  </si>
  <si>
    <t>Claraboia.Tubular</t>
  </si>
  <si>
    <t>Elemento de ventilação e iluminação posicionado na cobertura tipo túnel de luz.</t>
  </si>
  <si>
    <t>Elemento de ventilación e iluminación posicionado en la cubierta tipo túnel de luz.</t>
  </si>
  <si>
    <t>Claraboia.Piramidal</t>
  </si>
  <si>
    <t>Elemento de ventilação e iluminação posicionado na cobertura tipo pirâmide.</t>
  </si>
  <si>
    <t>Elemento de ventilación e iluminación posicionado en la cubierta tipo piramidal.</t>
  </si>
  <si>
    <t>Atmósfera.Predial</t>
  </si>
  <si>
    <t>Grelhas</t>
  </si>
  <si>
    <t>Grelha.Fixa</t>
  </si>
  <si>
    <t>Elemento complementar de porta: Grelha fixa.</t>
  </si>
  <si>
    <t>Elemento complementario para puertas: Rejilla de ventilación fija.</t>
  </si>
  <si>
    <t>Grelha.Removível</t>
  </si>
  <si>
    <t>Elemento complementar de porta: Grelha removível.</t>
  </si>
  <si>
    <t>Elemento complementario para puertas: Rejilla de ventilación removible.</t>
  </si>
  <si>
    <t>Visores</t>
  </si>
  <si>
    <t>Visor.Fixo</t>
  </si>
  <si>
    <t>Elemento complementar de porta: Visor fixo.</t>
  </si>
  <si>
    <t>Elemento complementario para puertas: Visor fijo.</t>
  </si>
  <si>
    <t>Visor.Basculante</t>
  </si>
  <si>
    <t>Elemento complementar de porta: Visor basculante.</t>
  </si>
  <si>
    <t>Elemento complementario para puertas: Visor basculante.</t>
  </si>
  <si>
    <t>Visor.Deslizante</t>
  </si>
  <si>
    <t>Elemento complementar de porta: Visor deslizante.</t>
  </si>
  <si>
    <t>Elemento complementario para puertas: Visor deslizante.</t>
  </si>
  <si>
    <t>Visor.Blindado</t>
  </si>
  <si>
    <t>Elemento complementar de porta: Visor blindado para porta blindada.</t>
  </si>
  <si>
    <t>Elemento complementario para puertas: Visor blindado para puerta blindada.</t>
  </si>
  <si>
    <t>Passagens.de.Instalações</t>
  </si>
  <si>
    <t>Shafts</t>
  </si>
  <si>
    <t>Shaft.Inespecífico</t>
  </si>
  <si>
    <t>Abertura inespecífica.</t>
  </si>
  <si>
    <t>Shaft.Laje</t>
  </si>
  <si>
    <t>Abertura numa laje.</t>
  </si>
  <si>
    <t>Abertura en uma losa.</t>
  </si>
  <si>
    <t>Shaft.Instalação</t>
  </si>
  <si>
    <t>Passagens verticais tipo shaft para todas as instalações.</t>
  </si>
  <si>
    <t>Pasaje vertical tipo shaft exclusivas para todas las instalaciones.</t>
  </si>
  <si>
    <t>Shaft.Elétrica</t>
  </si>
  <si>
    <t>Passagens verticais tipo shaft exclusivas para instalações elétricas.</t>
  </si>
  <si>
    <t>Pasaje vertical tipo shaft exclusivas para instalaciones eléctricas.</t>
  </si>
  <si>
    <t>Shaft.Hidráulico</t>
  </si>
  <si>
    <t>Passagens verticais tipo shaft exclusivas para instalações hidráulicas.</t>
  </si>
  <si>
    <t>Pasaje vertical tipo shaft exclusivas para instalaciones hidráulicas.</t>
  </si>
  <si>
    <t>Shaft.AVAC</t>
  </si>
  <si>
    <t>Passagens verticais tipo shaft exclusivas para instalações de AVAC</t>
  </si>
  <si>
    <t>Pasaje vertical tipo shaft exclusivas para instalaciones de AVAC.</t>
  </si>
  <si>
    <t>Shaft.Lógico</t>
  </si>
  <si>
    <t>Passagens verticais tipo shaft exclusivas para instalações de rede de dados.</t>
  </si>
  <si>
    <t>Pasaje vertical tipo shaft exclusivas para instalaciones de rede de datos.</t>
  </si>
  <si>
    <t>Passagens.de.Pessoas</t>
  </si>
  <si>
    <t>Portas</t>
  </si>
  <si>
    <t>Porta.Vão</t>
  </si>
  <si>
    <t>Abertura tipo portal sem porta, pode ser criada uma familia de porta sem elementos de folha e marco.</t>
  </si>
  <si>
    <t>Abertura tipo portal sin porta. Puede ser criada una familia de puerta sin los elementos de hoja y marco.</t>
  </si>
  <si>
    <t>Porta.Simples</t>
  </si>
  <si>
    <t>Porta simples.</t>
  </si>
  <si>
    <t>Puerta simple.</t>
  </si>
  <si>
    <t>Porta.Dupla</t>
  </si>
  <si>
    <t>Porta dupla. Sempre com as folhas do mesmo tamanho.</t>
  </si>
  <si>
    <t>Puerta doble. Siempre con hojas de tamanhos iguales.</t>
  </si>
  <si>
    <t>Porta.Assimétrica</t>
  </si>
  <si>
    <t>Porta dupla assimétrica. Por exemple uma folha de 40 cm e outra de 80 cm .</t>
  </si>
  <si>
    <t>Puerta doble asimétrica. Por ejemplo uma hoja de 40 cm y otra de 80 cm .</t>
  </si>
  <si>
    <t>Porta.Corta.Fogo</t>
  </si>
  <si>
    <t>Porta corta fogo. Usadas em circulações verticais de escape.</t>
  </si>
  <si>
    <t>Puerta cortafuegos. Usadas en circulaciones verticales de escape.</t>
  </si>
  <si>
    <t>Porta.Veneziana</t>
  </si>
  <si>
    <t>Porta veneziana tem aletas inclinadas que permitem a ventilação e um pouco de entrada de luz. Permitem arejamento constante.</t>
  </si>
  <si>
    <t>Puerta veneciana tiene láminas inclinadas que permiten la ventilación y um poco de entrada de luz. Permitem aireación constante.</t>
  </si>
  <si>
    <t>Porta.Corrediça</t>
  </si>
  <si>
    <t>Porta corrediça.</t>
  </si>
  <si>
    <t>Puerta corrediza.</t>
  </si>
  <si>
    <t>Porta.Pivotante</t>
  </si>
  <si>
    <t>Porta pivotante. Gira em torno de um eixo vertical deslocado do batente, com pinos fixados na parte superior e inferior da folha.</t>
  </si>
  <si>
    <t>Puerta pivotante. Gira sobre un eje vertical deslocado del marco, con pinos fijados en la parte superior e inferior de la hoja.</t>
  </si>
  <si>
    <t>Porta.Articulada</t>
  </si>
  <si>
    <t>Porta articulada. Também conhecida como camarão. A articulação é com dobradiças centrais.</t>
  </si>
  <si>
    <t>Puerta plegable. También conocida como camarón. La articulación es con bisagras centrales en las hojas.</t>
  </si>
  <si>
    <t>Porta.Bandeira</t>
  </si>
  <si>
    <t>Porta bandeira.</t>
  </si>
  <si>
    <t>Puerta com bandera superior.</t>
  </si>
  <si>
    <t>Porta.Giratória</t>
  </si>
  <si>
    <t>Porta Giratória.</t>
  </si>
  <si>
    <t>Puerta giratoria.</t>
  </si>
  <si>
    <t>Porta.Frigorífica</t>
  </si>
  <si>
    <t>Porta frigorífica. Utilizadas em câmaras frias.</t>
  </si>
  <si>
    <t>Puerta de frigorífica. Utilizadas en cámaras frigoríficas.</t>
  </si>
  <si>
    <t>Porta.Biológica</t>
  </si>
  <si>
    <t>Porta Biológica. Utilizadas em laboratórios com controle biológico ou salas limpas.</t>
  </si>
  <si>
    <t>Puerta biológica. Se utiliza en laboratorios con control biológico o salas blancas.</t>
  </si>
  <si>
    <t>Porta.Blindada</t>
  </si>
  <si>
    <t>Porta Blindada. Utilizadas em sistemas de segurança ou com blindagem para raios X ou Gamma em ambientes hospitalares.</t>
  </si>
  <si>
    <t>Puerta blindada. Se utiliza en sistemas de seguridad o con blindaje de rayos X o gamma en entornos hospitalarios.</t>
  </si>
  <si>
    <t>Porta.Telescópica</t>
  </si>
  <si>
    <t>Porta com trilhos e guias que permitem a movimentação de duas ou mais folhas sobrepostas.</t>
  </si>
  <si>
    <t>Puerta con rieles y guías que permiten el movimiento de dos o más hojas superpuestas.</t>
  </si>
  <si>
    <t>Passagens.de.Veículos</t>
  </si>
  <si>
    <t>Portões</t>
  </si>
  <si>
    <t>Portão.Garagem</t>
  </si>
  <si>
    <t>Portão de Garagem ou Estacionamento.</t>
  </si>
  <si>
    <t>Portón de Garage o Estacionamiento.</t>
  </si>
  <si>
    <t>Portão.Seccional</t>
  </si>
  <si>
    <t>Portão Seccional de Fábrica, Galpão industrial ou Estádio.</t>
  </si>
  <si>
    <t>Portón Seccional de Fábrica, Galpón industrial o Estadio.</t>
  </si>
  <si>
    <t>Passagens.Técnicas</t>
  </si>
  <si>
    <t>Alçapões</t>
  </si>
  <si>
    <t>Alçapão.Acesso</t>
  </si>
  <si>
    <t>Abertura no teto que permite alcançar instalações elétricas, hidráulicas ou de climatização.</t>
  </si>
  <si>
    <t>Abertura en el techo que permite acceder a instalaciones eléctricas, hidráulicas o de climatización.</t>
  </si>
  <si>
    <t>Alçapão.Emergência</t>
  </si>
  <si>
    <t>Abertura no teto que permite alcançar uma saída adicional de escape.</t>
  </si>
  <si>
    <t>Abertura en el techo que permite llegar a una salida de escape adicional.</t>
  </si>
  <si>
    <t>Passagens.de.Produtos</t>
  </si>
  <si>
    <t>PassThroughs</t>
  </si>
  <si>
    <t>PassT.Farmacéutico</t>
  </si>
  <si>
    <t>Compartimento selado para passagem de objetos instalado entre duas salas (por exemplo, uma sala limpa e um laboratório).</t>
  </si>
  <si>
    <t>Compartimento sellado para pasar objetos instalado entre dos salas (por ejemplo, una sala limpia y un laboratorio).</t>
  </si>
  <si>
    <t>PassT.Biológico</t>
  </si>
  <si>
    <t>Compartimento sellado para el paso de objetos instalado entre dos salas (por ejemplo, una sala limpia y un laboratorio).</t>
  </si>
  <si>
    <t>PassT.Alimentação</t>
  </si>
  <si>
    <t>Abertura para passagem de alimentos entre uma cozinha industrial e um restaurante.</t>
  </si>
  <si>
    <t>Apertura para que la comida pase entre una cocina industrial y un restaurante.</t>
  </si>
  <si>
    <t>Proteções</t>
  </si>
  <si>
    <t>Contra.Radiação.Solar</t>
  </si>
  <si>
    <t>Persianas</t>
  </si>
  <si>
    <t>Persiana</t>
  </si>
  <si>
    <t>Elemento de sombreamento tipo Persiana com lâminas horizontais ajustáveis para admitir luz e ar.</t>
  </si>
  <si>
    <t>Persiana enrollable con lamas horizontales orientables para admitir luz y aire.</t>
  </si>
  <si>
    <t>Persiana.Horizontal</t>
  </si>
  <si>
    <t>é.componente.de some Persianas</t>
  </si>
  <si>
    <t>Elemento de sombreamento tipo persiana interna Horizontal.</t>
  </si>
  <si>
    <t>Elemento de protección solar tipo persiana interna horizontal.</t>
  </si>
  <si>
    <t>Persiana.Vertical</t>
  </si>
  <si>
    <t>é.componente.de some Brises</t>
  </si>
  <si>
    <t>Elemento de sombreamento tipo persiana interna Vertical.</t>
  </si>
  <si>
    <t>Elemento de protección solar tipo persiana interna vertical.</t>
  </si>
  <si>
    <t>Marquises</t>
  </si>
  <si>
    <t>Marquise</t>
  </si>
  <si>
    <t>Elemento de sombreamento tipo  Cobertura de lona ou outro material que se estende sobre uma porta, a partir do topo de uma janela.</t>
  </si>
  <si>
    <t>Una cubierta de lona u otro material que se extiende sobre una puerta, desde la parte superior de una ventana.</t>
  </si>
  <si>
    <t>Brises</t>
  </si>
  <si>
    <t>Brise.Retrátil.Horizontal</t>
  </si>
  <si>
    <t>Elemento de sombreamento tipo Brise de láminas móveis para bloquear a radiação solar que incide verticalmente, como acontece no hemisfério Sul nas fachadas orientadas ao Norte.</t>
  </si>
  <si>
    <t>Brise de lámina móvil para bloquear la radiación solar que incide verticalmente, como ocurre en el hemisferio sur en las fachadas orientadas al Norte.</t>
  </si>
  <si>
    <t>Brise.Retratil.Vertical</t>
  </si>
  <si>
    <t>Elemento de sombreamento tipo Brise de láminas móveis para bloquear a radiação solar que incide lateralmente, como acontece no hemisfério Sul em fachadas orientadas ao Leste - Oeste.</t>
  </si>
  <si>
    <t>Brise de lámina móvil para bloquear la radiación solar que incide lateralmente, como ocurre en el hemisferio sur en las fachadas orientadas Este-Oeste.</t>
  </si>
  <si>
    <t>Brise.Fixo.Horizontal</t>
  </si>
  <si>
    <t>Elemento de sombreamento tipo Brise de láminas fixas para bloquear a radiação solar que incide verticalmente, como acontece no hemisfério Sul nas fachadas orientadas ao Norte.</t>
  </si>
  <si>
    <t>Brise de lámina fija bloquear la radiación solar que incide verticalmente, como ocurre en el hemisferio sur en las fachadas orientadas al Norte.</t>
  </si>
  <si>
    <t>Brise.Fixo.Vertical</t>
  </si>
  <si>
    <t>Elemento de sombreamento tipo Brise de láminas fixas para bloquear a radiação solar que incide lateralmente, como acontece no hemisfério Sul em fachadas orientadas ao Leste - Oeste.</t>
  </si>
  <si>
    <t>Brise de lámina fija para bloquear la radiación solar que incide lateralmente, como ocurre en el hemisferio sur en fachadas orientadas Este-Oeste.</t>
  </si>
  <si>
    <t>Brise.Perfurado.Horizontal</t>
  </si>
  <si>
    <t>Elemento de sombreamento tipo Brise de placas perfuradas fixas para bloquear  a radiação solar que incide verticalmente, como acontece no hemisfério Sul nas fachadas orientadas ao Norte.</t>
  </si>
  <si>
    <t>Brise con placas perforadas fijas para bloquear la radiación solar que incide verticalmente, como ocurre en el hemisferio sur en las fachadas orientadas al Norte.</t>
  </si>
  <si>
    <t>Brise.Perfurado.Vertical</t>
  </si>
  <si>
    <t>Elemento de sombreamento tipo Brise de placas perfuradas fixas para bloquear a radiação solar que incide lateralmente, como acontece no hemisfério Sul em fachadas orientadas ao Leste - Oeste.</t>
  </si>
  <si>
    <t>Brise con placas perforadas fijas para bloquear la radiación solar que incide lateralmente, como ocurre en el hemisferio sur en fachadas orientadas al Este - Oeste.</t>
  </si>
  <si>
    <t>Brise.Veneziana</t>
  </si>
  <si>
    <t>Elemento de sombreamento tipo Dispositivo mecânico que limita a passagem de luz.</t>
  </si>
  <si>
    <t>Dispositivo mecánico que limita el paso de la luz.</t>
  </si>
  <si>
    <t>Contra.Quedas</t>
  </si>
  <si>
    <t>Guardacorpos.Escadas</t>
  </si>
  <si>
    <t>Guardacorpo.Escada</t>
  </si>
  <si>
    <t>é.componente.de some Escadas</t>
  </si>
  <si>
    <t>Guardacorpo da escada ou varandas.</t>
  </si>
  <si>
    <t>Barandilla de escalera o balcones</t>
  </si>
  <si>
    <t>Guardacorpo.Escada.Projeção</t>
  </si>
  <si>
    <t>é.componente.de some Rampas</t>
  </si>
  <si>
    <t>Guardacorpo da escadas ou varandas projeção.</t>
  </si>
  <si>
    <t>Barandilla de escalera o balcones de proyección</t>
  </si>
  <si>
    <t>Guardacorpo.Escada.Balaústre</t>
  </si>
  <si>
    <t>Guardacorpo balaústre.</t>
  </si>
  <si>
    <t>Balaustre de la barandilla</t>
  </si>
  <si>
    <t>Guardacorpo.Escada.Corrimão</t>
  </si>
  <si>
    <t>Guardacorpo corrimão.</t>
  </si>
  <si>
    <t>Pasamanos de la barandilla</t>
  </si>
  <si>
    <t>Guardacorpos de escadas, rampas e varandas.</t>
  </si>
  <si>
    <t>Guardacuerpos de escaleras, rampas e balcones.</t>
  </si>
  <si>
    <t>Guardacorpos de escadas, rampas e varandas: balaústre.</t>
  </si>
  <si>
    <t>Barandillas para escaleras, rampas y balcones: balaustre.</t>
  </si>
  <si>
    <t>Guardacorpos de escadas, rampas e varandas: corrimão.</t>
  </si>
  <si>
    <t>Barandillas para escaleras, rampas y balcones: pasamanos.</t>
  </si>
  <si>
    <t>Guardacorpos de escadas, rampas e varandas: corrimão superior.</t>
  </si>
  <si>
    <t>Barandillas para escaleras, rampas y balcones: pasamanos superiores.</t>
  </si>
  <si>
    <t>Guardacorpos de escadas, rampas e varandas: corte superior.</t>
  </si>
  <si>
    <t>Barandillas para escaleras, rampas y balcones: corte superior.</t>
  </si>
  <si>
    <t>Guardacorpos de escadas, rampas e varandas: suporte do corrimão.</t>
  </si>
  <si>
    <t>Barandillas para escaleras, rampas y balcones: soporte de pasamanos.</t>
  </si>
  <si>
    <t>Guardacorpos de escadas, rampas e varandas: terminação do corrimão.</t>
  </si>
  <si>
    <t>Barandillas para escaleras, rampas y balcones: terminación de la barandilla.</t>
  </si>
  <si>
    <t>Guardacorpos.Sistemas</t>
  </si>
  <si>
    <t>Guardacorpo.Sistema</t>
  </si>
  <si>
    <t>Guardacorpos de escadas, rampas e varandas: sistema de corrimão.</t>
  </si>
  <si>
    <t>Barandillas para escaleras, rampas y balcones: sistema de pasamanos.</t>
  </si>
  <si>
    <t>Guardacorpo.Sistema.Balaústre</t>
  </si>
  <si>
    <t>Guardacorpos de escadas, rampas e varandas: sistema de balaústre.</t>
  </si>
  <si>
    <t>Barandillas para escaleras, rampas y balcones: sistema de balaustres.</t>
  </si>
  <si>
    <t>Guardacorpo.Sistema.Corrimão</t>
  </si>
  <si>
    <t>Guardacorpo.Sistema.Corrimão.Grampo</t>
  </si>
  <si>
    <t>Guardacorpos de escadas, rampas e varandas: grampo do corrimão.</t>
  </si>
  <si>
    <t>Barandillas para escaleras, rampas y balcones: abrazadera de pasamanos.</t>
  </si>
  <si>
    <t>Guardacorpo.Sistema.Ferragem</t>
  </si>
  <si>
    <t>Guardacorpos de escadas, rampas e varandas: acessório do corrimão.</t>
  </si>
  <si>
    <t>Barandillas para escaleras, rampas y balcones: accesorio de pasamanos.</t>
  </si>
  <si>
    <t>Guardacorpo.Sistema.Painel</t>
  </si>
  <si>
    <t>Guardacorpos de escadas, rampas e varandas: painel do corrimão.</t>
  </si>
  <si>
    <t>Barandillas para escaleras, rampas y balcones: panel de barandilla.</t>
  </si>
  <si>
    <t>Guardacorpo.Sistema.Poste</t>
  </si>
  <si>
    <t>Guardacorpos de escadas, rampas e varandas: poste do corrimão.</t>
  </si>
  <si>
    <t>Barandillas para escaleras, rampas y balcones: poste de pasamanos.</t>
  </si>
  <si>
    <t>Guardacorpo.Sistema.Trilho</t>
  </si>
  <si>
    <t>Guardacorpos de escadas, rampas e varandas: trilho do corrimão.</t>
  </si>
  <si>
    <t>Barandillas para escaleras, rampas y balcones: barandilla de barandilla.</t>
  </si>
  <si>
    <t>Guardacorpo.Sistema.Trilho.Superior</t>
  </si>
  <si>
    <t>Guardacorpo.Sistema.Segmento</t>
  </si>
  <si>
    <t>Guardacorpos de escadas, rampas e varandas: segmento do corrimão.</t>
  </si>
  <si>
    <t>Barandillas para escaleras, rampas y balcones: segmento de barandilla.</t>
  </si>
  <si>
    <t>Guardacorpo.Sistema.Terminação</t>
  </si>
  <si>
    <t>Guardacorpo.Sistema.Transição</t>
  </si>
  <si>
    <t>Guardacorpos de escadas, rampas e varandas: transição do corrimão.</t>
  </si>
  <si>
    <t>Barandillas de escaleras, rampas y balcones: transición de la barandilla.</t>
  </si>
  <si>
    <t>Contra.Incêndios</t>
  </si>
  <si>
    <t>Alarmes</t>
  </si>
  <si>
    <t>Alarme</t>
  </si>
  <si>
    <t>Dispositivo que sinaliza a existência de uma condição ou situação de perigo.</t>
  </si>
  <si>
    <t>Dispositivo que señala la existencia de una condición o situación de peligro.</t>
  </si>
  <si>
    <t>Alarme.Campainha</t>
  </si>
  <si>
    <t>Alarme sonoro.</t>
  </si>
  <si>
    <t>Alarma sonora.</t>
  </si>
  <si>
    <t>Alarme.Campainha.Caixa</t>
  </si>
  <si>
    <t>Mecanismo de ativação de alarme no qual um vidro de proteção precisa ser quebrado para permitir que o botão seja apertado.</t>
  </si>
  <si>
    <t>Mecanismo de activación de alarma en el que es necesario romper un cristal protector para permitir la pulsación del botón.</t>
  </si>
  <si>
    <t>Alarme.Lumínico</t>
  </si>
  <si>
    <t>Alarme visual luminoso.</t>
  </si>
  <si>
    <t>Alarma visual luminosa.</t>
  </si>
  <si>
    <t>Alarme.Caixa.Manual</t>
  </si>
  <si>
    <t>Mecanismo de ativação de alarme no qual a ativação se dá por uma ação de puxamento.</t>
  </si>
  <si>
    <t>Mecanismo de activación de alarma en el que la activación se produce mediante una acción de tracción.</t>
  </si>
  <si>
    <t>Alarme.Ferroviário</t>
  </si>
  <si>
    <t>Contato elétrico colocado entre os trilhos (no caminho de quatro pés) para fornecer avisos no local da ferrovia.</t>
  </si>
  <si>
    <t>Contacto eléctrico colocado entre las vías (en el camino de cuatro pies) para proporcionar advertencias en el sitio del ferrocarril.</t>
  </si>
  <si>
    <t>Alarme.Detonador</t>
  </si>
  <si>
    <t>Dispositivo do tamanho de uma moeda que é usado como um sinal de alerta alto para treinar maquinistas.</t>
  </si>
  <si>
    <t>Un dispositivo del tamaño de una moneda que se utiliza como señal de advertencia alta para entrenar a los conductores de trenes.</t>
  </si>
  <si>
    <t>Alarme.Sirene</t>
  </si>
  <si>
    <t>Alarme sonoro produzido por uma sirene.</t>
  </si>
  <si>
    <t>Alarma sonora producida por una sirena.</t>
  </si>
  <si>
    <t>Alarme.Apito</t>
  </si>
  <si>
    <t>Alarme sonoro produzido por um apito.</t>
  </si>
  <si>
    <t>Alarma sonora producida por un silbato.</t>
  </si>
  <si>
    <t>Dispositivos.Incêndio</t>
  </si>
  <si>
    <t>Terminal.Combate.Fogo</t>
  </si>
  <si>
    <t>Terminal de supressão de incêndio tem a finalidade de fornecer um fluido (gás ou líquido) que irá suprimir.</t>
  </si>
  <si>
    <t>El terminal de extinción de incendios tiene el propósito de proporcionar un fluido (gas o líquido) que suprimirá.</t>
  </si>
  <si>
    <t>Mangueira.Entrada</t>
  </si>
  <si>
    <t>Conexão de tubulação simétrico que une duas ou mais entradas num único tubo.</t>
  </si>
  <si>
    <t>Conexión de tubería simétrica que une dos o más entradas en una sola tubería.</t>
  </si>
  <si>
    <t>Mangueira.Carretel</t>
  </si>
  <si>
    <t>Estrutura de suporte na qual uma mangueira pode ser enrolada.</t>
  </si>
  <si>
    <t>Estructura de soporte en la que se puede enrollar una manguera.</t>
  </si>
  <si>
    <t>Mangueira.Canhão</t>
  </si>
  <si>
    <t>Monitor de incêndio.</t>
  </si>
  <si>
    <t>Monitor de incendios.</t>
  </si>
  <si>
    <t>Hidrante</t>
  </si>
  <si>
    <t>Dispositivo, instalado num tubo, através do qual um suprimento temporário de água pode ser fornecido.</t>
  </si>
  <si>
    <t>Un dispositivo, instalado en una tubería, a través del cual se puede suministrar un suministro temporal de agua.</t>
  </si>
  <si>
    <t>Sprinkler</t>
  </si>
  <si>
    <t>Dispositivo para aspergir água de um cano sob pressão sobre uma área.</t>
  </si>
  <si>
    <t>Un dispositivo para rociar agua de una tubería bajo presión sobre un área.</t>
  </si>
  <si>
    <t>Sprinkler.Defletor</t>
  </si>
  <si>
    <t>Dispositivo conectado a um aspersor para desviar o fluxo de água num padrão de propagação para cobrir o necessário.</t>
  </si>
  <si>
    <t>Dispositivo conectado a un aspersor para desviar el flujo de agua en un patrón de propagación para cubrir lo que se necesita.</t>
  </si>
  <si>
    <t>Contra.Falhas.Elétricas</t>
  </si>
  <si>
    <t>Anomalias.Elétricas</t>
  </si>
  <si>
    <t>Dispositivo.Proteção.Elétrica</t>
  </si>
  <si>
    <t>Dispositivo de proteção interrompe um circuito elétrico quando uma corrente elétrica declarada.</t>
  </si>
  <si>
    <t>El dispositivo de protección interrumpe un circuito eléctrico cuando se declara una corriente eléctrica.</t>
  </si>
  <si>
    <t>Unidade.Disparo</t>
  </si>
  <si>
    <t>Unidade de disparo de dispositivo de proteção interrompe um circuito elétrico numa unidade de interrupção separada.</t>
  </si>
  <si>
    <t>La unidad de disparo del dispositivo de protección interrumpe un circuito eléctrico en una unidad de interrupción separada.</t>
  </si>
  <si>
    <t>AntiArco</t>
  </si>
  <si>
    <t>Dispositivo anti-arco é um equipamento que impede o arco elétrico.</t>
  </si>
  <si>
    <t>El dispositivo antiarco es un equipo que evita el arco eléctrico.</t>
  </si>
  <si>
    <t>Sobrecargas</t>
  </si>
  <si>
    <t>Disjuntor</t>
  </si>
  <si>
    <t>Dispositivo de comutação mecânica capaz de fazer, transportar e interromper correntes sob circui normal.</t>
  </si>
  <si>
    <t>Dispositivo mecánico de conmutación capaz de producir, transportar e interrumpir corrientes en circulación normal.</t>
  </si>
  <si>
    <t>Chave.de.Aterramento</t>
  </si>
  <si>
    <t>Dispositivo de segurança usado para abrir ou fechar um circuito quando não há corrente.</t>
  </si>
  <si>
    <t>Un dispositivo de seguridad utilizado para abrir o cerrar un circuito cuando no hay corriente.</t>
  </si>
  <si>
    <t>Seccionador.de.Fusível</t>
  </si>
  <si>
    <t>Dispositivo que abrirá eletricamente o circuito após um período de fluxo de corrente anormal e prolongado.</t>
  </si>
  <si>
    <t>Un dispositivo que abrirá eléctricamente el circuito después de un período de flujo de corriente anormal y prolongado.</t>
  </si>
  <si>
    <t>Fugas</t>
  </si>
  <si>
    <t>Disjuntor.Diferencial.Residual</t>
  </si>
  <si>
    <t>Dispositivo que abre, fecha ou isola um circuito e tem proteção contra curto-circuito.</t>
  </si>
  <si>
    <t>Un dispositivo que abre, cierra o aísla un circuito y tiene protección contra cortocircuitos.</t>
  </si>
  <si>
    <t>Corrente.Residual.Disjuntor</t>
  </si>
  <si>
    <t>Dispositivo que abre, fecha ou isola um circuito e tem proteção contra curto-circuito e sobrecarga.</t>
  </si>
  <si>
    <t>Un dispositivo que abre, cierra o aísla un circuito y tiene protección contra cortocircuitos y sobrecargas.</t>
  </si>
  <si>
    <t>Corrente.Residual.Interruptor</t>
  </si>
  <si>
    <t>Dispositivo que abre, fecha ou isola um circuito e não tem proteção contra curto-circuito ou sobrecarga.</t>
  </si>
  <si>
    <t>Un dispositivo que abre, cierra o aísla un circuito y no tiene protección contra cortocircuitos o sobrecargas.</t>
  </si>
  <si>
    <t>Corrente.Residual.Unidade.Disparo</t>
  </si>
  <si>
    <t>Unidade de disparo ativada pela detecção de corrente residual.</t>
  </si>
  <si>
    <t>Unidad de disparo activada por detección de corriente residual.</t>
  </si>
  <si>
    <t>Surtos</t>
  </si>
  <si>
    <t>Espaçador.de.Faísca</t>
  </si>
  <si>
    <t>Centelhador é um dispositivo usado para conectar um circuito à terra em caso de falha em circuitos energizados.</t>
  </si>
  <si>
    <t>Un espacio de chispa es un dispositivo utilizado para conectar un circuito a tierra en caso de una falla en circuitos activos.</t>
  </si>
  <si>
    <t>Varistor</t>
  </si>
  <si>
    <t>Dispositivo de proteção contra surtos de alta tensão.</t>
  </si>
  <si>
    <t>Dispositivo de protección contra sobretensiones de alto voltaje.</t>
  </si>
  <si>
    <t>Limitador.de.Tensão</t>
  </si>
  <si>
    <t>Limitador de voltagem é um equipamento que impede a sobrecarga de tensão.</t>
  </si>
  <si>
    <t>El limitador de voltaje es un equipo que evita la sobrecarga de voltaje.</t>
  </si>
  <si>
    <t>Sobrecorrentes</t>
  </si>
  <si>
    <t>Unidade.de.Disparo.Eletromagnética</t>
  </si>
  <si>
    <t>Unidade de disparo ativada por ação eletromagnética.</t>
  </si>
  <si>
    <t>Unidad de disparo activada por acción electromagnética.</t>
  </si>
  <si>
    <t>Unidade.de.Disparo.Eletrônica</t>
  </si>
  <si>
    <t>Unidade de disparo ativada por ação eletrônica.</t>
  </si>
  <si>
    <t>Unidad de disparo activada por acción electrónica.</t>
  </si>
  <si>
    <t>Unidade.de.Disparo.Térmica</t>
  </si>
  <si>
    <t>Unidade de disparo ativada por ação térmica.</t>
  </si>
  <si>
    <t>Unidad de disparo activado térmicamente.</t>
  </si>
  <si>
    <t>Vedações</t>
  </si>
  <si>
    <t>Paredes</t>
  </si>
  <si>
    <t>Moldadas</t>
  </si>
  <si>
    <t>Muro.Interno.Alto</t>
  </si>
  <si>
    <t>Muro interior alto moldado In Loco com fôrmas em materiais moldáveis.</t>
  </si>
  <si>
    <t>Pared interior alto moldeado In Loco con encofrado en materiales moldeables.</t>
  </si>
  <si>
    <t>Muro.Interno.Baixo</t>
  </si>
  <si>
    <t>Muro interior baixo moldado In Loco com fôrmas em materiais moldáveis.</t>
  </si>
  <si>
    <t>Pared interior baja moldeada In Loco con moldes de moldeo moldeables.</t>
  </si>
  <si>
    <t>Muro.Externo.Alto</t>
  </si>
  <si>
    <t>Muro exterior alto moldado In Loco com fôrmas em materiais moldáveis.</t>
  </si>
  <si>
    <t>Pared exterior alta moldeada In Loco con moldes moldeables.</t>
  </si>
  <si>
    <t>Muro.Externo.Baixo</t>
  </si>
  <si>
    <t>Muro exterior baixo moldado In Loco com fôrmas em materiais moldáveis.</t>
  </si>
  <si>
    <t>Pared exterior baja moldeada In Loco con moldes de moldeo moldeables.</t>
  </si>
  <si>
    <t>Assentadas</t>
  </si>
  <si>
    <t>Parede.Interna.Alta</t>
  </si>
  <si>
    <t>Paredes interiores altas (piso-teto) levantadas pela sobreposição de elementos unitários como blocos ou tijolos.</t>
  </si>
  <si>
    <t>Paredes altas interiores (piso-techo) levantadas con elementos unitarios superpuestos como bloques o ladrillos.</t>
  </si>
  <si>
    <t>Parede.Interna.Baixa</t>
  </si>
  <si>
    <t>Paredes interiores baixas tipo mureta levantadas pela sobreposição de elementos unitários como blocos ou tijolos.</t>
  </si>
  <si>
    <t>Paredes bajas interiores levantadas por elementos unitarios superpuestos como bloques o ladrillos.</t>
  </si>
  <si>
    <t>Parede.Externa.Alta</t>
  </si>
  <si>
    <t>Paredes exteriores altas tipo muro de divisa de elementos unitários como blocos ou tijolos.</t>
  </si>
  <si>
    <t>Paredes exteriores altas tipo muro divisor de elementos unitarios como bloques o ladrillos.</t>
  </si>
  <si>
    <t>Parede.Externa.Baixa</t>
  </si>
  <si>
    <t>Paredes exteriores baixas tipo mureta levantadas pela sobreposição de elementos unitários como blocos ou tijolos.</t>
  </si>
  <si>
    <t>Paredes exteriores bajas levantadas por la superposición de elementos unitarios como bloques o ladrillos.</t>
  </si>
  <si>
    <t>Divisórias</t>
  </si>
  <si>
    <t>Fixas</t>
  </si>
  <si>
    <t>Drywall</t>
  </si>
  <si>
    <t>Divisória tipo DryWall.</t>
  </si>
  <si>
    <t>Tabique tipo DryWall.</t>
  </si>
  <si>
    <t>Drywall.Acústico</t>
  </si>
  <si>
    <t>Divisória tipo DryWall reforçada com chapas acústicas e isolamento de lá de vidro.</t>
  </si>
  <si>
    <t xml:space="preserve">Tabique tipo DryWall reforzado con chapas acústicas y aislamiento com lana de vidro. </t>
  </si>
  <si>
    <t>Divisória.Vidro</t>
  </si>
  <si>
    <t>Divisória de vidro.</t>
  </si>
  <si>
    <t>Tabique de vidrio.</t>
  </si>
  <si>
    <t>Divisória.Gesso</t>
  </si>
  <si>
    <t>Divisória de gesso.</t>
  </si>
  <si>
    <t>Tabique de yeso.</t>
  </si>
  <si>
    <t>Divisória.Naval</t>
  </si>
  <si>
    <t xml:space="preserve">Divisória leve tipo naval com placas de 1,20 x 2,10 m e espessura de 3,5 cm. </t>
  </si>
  <si>
    <t xml:space="preserve">Tabique leve tipo divisória naval de placas de 1,20 x 2,10 m y espesor de 3,5 cm. </t>
  </si>
  <si>
    <t>Divisória.Laminada</t>
  </si>
  <si>
    <t>Divisória de placas de laminado estrutural TS para boxes sanitários.</t>
  </si>
  <si>
    <t>Tabique de placa de laminado estrutural TS para división de cabinas sanitarias.</t>
  </si>
  <si>
    <t>Divisória.Pedra</t>
  </si>
  <si>
    <t>Divisória de placas de granilite para boxes sanitários.</t>
  </si>
  <si>
    <t>Tabique de placa de granilite para división de cabinas sanitarias.</t>
  </si>
  <si>
    <t>Divisória.Acústica</t>
  </si>
  <si>
    <t>Divisória montada fixa acústica</t>
  </si>
  <si>
    <t>Tabique acústico fijo montado</t>
  </si>
  <si>
    <t>Divisória.Cega</t>
  </si>
  <si>
    <t>Divisória montada fixa cega</t>
  </si>
  <si>
    <t>Tabique ciego fijo montado</t>
  </si>
  <si>
    <t>Divisória.Com.Visor</t>
  </si>
  <si>
    <t>Divisória montada fixa com visor</t>
  </si>
  <si>
    <t>Tabique fijo montado con vidrio</t>
  </si>
  <si>
    <t>Articuladas</t>
  </si>
  <si>
    <t>Divisória.Deslizante</t>
  </si>
  <si>
    <t>Divisória montada articulada deslizante</t>
  </si>
  <si>
    <t>Tabique deslizante montado con bisagras</t>
  </si>
  <si>
    <t>Divisória.Retratil</t>
  </si>
  <si>
    <t>Divisória montada articulada retrátil</t>
  </si>
  <si>
    <t>Tabique montado con bisagras retráctil</t>
  </si>
  <si>
    <t>Divisória.Sanfonada</t>
  </si>
  <si>
    <t>Divisória montada articulada sanfonada</t>
  </si>
  <si>
    <t>Tabique plegable montado con bisagras</t>
  </si>
  <si>
    <t>Divisória.Pivotante</t>
  </si>
  <si>
    <t>Divisória montada articulada pivotante</t>
  </si>
  <si>
    <t>Tabique pivotante montado con bisagras</t>
  </si>
  <si>
    <t>Gradeamentos</t>
  </si>
  <si>
    <t>Delimitadores</t>
  </si>
  <si>
    <t>Grades</t>
  </si>
  <si>
    <t>Gradil.de.Barra</t>
  </si>
  <si>
    <t xml:space="preserve">Gradil de barras chatas de aço estrutural de alta resistência. </t>
  </si>
  <si>
    <t>Rejas de barras planas de acero estructural de alta resistencia.</t>
  </si>
  <si>
    <t>Gradil.de.Arame</t>
  </si>
  <si>
    <t xml:space="preserve">Gradil aramado de aço galvanizado. </t>
  </si>
  <si>
    <t>Rejas de alambre de acero galvanizado.</t>
  </si>
  <si>
    <t>Bancadas</t>
  </si>
  <si>
    <t>Bancadas.Apoio</t>
  </si>
  <si>
    <t>Ban.Residenciais</t>
  </si>
  <si>
    <t>Bancada.Banheiro</t>
  </si>
  <si>
    <t>Bancada de apóio para equipamento sanitário.</t>
  </si>
  <si>
    <t>Bancada de apoyo para equipos sanitarios.</t>
  </si>
  <si>
    <t>Bancada.Cozinha</t>
  </si>
  <si>
    <t>Bancada de apóio para equipamento de cozinhas e copas.</t>
  </si>
  <si>
    <t>Bancada de apoyo para equipos de cocina y despensa.</t>
  </si>
  <si>
    <t>Bancada.Bar</t>
  </si>
  <si>
    <t>Bancada de apóio para equipamento de bares.</t>
  </si>
  <si>
    <t>Bancada de apoyo para equipos de bares.</t>
  </si>
  <si>
    <t>Ban.Laboratoriais</t>
  </si>
  <si>
    <t>Bancada.Laboratório</t>
  </si>
  <si>
    <t>Bancada de apóio para equipamento de laboratório simples.</t>
  </si>
  <si>
    <t>Bancada de apoyo para equipos de laboratorio simples.</t>
  </si>
  <si>
    <t>Bancada.Química</t>
  </si>
  <si>
    <t>Bancada de apóio para equipamento de laboratório de química que pode necessitar desagues e instalações especiais.</t>
  </si>
  <si>
    <t>Bancada de apoyo para equipos de laboratorio de química que pueden requerir drenajes e instalaciones especiales.</t>
  </si>
  <si>
    <t>Bancada.Biológica</t>
  </si>
  <si>
    <t>Bancada de apóio para equipamento de laboratório biológico que pode necessitar instalações especiais.</t>
  </si>
  <si>
    <t>Bancada de apoyo para equipos de laboratorio biológico que pueden requerir instalaciones especiales.</t>
  </si>
  <si>
    <t>Eq.Sanitários</t>
  </si>
  <si>
    <t>De.Banheiros</t>
  </si>
  <si>
    <t>Peça.Sanitária</t>
  </si>
  <si>
    <t>é.componente.de some Ambientes</t>
  </si>
  <si>
    <t>é.componente.de only Banheiros</t>
  </si>
  <si>
    <t>Terminal sanitário é um aparelho fixo ou terminal geralmente abastecido com água e usado para beber.</t>
  </si>
  <si>
    <t>Terminal sanitario es un aparato fijo o terminal que generalmente se suministra con agua y se utiliza para beber.</t>
  </si>
  <si>
    <t>Banheira</t>
  </si>
  <si>
    <t>Aparelho sanitário para imersão do corpo humano ou partes dele.</t>
  </si>
  <si>
    <t>Aparatos sanitarios para la inmersión del cuerpo humano o partes del mismo.</t>
  </si>
  <si>
    <t>Bebedouro</t>
  </si>
  <si>
    <t>Terminal sanitário que fornece um jato de água de baixa pressão para uma finalidade específica.</t>
  </si>
  <si>
    <t>Terminal sanitaria que proporciona un chorro de agua a baja presión para un fin específico.</t>
  </si>
  <si>
    <t>Aparelho de águas residuais para lavar os órgãos excretores enquanto está sentado montado na bacia sanitária.</t>
  </si>
  <si>
    <t>Aparato de aguas residuales para enjuagar los órganos excretores mientras se está sentado, montado en el inodoro.</t>
  </si>
  <si>
    <t>Instalação ou aparelho de águas residuais que emite um jato de água para lavar o corpo humano.</t>
  </si>
  <si>
    <t>Una instalación o aparato de aguas residuales que emite un chorro de agua para lavar el cuerpo humano.</t>
  </si>
  <si>
    <t>Aparelho de águas residuais para lavar as partes superiores do corpo.</t>
  </si>
  <si>
    <t>Aparato de aguas residuales para lavar las partes superiores del cuerpo.</t>
  </si>
  <si>
    <t>é.componente.de only Banheiro.Masculino</t>
  </si>
  <si>
    <t>Aparelho de solo que recebe a urina e a direciona para uma saída de resíduos.</t>
  </si>
  <si>
    <t>Aparato de tierra que recibe la orina y la dirige a una salida de desechos.</t>
  </si>
  <si>
    <t>Pia</t>
  </si>
  <si>
    <t>Aparelho de águas residuais para recebimento, retenção ou eliminação de aparelhos domésticos, culinários, laboratoriais.</t>
  </si>
  <si>
    <t>Aparatos para aguas residuales para recibir, retener o eliminar aparatos domésticos, culinarios, de laboratorio.</t>
  </si>
  <si>
    <t>Vaso.Sanitário</t>
  </si>
  <si>
    <t>Aparelho de solo para eliminação de excrementos.</t>
  </si>
  <si>
    <t>Aparato de suelo para la eliminación de excrementos.</t>
  </si>
  <si>
    <t>Vaso.Sanitário.Assento</t>
  </si>
  <si>
    <t>Assento articulado obsoleto que se encaixa no topo de uma panela de vaso sanitário (wc).</t>
  </si>
  <si>
    <t>Asiento abatible obsoleto que se coloca encima de una bandeja de inodoro (inodoro).</t>
  </si>
  <si>
    <t>Vaso.Sanitário.Caixa</t>
  </si>
  <si>
    <t>Unidade de armazenamento de água conectada a um terminal sanitário equipado com um dispositivo, operado automaticamente.</t>
  </si>
  <si>
    <t>Unidad de almacenamiento de agua conectada a una terminal sanitaria equipada con un dispositivo, operada automáticamente.</t>
  </si>
  <si>
    <t>Eq.Climatização</t>
  </si>
  <si>
    <t>Aquecedores</t>
  </si>
  <si>
    <t>Aquecedor.de.Ambiente</t>
  </si>
  <si>
    <t>Os aquecedores de ambiente utilizam uma combinação de radiação e/ou convecção natural.</t>
  </si>
  <si>
    <t>Los calefactores utilizan una combinación de radiación natural y/o convección.</t>
  </si>
  <si>
    <t>Aquecedor.Convector</t>
  </si>
  <si>
    <t>Unidade de distribuição de calor que opera com ar circulado por gravidade.</t>
  </si>
  <si>
    <t>Unidad de distribución de calor que funciona con aire circulado por gravedad.</t>
  </si>
  <si>
    <t>Aquecedor.Radiação</t>
  </si>
  <si>
    <t>Unidade de distribuição de calor que opera com radiação térmica.</t>
  </si>
  <si>
    <t>Unidad de distribución de calor que funciona con radiación térmica.</t>
  </si>
  <si>
    <t>Eq.Elétricos</t>
  </si>
  <si>
    <t>Eq.Geral</t>
  </si>
  <si>
    <t>Aparelho.Elétrico</t>
  </si>
  <si>
    <t>Aparelho elétrico é um dispositivo destinado ao uso do consumidor que é alimentado por eletricidade.</t>
  </si>
  <si>
    <t>El aparato eléctrico es un dispositivo destinado al uso del consumidor que funciona con electricidad.</t>
  </si>
  <si>
    <t>Aquecedor.Agua.Portátil</t>
  </si>
  <si>
    <t>Pequeno aparelho elétrico local para aquecimento de água.</t>
  </si>
  <si>
    <t>Pequeño electrodoméstico local para calentar agua.</t>
  </si>
  <si>
    <t>Aquecedor.Portátil</t>
  </si>
  <si>
    <t>Aparelho elétrico que é usado ocasionalmente para fornecer calor.</t>
  </si>
  <si>
    <t>Aparato eléctrico que se utiliza ocasionalmente para proporcionar calor.</t>
  </si>
  <si>
    <t>Bebedouro.Portátil</t>
  </si>
  <si>
    <t>Pequeno aparelho elétrico local para resfriamento de água.</t>
  </si>
  <si>
    <t>Pequeño aparato eléctrico local para refrigeración por agua.</t>
  </si>
  <si>
    <t>Ventilador.Portátil</t>
  </si>
  <si>
    <t>Aparelho elétrico usado ocasionalmente para fornecer ventilação.</t>
  </si>
  <si>
    <t>Aparato eléctrico utilizado ocasionalmente para proporcionar ventilación.</t>
  </si>
  <si>
    <t>Seca.Mãos</t>
  </si>
  <si>
    <t>Aparelho elétrico que tem como função principal secar as mãos.</t>
  </si>
  <si>
    <t>Dispositivo eléctrico cuya función principal es secarse las manos.</t>
  </si>
  <si>
    <t>Eq.Cozinha</t>
  </si>
  <si>
    <t>Fogão.Elétrico</t>
  </si>
  <si>
    <t>Aparelho elétrico que tem a função principal de cozinhar alimentos (incluindo forno, fogão, grelhador).</t>
  </si>
  <si>
    <t>Aparato eléctrico que tiene la función principal de cocinar alimentos (incluyendo horno, estufa, parrilla).</t>
  </si>
  <si>
    <t>Forno.Microondas</t>
  </si>
  <si>
    <t>Aparelho elétrico que tem a função principal de cozinhar alimentos usando microondas.</t>
  </si>
  <si>
    <t>Aparato eléctrico que tiene como función principal la cocción de alimentos mediante microondas.</t>
  </si>
  <si>
    <t>Freezer</t>
  </si>
  <si>
    <t>Aparelho elétrico que tem como função principal armazenar alimentos em temperaturas abaixo do livre.</t>
  </si>
  <si>
    <t>Dispositivo eléctrico cuya función principal es almacenar alimentos a temperaturas inferiores a la libre.</t>
  </si>
  <si>
    <t>Geladeira</t>
  </si>
  <si>
    <t>Aparelho elétrico que combina as funções de um freezer e uma geladeira.</t>
  </si>
  <si>
    <t>Electrodoméstico que combina las funciones de un congelador y un refrigerador.</t>
  </si>
  <si>
    <t>LavaLouça</t>
  </si>
  <si>
    <t>Aparelho que tem como função principal lavar louça.</t>
  </si>
  <si>
    <t>Dispositivo cuya función principal es lavar los platos.</t>
  </si>
  <si>
    <t>Processador.Alimentos</t>
  </si>
  <si>
    <t>Aparelho especializado usado em cozinhas comerciais, como uma batedeira.</t>
  </si>
  <si>
    <t>Electrodoméstico especializado utilizado en cocinas comerciales, como una batidora de pie.</t>
  </si>
  <si>
    <t>Refrigerador</t>
  </si>
  <si>
    <t>Aparelho elétrico que tem a função principal de armazenar alimentos em baixa temperatura.</t>
  </si>
  <si>
    <t>Aparato eléctrico que tiene como función principal almacenar alimentos a baja temperatura.</t>
  </si>
  <si>
    <t>Eq.Serviço</t>
  </si>
  <si>
    <t>Lava.Roupa</t>
  </si>
  <si>
    <t>Eletrodoméstico que tem como função primordial lavar roupa.</t>
  </si>
  <si>
    <t>Aparato cuya función principal es lavar la ropa.</t>
  </si>
  <si>
    <t>Seca.Roupa</t>
  </si>
  <si>
    <t>Aparelho elétrico que tem a função principal de secar roupas.</t>
  </si>
  <si>
    <t>Dispositivo eléctrico que tiene como función principal el secado de la ropa.</t>
  </si>
  <si>
    <t>Eq.Escritório</t>
  </si>
  <si>
    <t>Fotocopiadora</t>
  </si>
  <si>
    <t>Máquina que tem a função primária de reprodução de material impresso.</t>
  </si>
  <si>
    <t>Máquina que tiene la función principal de reproducir material impreso.</t>
  </si>
  <si>
    <t>Máquina.Venda</t>
  </si>
  <si>
    <t>Aparelho que armazena e vende mercadorias, incluindo alimentos, bebidas, ingressos e mercadorias de vários tipos.</t>
  </si>
  <si>
    <t>Aparato que almacena y vende bienes, incluyendo alimentos, bebidas, boletos y bienes de varios tipos.</t>
  </si>
  <si>
    <t>Eq.AudioVisuais</t>
  </si>
  <si>
    <t>Aparelho.Avi</t>
  </si>
  <si>
    <t>Aparelho.AudioVisual</t>
  </si>
  <si>
    <t>é.componente.de some Salas.Especializadas</t>
  </si>
  <si>
    <t>Aparelho audiovisual é um dispositivo que exibe, captura, transmite ou recebe áudio ou vídeo.</t>
  </si>
  <si>
    <t>Un dispositivo audiovisual es un dispositivo que muestra, captura, transmite o recibe audio o vídeo.</t>
  </si>
  <si>
    <t>Amplificador</t>
  </si>
  <si>
    <t>Dispositivo que recebe um sinal de áudio e o amplifica para ser reproduzido por meio de alto-falantes.</t>
  </si>
  <si>
    <t>Un dispositivo que recibe una señal de audio y la amplifica para ser reproducida a través de altavoces.</t>
  </si>
  <si>
    <t>Câmera</t>
  </si>
  <si>
    <t>Dispositivo que grava imagens, seja como uma fotografia estática ou como imagens em movimento.</t>
  </si>
  <si>
    <t>Un dispositivo que graba imágenes, ya sea como una fotografía fija o como imágenes en movimiento.</t>
  </si>
  <si>
    <t>Terminal.de.Comunicação</t>
  </si>
  <si>
    <t>Terminal de comunicação é um dispositivo de comunicação de áudio que geralmente é instalado ao longo do transporte.</t>
  </si>
  <si>
    <t>El terminal de comunicación es un dispositivo de comunicación de audio que generalmente se instala a lo largo del transporte.</t>
  </si>
  <si>
    <t>Monitor</t>
  </si>
  <si>
    <t>Dispositivo eletrônico que representa informações em forma visual, como uma tela plana.</t>
  </si>
  <si>
    <t>Un dispositivo electrónico que representa información en forma visual, como una pantalla plana.</t>
  </si>
  <si>
    <t>Microfone</t>
  </si>
  <si>
    <t>Transdutor ou sensor acústico para elétrico que converte o som num sinal elétrico.</t>
  </si>
  <si>
    <t>Transductor o sensor acústico a eléctrico que convierte el sonido en una señal eléctrica.</t>
  </si>
  <si>
    <t>Reprodutor</t>
  </si>
  <si>
    <t>Dispositivo que reproduz conteúdo de áudio e/ou vídeo diretamente ou para outro dispositivo, possuindo mídia de armazenamento.</t>
  </si>
  <si>
    <t>Un dispositivo que reproduce contenido de audio y/o video directamente o en otro dispositivo, con medios de almacenamiento.</t>
  </si>
  <si>
    <t>Projetor</t>
  </si>
  <si>
    <t>Aparelho para projetar uma imagem numa tela.</t>
  </si>
  <si>
    <t>Dispositivo para proyectar una imagen en una pantalla.</t>
  </si>
  <si>
    <t>Receptor</t>
  </si>
  <si>
    <t>Dispositivo que recebe sinais de áudio e/ou vídeo, comuta fontes e amplifica sinais para reprodução.</t>
  </si>
  <si>
    <t>Dispositivo que recibe señales de audio y/o vídeo, cambia de fuente y amplifica las señales para su reproducción.</t>
  </si>
  <si>
    <t>Equipo.de.Gravação</t>
  </si>
  <si>
    <t>Equipamento de gravação é um dispositivo que grava chamadas telefônicas ou outros tipos de dados de áudio.</t>
  </si>
  <si>
    <t>El equipo de grabación es un dispositivo que graba llamadas telefónicas u otros tipos de datos de audio.</t>
  </si>
  <si>
    <t>Alto-falante</t>
  </si>
  <si>
    <t>Alto-falante, alto-falante ou sistema de alto-falantes.</t>
  </si>
  <si>
    <t>Altavoz, altavoz o sistema de altavoces.</t>
  </si>
  <si>
    <t>Comutador</t>
  </si>
  <si>
    <t>Dispositivo que recebe sinais de áudio e/ou vídeo, alterna fontes e transmite sinais.</t>
  </si>
  <si>
    <t>Un dispositivo que recibe señales de audio y/o video, cambia de fuente y transmite señales.</t>
  </si>
  <si>
    <t>Telefone</t>
  </si>
  <si>
    <t>Dispositivo de telecomunicações usado para transmitir e receber som e, opcionalmente, vídeo.</t>
  </si>
  <si>
    <t>Dispositivo de telecomunicaciones utilizado para transmitir y recibir sonido y, opcionalmente, vídeo.</t>
  </si>
  <si>
    <t>Sintonizador</t>
  </si>
  <si>
    <t>Receptor eletrônico que detecta, demodula e amplifica sinais transmitidos.</t>
  </si>
  <si>
    <t>Receptor electrónico que detecta, demodula y amplifica las señales transmitidas.</t>
  </si>
  <si>
    <t>Eq.Hospitalares</t>
  </si>
  <si>
    <t>Aparelho.Saúde</t>
  </si>
  <si>
    <t>Dispositivo.Médico</t>
  </si>
  <si>
    <t>é.componente.de only Hospitalares</t>
  </si>
  <si>
    <t>Dispositivo médico está ligado a sistema de tubulação médica e opera sobre gases medicinais.</t>
  </si>
  <si>
    <t>El dispositivo médico está conectado al sistema de tuberías médicas y funciona con gases medicinales.</t>
  </si>
  <si>
    <t>Ar.Medicinal.Estação</t>
  </si>
  <si>
    <t>Dispositivo que proporciona ar médico purificado, composto por um compressor aéreo.</t>
  </si>
  <si>
    <t>Dispositivo que proporciona aire medicinal purificado, compuesto por un compresor aéreo.</t>
  </si>
  <si>
    <t>Ar.Medicinal.Alimentador</t>
  </si>
  <si>
    <t>Dispositivo que alimenta um gerador de oxigênio, composto por um compressor de ar, linha de tratamento de ar.</t>
  </si>
  <si>
    <t>Dispositivo que alimenta un generador de oxígeno, que consta de un compresor de aire, línea de tratamiento de aire.</t>
  </si>
  <si>
    <t>Vácuo.Medicinal.Estação</t>
  </si>
  <si>
    <t>Dispositivo que fornece sucção, composto por uma bomba de vácuo e linha de filtração bacteriana.</t>
  </si>
  <si>
    <t>Dispositivo que proporciona succión, compuesto por una bomba de vacío y una línea de filtración bacteriana.</t>
  </si>
  <si>
    <t>Oxigênio.Gerador</t>
  </si>
  <si>
    <t>Dispositivo que gera oxigênio do ar.</t>
  </si>
  <si>
    <t>Un dispositivo que genera oxígeno a partir del aire.</t>
  </si>
  <si>
    <t>Oxigênio.Usina</t>
  </si>
  <si>
    <t>Dispositivo que combina uma unidade de ar de alimentação, gerador de oxigênio e backup de cilindros.</t>
  </si>
  <si>
    <t>Dispositivo que combina una unidad de suministro de aire, un generador de oxígeno y cilindros de respaldo.</t>
  </si>
  <si>
    <t>Chamada.Enfermagem</t>
  </si>
  <si>
    <t>Dispositivo para chamar à enfermagem.</t>
  </si>
  <si>
    <t>Dispositivo para llamar a la enfermería.</t>
  </si>
  <si>
    <t>Eq.Telecom</t>
  </si>
  <si>
    <t>Aparelho.Fixo</t>
  </si>
  <si>
    <t>Dispositivo.Comunicação</t>
  </si>
  <si>
    <t>Aparelho de comunicações transmite e recebe informações eletrônicas ou digitais como dados ou som.</t>
  </si>
  <si>
    <t>El dispositivo de comunicación transmite y recibe información electrónica o digital, como datos o sonido.</t>
  </si>
  <si>
    <t>Antena</t>
  </si>
  <si>
    <t>Transdutor projetado para transmitir ou receber ondas eletromagnéticas.</t>
  </si>
  <si>
    <t>Transductor diseñado para transmitir o recibir ondas electromagnéticas.</t>
  </si>
  <si>
    <t>Autômato</t>
  </si>
  <si>
    <t>Dispositivo artificial de ação automática, cujo comportamento é governado de maneira gradual.</t>
  </si>
  <si>
    <t>Dispositivo artificial de acción automática, cuyo comportamiento se rige gradualmente.</t>
  </si>
  <si>
    <t>Computador</t>
  </si>
  <si>
    <t>Computador de mesa, portátil, 'tablet' ou outro tipo de computador que pode ser movido de um lugar.</t>
  </si>
  <si>
    <t>Computadora de escritorio, portátil, tableta u otro tipo de computadora que se pueda mover de un solo lugar.</t>
  </si>
  <si>
    <t>Fax</t>
  </si>
  <si>
    <t>Máquina que tem a função principal de transmitir uma cópia fac-símile de material impresso.</t>
  </si>
  <si>
    <t>Máquina que tiene como función principal transmitir una copia facsímil de material impreso.</t>
  </si>
  <si>
    <t>Portal.de.Rede</t>
  </si>
  <si>
    <t>Gateway conecta vários segmentoss de rede com diferentes protocolos em todas as camadas (camadas 1-7).</t>
  </si>
  <si>
    <t>La puerta de enlace conecta múltiples segmentos de red con diferentes protocolos en todas las capas (capas 1-7).</t>
  </si>
  <si>
    <t>Periférico.Inteligente</t>
  </si>
  <si>
    <t>Periférico inteligente é um dispositivo que oferece uma variedade de recursos especializados.</t>
  </si>
  <si>
    <t>El periférico inteligente es un dispositivo que ofrece una variedad de funciones especializadas.</t>
  </si>
  <si>
    <t>Equipamento.Rede.IP</t>
  </si>
  <si>
    <t>Equipamento de rede ip é um dispositivo que fornece canal de transmissão de dados ip para subsistemas de telecomunicações.</t>
  </si>
  <si>
    <t>El equipo de red IP es un dispositivo que proporciona un canal de transmisión de datos IP para subsistemas de telecomunicaciones.</t>
  </si>
  <si>
    <t>Unidade.Eletrônica.de.Linhas.IDE</t>
  </si>
  <si>
    <t>A unidade eletrônica de linha (leu) é a interface entre a baliza e o intertravamento na ferrovia.</t>
  </si>
  <si>
    <t>La unidad de línea electrónica (leu) es la interfaz entre la baliza y el enclavamiento en el ferrocarril.</t>
  </si>
  <si>
    <t>Modem</t>
  </si>
  <si>
    <t>Modem (de modulador-demodulador) é um dispositivo que modula um sinal de portadora analógica para codificar.</t>
  </si>
  <si>
    <t>Un módem (modulador-demodulador) es un dispositivo que modula una señal portadora analógica para codificar.</t>
  </si>
  <si>
    <t>Rede</t>
  </si>
  <si>
    <t>Dispositivo de rede executa uma função dedicada, como proteção de firewall, filtragem de conteúdo.</t>
  </si>
  <si>
    <t>El dispositivo de red realiza una función dedicada, como protección de firewall, filtrado de contenido.</t>
  </si>
  <si>
    <t>Rede.Ponte</t>
  </si>
  <si>
    <t>Ponte de rede conecta vários segmentoss de rede na camada de enlace de dados (camada 2) do modo osi.</t>
  </si>
  <si>
    <t>El puente de red conecta múltiples segmentos de red en la capa de enlace de datos (capa 2) del modo OSI.</t>
  </si>
  <si>
    <t>Rede.Hub</t>
  </si>
  <si>
    <t>Hub de rede conecta vários segmentoss de rede na camada física (camada 1) do modelo osi.</t>
  </si>
  <si>
    <t>Network Hub conecta varios segmentos de red en la capa física (capa 1) del modelo OSI.</t>
  </si>
  <si>
    <t>Terminal.Linha.Óptica</t>
  </si>
  <si>
    <t>Terminal de linha óptica é um ponto final do provedor de serviços de uma rede óptica passiva ou ativa.</t>
  </si>
  <si>
    <t>El terminal de línea óptica es un punto final del proveedor de servicios de una red óptica pasiva o activa.</t>
  </si>
  <si>
    <t>Unidade.Rede.Óptica</t>
  </si>
  <si>
    <t>Unidade de rede óptica é um tipo de equipamento de conexão de rede de transmissão óptica.</t>
  </si>
  <si>
    <t>La unidad de red óptica es un tipo de equipo de conexión de red de transmisión óptica.</t>
  </si>
  <si>
    <t>Impressora</t>
  </si>
  <si>
    <t>Máquina que tem a função principal de imprimir texto e/ou gráficos em papel ou outra mídia.</t>
  </si>
  <si>
    <t>Máquina que tiene como función principal imprimir texto y/o gráficos en papel u otros soportes.</t>
  </si>
  <si>
    <t>Central.de.Rádio</t>
  </si>
  <si>
    <t>Centro de blocos de rádio é um dispositivo de computação especializado em ferrovias.</t>
  </si>
  <si>
    <t>El centro de bloques de radio es un dispositivo informático especializado en ferrocarriles.</t>
  </si>
  <si>
    <t>Repetidor</t>
  </si>
  <si>
    <t>Repetidor é um dispositivo eletrônico que recebe um sinal e o retransmite num nível mais alto.</t>
  </si>
  <si>
    <t>Un repetidor es un dispositivo electrónico que recibe una señal y la transmite a un nivel superior.</t>
  </si>
  <si>
    <t>Roteador</t>
  </si>
  <si>
    <t>Roteador é um dispositivo de rede cujo software e hardware são geralmente adaptados às tarefas de roteamento.</t>
  </si>
  <si>
    <t>Un router es un dispositivo de red cuyo software y hardware suelen estar adaptados a las tareas de enrutamiento.</t>
  </si>
  <si>
    <t>Escaner</t>
  </si>
  <si>
    <t>Máquina que tem a função principal de digitalizar o conteúdo do material impresso e convertê-lo.</t>
  </si>
  <si>
    <t>Máquina que tiene como función principal digitalizar el contenido del material impreso y convertirlo.</t>
  </si>
  <si>
    <t>Telecomando</t>
  </si>
  <si>
    <t>Sistema de envio de comando para controlar e monitorar os interruptores e disjuntores ou sistemas diretamente.</t>
  </si>
  <si>
    <t>Sistema de despacho de comandos para controlar y monitorear los interruptores y disyuntores o sistemas directamente.</t>
  </si>
  <si>
    <t>Central.Telefônica</t>
  </si>
  <si>
    <t>Central telefônica é um dispositivo que garante o roteamento de chamadas telefônicas e comunicações.</t>
  </si>
  <si>
    <t>La centralita es un dispositivo que garantiza el enrutamiento de las llamadas telefónicas y las comunicaciones.</t>
  </si>
  <si>
    <t>Componente.Transição</t>
  </si>
  <si>
    <t>Componente de transição é um dispositivo ativo menor que converte sinais elétricos em sinais ópticos.</t>
  </si>
  <si>
    <t>El componente de transición es un dispositivo activo más pequeño que convierte las señales eléctricas en señales ópticas.</t>
  </si>
  <si>
    <t>Transponder</t>
  </si>
  <si>
    <t>Dispositivo de comunicação, monitoramento ou controle de recepção de sinal.</t>
  </si>
  <si>
    <t>Un dispositivo para la comunicación, monitoreo o control de la recepción de señales.</t>
  </si>
  <si>
    <t>Equipamento.de.Transporte</t>
  </si>
  <si>
    <t>Equipamento de transporte é um elemento de rede responsável por fornecer funcionalidade de transporte.</t>
  </si>
  <si>
    <t>El equipo de transporte es un elemento de la red responsable de proporcionar la funcionalidad del transporte.</t>
  </si>
  <si>
    <t>Aparelho.Móvel</t>
  </si>
  <si>
    <t>Dispositivo.Comunicação.Móvel</t>
  </si>
  <si>
    <t>Aparelho de telecomunicações móveis é um dispositivo que transmite, converte, amplifica ou recebe sinais.</t>
  </si>
  <si>
    <t>Un dispositivo de telecomunicaciones móviles es un dispositivo que transmite, convierte, amplifica o recibe señales.</t>
  </si>
  <si>
    <t>Ponto.de.Acesso</t>
  </si>
  <si>
    <t>Ponto de acesso é um dispositivo que permite que dispositivos sem fio se conectem a uma rede com fio.</t>
  </si>
  <si>
    <t>Un punto de acceso es un dispositivo que permite que los dispositivos inalámbricos se conecten a una red cableada.</t>
  </si>
  <si>
    <t>Unidade.Banda.Base</t>
  </si>
  <si>
    <t>Unidade de banda base é um componente de uma estação transceptora de base distribuída.</t>
  </si>
  <si>
    <t>Una unidad de banda base es un componente de una estación transceptora base distribuida.</t>
  </si>
  <si>
    <t>Base.Transceptora</t>
  </si>
  <si>
    <t>Estação transceptora base (bts) é um componente de rede que atende a uma célula.</t>
  </si>
  <si>
    <t>La estación transceptora base (BTS) es un componente de red que sirve a una celda.</t>
  </si>
  <si>
    <t>Nó.B.EUtran</t>
  </si>
  <si>
    <t>Nó e-utran b é um componente de rede lógica que serve a uma ou mais células e-utran.</t>
  </si>
  <si>
    <t>El nodo E-utran b es un componente de red lógica que sirve a una o más células e-utran.</t>
  </si>
  <si>
    <t>Gateway.Gprs.Serviço</t>
  </si>
  <si>
    <t>O nó de suporte gprs do gateway é um componente da rede principal gprs que estende o gsm.</t>
  </si>
  <si>
    <t>El nodo de soporte gprs de puerta de enlace es un componente de la red central gprs que extiende gsm.</t>
  </si>
  <si>
    <t>Unidade.Master</t>
  </si>
  <si>
    <t>Unidade mestre é um componente de um repetidor para acoplar sinais de estação base.</t>
  </si>
  <si>
    <t>Una unidad maestra es un componente de un repetidor para acoplar señales de estación base.</t>
  </si>
  <si>
    <t>Comutação.Móvel</t>
  </si>
  <si>
    <t>O centro de comutação móvel (msc) constitui a interface entre o sistema de rádio e o sistema de comutação fixa.</t>
  </si>
  <si>
    <t>El centro móvil de conmutación (MSC) es la interfaz entre el sistema radioeléctrico y el sistema de conmutación fijo.</t>
  </si>
  <si>
    <t>Servidor.Msc</t>
  </si>
  <si>
    <t>O servidor msc compreende principalmente as partes de controle de chamadas (CC) e controle de mobilidade de um comutador móvel.</t>
  </si>
  <si>
    <t>El servidor msc comprende principalmente las partes de control de llamadas (CC) y control de movilidad de un conmutador móvil.</t>
  </si>
  <si>
    <t>Unidade.Controle.de.Pacotes</t>
  </si>
  <si>
    <t>Unidade de controle de pacotes executa algumas das tarefas de processamento do controlador da estação base para pacotes.</t>
  </si>
  <si>
    <t>La unidad de control de paquetes realiza algunas de las tareas de procesamiento del controlador de la estación base para paquetes.</t>
  </si>
  <si>
    <t>Unidade.Remota.de.Rádio</t>
  </si>
  <si>
    <t>Unidade de rádio remota é um componente de uma estação transceptora de base distribuída.</t>
  </si>
  <si>
    <t>Una unidad de radio remota es un componente de una estación transceptora base distribuida.</t>
  </si>
  <si>
    <t>UnidadeRemota</t>
  </si>
  <si>
    <t>Unidade remota é um dispositivo usado para amplificar o sinal de uma estação base.</t>
  </si>
  <si>
    <t>La unidad remota es un dispositivo utilizado para amplificar la señal de una estación base.</t>
  </si>
  <si>
    <t>Serviço.Suporte.Gprs</t>
  </si>
  <si>
    <t>O nó de suporte gprs de serviço (sgsn) é um componente da rede principal gprs.</t>
  </si>
  <si>
    <t>El nodo de soporte gprs de servicio (sgsn) es un componente de la red central gprs.</t>
  </si>
  <si>
    <t>Serviço.Assinante</t>
  </si>
  <si>
    <t>É um banco de dados responsável pelo gerenciamento de assinantes móveis.</t>
  </si>
  <si>
    <t>Es una base de datos encargada de gestionar los suscriptores móviles.</t>
  </si>
  <si>
    <t>Força.Motriz</t>
  </si>
  <si>
    <t>Motores.Térmicos</t>
  </si>
  <si>
    <t>Motor.Térmico</t>
  </si>
  <si>
    <t>Motor é um dispositivo que converte combustível em energia mecânica por meio da combustão.</t>
  </si>
  <si>
    <t>El motor es un dispositivo que convierte el combustible en energía mecánica a través de la combustión.</t>
  </si>
  <si>
    <t>Motor.de.Combustão.Externa</t>
  </si>
  <si>
    <t>Combustão é externa (vapor, lenha).</t>
  </si>
  <si>
    <t>La combustión es externa (vapor, leña).</t>
  </si>
  <si>
    <t>Motor.de.Combustão.Interna</t>
  </si>
  <si>
    <t>Combustão é interna (gasolina ou diesel).</t>
  </si>
  <si>
    <t>La combustión es interna (gasolina o diesel).</t>
  </si>
  <si>
    <t>Motores</t>
  </si>
  <si>
    <t>Motor</t>
  </si>
  <si>
    <t>Conexão de motor fornece os meios para conectar um motor como dispositivo de acionamento ao dispositivo acionado.</t>
  </si>
  <si>
    <t>La conexión del motor proporciona los medios para conectar un motor como dispositivo de accionamiento al dispositivo accionado.</t>
  </si>
  <si>
    <t>Motor.de.Correia</t>
  </si>
  <si>
    <t>Conexão indireta feita por meio de um loop contínuo flexível e moldado.</t>
  </si>
  <si>
    <t>Conexión indirecta realizada por medio de un bucle continuo flexible y moldeado.</t>
  </si>
  <si>
    <t>Motor.de.Acoplamento</t>
  </si>
  <si>
    <t>Conexão indireta feita por meio da viscosidade de um fluido.</t>
  </si>
  <si>
    <t>Conexión indirecta realizada a través de la viscosidad de un fluido.</t>
  </si>
  <si>
    <t xml:space="preserve">Motor.de.Acionamento.Direto </t>
  </si>
  <si>
    <t>Conexão física direta feita entre o motor e o dispositivo acionado.</t>
  </si>
  <si>
    <t>Conexión física directa entre el motor y el dispositivo accionado.</t>
  </si>
  <si>
    <t>Motores.Elétricos</t>
  </si>
  <si>
    <t>Motor.Elétrico</t>
  </si>
  <si>
    <t>Motor elétrico é um motor que é uma máquina para converter energia elétrica em energia mecânica.</t>
  </si>
  <si>
    <t>El motor eléctrico es un motor que es una máquina para convertir la energía eléctrica en energía mecánica.</t>
  </si>
  <si>
    <t>Motor.de.Corrente.Contínua</t>
  </si>
  <si>
    <t>Motor que usa energia de corrente contínua (CC) gerada ou retificada.</t>
  </si>
  <si>
    <t>Motor que utiliza energía de corriente continua (CC) generada o rectificada.</t>
  </si>
  <si>
    <t>Motor.de.Indução</t>
  </si>
  <si>
    <t>Motor de corrente alternada no qual o enrolamento primário num membro (geralmente o estator).</t>
  </si>
  <si>
    <t>Motor de corriente alterna en el que el devanado primario en un miembro (generalmente el estator).</t>
  </si>
  <si>
    <t>Motor.Polifásico</t>
  </si>
  <si>
    <t>Motor de indução bifásico ou trifásico no qual os enrolamentos, um para cada fase, são divididos uniformemente.</t>
  </si>
  <si>
    <t>Motor de inducción bifásico o trifásico en el que los devanados, uno para cada fase, se dividen uniformemente.</t>
  </si>
  <si>
    <t>Motor.Síncrono</t>
  </si>
  <si>
    <t>Motor que opera a uma velocidade constante até a carga total.</t>
  </si>
  <si>
    <t>Motor que funciona a una velocidad constante hasta plena carga.</t>
  </si>
  <si>
    <t>Motor.Síncrono.de.Relutância</t>
  </si>
  <si>
    <t>Motor síncrono com um design especial de rotor que alinha diretamente o rotor com o rotor rotativo.</t>
  </si>
  <si>
    <t>Motor síncrono con un diseño de rotor especial que alinea directamente el rotor con el rotor giratorio.</t>
  </si>
  <si>
    <t>Bombas</t>
  </si>
  <si>
    <t xml:space="preserve">Bomba </t>
  </si>
  <si>
    <t>Bomba é um dispositivo que transmite trabalho mecânico a fluidos ou lamas para movê-los através.</t>
  </si>
  <si>
    <t>La bomba es un dispositivo que transmite el trabajo mecánico a los fluidos o lodos para moverlos a través de ellos.</t>
  </si>
  <si>
    <t>Bomba.Circuladora</t>
  </si>
  <si>
    <t>Bomba de circulação é uma bomba genérica de baixa pressão e baixa capacidade.</t>
  </si>
  <si>
    <t>La bomba de circulación es una bomba genérica de baja presión y baja capacidad.</t>
  </si>
  <si>
    <t>Bomba.de.Sucção</t>
  </si>
  <si>
    <t>Bomba de sucção final, quando montada horizontalmente, tem uma única entrada horizontal no lado.</t>
  </si>
  <si>
    <t>La bomba de succión axial, cuando se monta horizontalmente, tiene una sola entrada horizontal en el lateral.</t>
  </si>
  <si>
    <t>Bomba.Bipartida</t>
  </si>
  <si>
    <t>Bomba bipartida, quando montada horizontalmente, tem uma entrada e uma saída de cada lado.</t>
  </si>
  <si>
    <t>La bomba dividida, cuando se monta horizontalmente, tiene una entrada y una salida a cada lado.</t>
  </si>
  <si>
    <t>Bomba.Submersível</t>
  </si>
  <si>
    <t>Bomba projetada para ser imersa num fluido, normalmente um tanque de coleta.</t>
  </si>
  <si>
    <t>Una bomba diseñada para ser sumergida en un fluido, generalmente un tanque de recolección.</t>
  </si>
  <si>
    <t>Bomba.de.Poço</t>
  </si>
  <si>
    <t>Bomba projetada para ficar em poços ou reservatórios para remoção de água acumulada.</t>
  </si>
  <si>
    <t>Bomba diseñada para colocarse em pozos o reservatorios para eliminar agua acumulada.</t>
  </si>
  <si>
    <t>Bomba.Vertical.em.Linha</t>
  </si>
  <si>
    <t>Bomba vertical em linha tem a bomba e o motor acoplados diretamente no corpo da bomba.</t>
  </si>
  <si>
    <t>La bomba vertical en línea tiene la bomba y el motor acoplados directamente al cuerpo de la bomba.</t>
  </si>
  <si>
    <t>Bomba.de.Turbina.Vertical</t>
  </si>
  <si>
    <t>Bomba de turbina vertical tem um motor montado verticalmente na carcaça da bomba para; poço úmido.</t>
  </si>
  <si>
    <t>La bomba de turbina vertical tiene un motor montado verticalmente en la carcasa de la bomba para; pozo húmedo.</t>
  </si>
  <si>
    <t>Mobílias</t>
  </si>
  <si>
    <t>Mob.Composta</t>
  </si>
  <si>
    <t>Móvel.Sistema</t>
  </si>
  <si>
    <t>Móveis definem móveis completos, como mesa, escrivaninha, cadeira ou armário.</t>
  </si>
  <si>
    <t>Muebles completos, como una mesa, un escritorio, una silla o un armario.</t>
  </si>
  <si>
    <t>Móvel.Sistema.Elemento</t>
  </si>
  <si>
    <t>Elemento de mobiliário do sistema define componentes de móveis modulares que não são colocados diretamente.</t>
  </si>
  <si>
    <t>El sistema de elementos de mobiliario define los componentes de los muebles modulares que no se colocan directamente.</t>
  </si>
  <si>
    <t>Móvel.Sistema.Painel</t>
  </si>
  <si>
    <t>Painel vertical usado para dividir espaços de trabalho.</t>
  </si>
  <si>
    <t>Panel vertical utilizado para dividir espacios de trabajo.</t>
  </si>
  <si>
    <t>Móvel.Sistema.Modulo</t>
  </si>
  <si>
    <t>Subrack é parte do gabinete técnico que é usado para armazenar e montar subunidades elétricas conectáveis.</t>
  </si>
  <si>
    <t>Forma parte del armario técnico que se utiliza para almacenar y montar subunidades eléctricas enchufables.</t>
  </si>
  <si>
    <t>Móvel.Sistema.Tampo</t>
  </si>
  <si>
    <t>Bancada da estação de trabalho.</t>
  </si>
  <si>
    <t>Banco de trabajo de la estación de trabajo.</t>
  </si>
  <si>
    <t>Mob.Residenciais</t>
  </si>
  <si>
    <t>é.componente.de only Residenciais</t>
  </si>
  <si>
    <t>Los muebles definen muebles completos, como una mesa, un escritorio, una silla o un armario.</t>
  </si>
  <si>
    <t>Cama.Solteirx</t>
  </si>
  <si>
    <t>Cama padrão de uma pessoa.</t>
  </si>
  <si>
    <t>Cama estándar para una persona.</t>
  </si>
  <si>
    <t>Cama.Viuvx</t>
  </si>
  <si>
    <t>Cama larga para uma pessoa.</t>
  </si>
  <si>
    <t>Cama grande para una persona.</t>
  </si>
  <si>
    <t>Cama.Casal</t>
  </si>
  <si>
    <t>Cama padrão para casal.</t>
  </si>
  <si>
    <t>Cama estándar para una pareja.</t>
  </si>
  <si>
    <t>Cama.Queen</t>
  </si>
  <si>
    <t>Cama ampla para casal.</t>
  </si>
  <si>
    <t>Cama grande para una pareja.</t>
  </si>
  <si>
    <t>Cama.King</t>
  </si>
  <si>
    <t>Cama muito ampla para casal.</t>
  </si>
  <si>
    <t>Cama muy grande para una pareja.</t>
  </si>
  <si>
    <t>Móveis para sentar uma única pessoa.</t>
  </si>
  <si>
    <t>Mueble para sentar una persona.</t>
  </si>
  <si>
    <t>Escribania</t>
  </si>
  <si>
    <t>Móveis com bancada e gavetas opcionais para uma única pessoa.</t>
  </si>
  <si>
    <t>Mueble con encimera y cajones opcionales para una sola persona.</t>
  </si>
  <si>
    <t>Poltrona</t>
  </si>
  <si>
    <t>Móveis para que se sente com conforto uma pessoa.</t>
  </si>
  <si>
    <t>Mueble para que se siente confortablemente una persona.</t>
  </si>
  <si>
    <t>Sofá.2.Lugares</t>
  </si>
  <si>
    <t>Móveis para que se sentem com conforto duas pessoas.</t>
  </si>
  <si>
    <t>Mueble para que se siente confortablemente dos personas.</t>
  </si>
  <si>
    <t>Sofá.3.Lugares</t>
  </si>
  <si>
    <t>Móveis para que se sentem com conforto três pessoas.</t>
  </si>
  <si>
    <t>Mueble para que se siente confortablemente tres personas.</t>
  </si>
  <si>
    <t>Móveis com bancada para várias pessoas.</t>
  </si>
  <si>
    <t>Mueble con encimera para varias personas.</t>
  </si>
  <si>
    <t>Armário.de.Livros</t>
  </si>
  <si>
    <t>Móveis com gavetas deslizantes para guardar arquivos.</t>
  </si>
  <si>
    <t>Mueble con cajones correderos para guardar archivos.</t>
  </si>
  <si>
    <t>Armário.de.Ferramentas</t>
  </si>
  <si>
    <t>Gabinete técnico é uma peça de mobiliário para segurar, exibir e proteger aparelhos técnicos.</t>
  </si>
  <si>
    <t>Mueble para guardar, sujetar, exponer o proteger las herramientas técnicas.</t>
  </si>
  <si>
    <t>Prateleira</t>
  </si>
  <si>
    <t>Móveis para guardar livros ou outros itens.</t>
  </si>
  <si>
    <t>Mueble para guardar libros u otros artículos.</t>
  </si>
  <si>
    <t>Mob.Ensino</t>
  </si>
  <si>
    <t>Cadeira.Aula</t>
  </si>
  <si>
    <t>é.componente.de only Escolares</t>
  </si>
  <si>
    <t>Cadeira para sala de aula.</t>
  </si>
  <si>
    <t>Silla para sala de aula.</t>
  </si>
  <si>
    <t>Mesa.Desenho</t>
  </si>
  <si>
    <t>Mesa para desenho.</t>
  </si>
  <si>
    <t>Mesa para dibujo.</t>
  </si>
  <si>
    <t>Mesa.Computador</t>
  </si>
  <si>
    <t>Mesa para computadora.</t>
  </si>
  <si>
    <t>Mesa para computador.</t>
  </si>
  <si>
    <t>Armário.Modelos</t>
  </si>
  <si>
    <t>Armário para modelos.</t>
  </si>
  <si>
    <t>Armário.Livros</t>
  </si>
  <si>
    <t>Armário para libros.</t>
  </si>
  <si>
    <t>Prateleira.Livros</t>
  </si>
  <si>
    <t>Prateleira para libros.</t>
  </si>
  <si>
    <t>Estante para libros.</t>
  </si>
  <si>
    <t>Mob.Hospital</t>
  </si>
  <si>
    <t>Cama.Hospitalar</t>
  </si>
  <si>
    <t>Cama hospitalar.</t>
  </si>
  <si>
    <t>Maca</t>
  </si>
  <si>
    <t>Maca hospitalar.</t>
  </si>
  <si>
    <t>Camilla hospitalar.</t>
  </si>
  <si>
    <t>Cadeira.Paciente</t>
  </si>
  <si>
    <t>Cadeira de paciente.</t>
  </si>
  <si>
    <t>Silla para paciente.</t>
  </si>
  <si>
    <t>Poltrona.Paciente</t>
  </si>
  <si>
    <t>Poltrona de paciente.</t>
  </si>
  <si>
    <t>Poltrona para paciente.</t>
  </si>
  <si>
    <t>Mesa.Atendimento</t>
  </si>
  <si>
    <t>Mesa para atendimento.</t>
  </si>
  <si>
    <t>Mesa para atendimiento.</t>
  </si>
  <si>
    <t>Armário.de.Roupa</t>
  </si>
  <si>
    <t>Armário de roupa.</t>
  </si>
  <si>
    <t>Armario de ropa.</t>
  </si>
  <si>
    <t>Armário.de.Medicinas</t>
  </si>
  <si>
    <t>Armário para medicinas.</t>
  </si>
  <si>
    <t>Armario para remedios.</t>
  </si>
  <si>
    <t>Prateleira.Medicinas</t>
  </si>
  <si>
    <t>Prateleira para medicinas.</t>
  </si>
  <si>
    <t>Coberturas</t>
  </si>
  <si>
    <t>Telhados</t>
  </si>
  <si>
    <t>Formas</t>
  </si>
  <si>
    <t>Telhado</t>
  </si>
  <si>
    <t xml:space="preserve">Cobertura é a parte superior de um edifício, que o protégé contra os efeitos do clima. </t>
  </si>
  <si>
    <t>Tejado es la parte superior de un edificio, que lo protege contra los efectos de la intemperie.</t>
  </si>
  <si>
    <t>Telhado.Verde</t>
  </si>
  <si>
    <t>Telhado ecológico com camadas drenantes e captadores de agua de chuva.</t>
  </si>
  <si>
    <t>Tejado verde ecológico, con capa drenante e captación de aguas pluviales.</t>
  </si>
  <si>
    <t>Telhado.Barril</t>
  </si>
  <si>
    <t>Telhado ou teto com forma semicilíndrica.</t>
  </si>
  <si>
    <t>Tejado con forma semicilíndrica.</t>
  </si>
  <si>
    <t>Telhado.Borboleta</t>
  </si>
  <si>
    <t>Tejado con dos vertientes, cada una de las cuales desciende hacia el alero.</t>
  </si>
  <si>
    <t>Telhado.Cúpula</t>
  </si>
  <si>
    <t>Telhado hemisférico.</t>
  </si>
  <si>
    <t>Tejado semiesférica.</t>
  </si>
  <si>
    <t>Telhado.Plano</t>
  </si>
  <si>
    <t>Telhado sem inclinação ou com apenas uma ligeira inclinação para drenar a água de chuva.</t>
  </si>
  <si>
    <t>Tejado sin pendiente o con solo una ligera pendiente para drenar el agua de lluvia.</t>
  </si>
  <si>
    <t>Telhado.Livre</t>
  </si>
  <si>
    <t>Telhado na forma livre.</t>
  </si>
  <si>
    <t>Tejado en forma libre.</t>
  </si>
  <si>
    <t>Telhado.Inclinado</t>
  </si>
  <si>
    <t>Telhado com uma única inclinação.</t>
  </si>
  <si>
    <t>Tejado a una sola vertiente.</t>
  </si>
  <si>
    <t>Telhado.2.Aguas</t>
  </si>
  <si>
    <t>Telhado inclinado para baixo em duas partes a partir de uma cumeeira central, de modo a formar uma empena em cada extremidade.</t>
  </si>
  <si>
    <t>Tejado que se inclina hacia abajo en dos partes desde una cumbrera central para formar un hastial en cada extremo.</t>
  </si>
  <si>
    <t>Telhado.4.Aguas</t>
  </si>
  <si>
    <t>Telhado com extremidades inclinadas e lados que se encontram numa projeção inclinada.</t>
  </si>
  <si>
    <t>Tejado con extremos inclinados y lados que se unen en un saliente inclinado.</t>
  </si>
  <si>
    <t>Telhado.Agua.Furtada</t>
  </si>
  <si>
    <t>Telhado com uma extremidade de quatro águas truncando uma empena.</t>
  </si>
  <si>
    <t>Tejado con un extremo a cuatro aguas que trunca un hastial.</t>
  </si>
  <si>
    <t>Telhado.Mansarda</t>
  </si>
  <si>
    <t>Telhado com de cada lado parte inferior mais íngreme e parte superior mais rasa.</t>
  </si>
  <si>
    <t>Tejado con fondo más empinado a cada lado y parte superior menos profunda.</t>
  </si>
  <si>
    <t>Telhado.Mansarda.Americana</t>
  </si>
  <si>
    <t>Tejado se inclina hacia abajo en dos partes desde una cumbrera central para formar un hastial en cada extremo.</t>
  </si>
  <si>
    <t>Telhado.Pavilhão</t>
  </si>
  <si>
    <t>Telhado de quadril piramidal.</t>
  </si>
  <si>
    <t>Tejado piramidal a cuatro aguas.</t>
  </si>
  <si>
    <t>Telhado.Arco.Iris</t>
  </si>
  <si>
    <t>Telhado de duas águas em forma de amplo arco gótico, com superfícies convexas e levemente inclinadas.</t>
  </si>
  <si>
    <t>Tejado a dos aguas en forma de amplio arco gótico, con superficies convexas y ligeramente inclinadas.</t>
  </si>
  <si>
    <t>Beiral</t>
  </si>
  <si>
    <t>Beiral.Frente</t>
  </si>
  <si>
    <t>Telhados: acabamento do beiral.</t>
  </si>
  <si>
    <t>Alero del tejado: terminación.</t>
  </si>
  <si>
    <t>Beiral.Forro</t>
  </si>
  <si>
    <t>Telhados: forro interno do beiral.</t>
  </si>
  <si>
    <t>Alero del tejado: cielorraso interno.</t>
  </si>
  <si>
    <t>Calhas</t>
  </si>
  <si>
    <t>Calha.Moldura</t>
  </si>
  <si>
    <t>Telhados: calha de aguas pluviais do beiral tipo moldura.</t>
  </si>
  <si>
    <t>Alero del tejado: canaleta de agua pluvial tipo moldura.</t>
  </si>
  <si>
    <t>Calha.Americana</t>
  </si>
  <si>
    <t>Telhados: calha de aguas pluviais do beiral tipo americana.</t>
  </si>
  <si>
    <t>Alero del tejado: canaleta de agua pluvial tipo americana.</t>
  </si>
  <si>
    <t>Calha.Quadrada</t>
  </si>
  <si>
    <t>Telhados: calha de aguas pluviais do beiral tipo quadrada.</t>
  </si>
  <si>
    <t>Alero del tejado: canaleta de agua pluvial tipo cuadrada.</t>
  </si>
  <si>
    <t>Calha.Rincão</t>
  </si>
  <si>
    <t>Telhados: calha de aguas pluviais do telhado para o rincão.</t>
  </si>
  <si>
    <t>Alero del tejado: canaleta de agua pluvial para el rincón.</t>
  </si>
  <si>
    <t>Perímetro</t>
  </si>
  <si>
    <t>Telhado.Abertura</t>
  </si>
  <si>
    <t>Telhados: aberturas.</t>
  </si>
  <si>
    <t>Tejados y cubiertas:: aperturas.</t>
  </si>
  <si>
    <t>Telhado.Perímetro</t>
  </si>
  <si>
    <t>Telhados: arestas interiores.</t>
  </si>
  <si>
    <t>Tejados y cubiertas: aristas interiores.</t>
  </si>
  <si>
    <t>Camada.de.Telhado</t>
  </si>
  <si>
    <t>Telhado.Projeção</t>
  </si>
  <si>
    <t>Telhados: projeção.</t>
  </si>
  <si>
    <t>Tejados y cubiertas: projeção.</t>
  </si>
  <si>
    <t>Telhado.Núcleo</t>
  </si>
  <si>
    <t>Telhados: núcleo.</t>
  </si>
  <si>
    <t>Tejados y cubiertas: núcleo.</t>
  </si>
  <si>
    <t>Telhado.Substrato</t>
  </si>
  <si>
    <t>Telhados: substrato.</t>
  </si>
  <si>
    <t>Tejados y cubiertas: substrato.</t>
  </si>
  <si>
    <t>Iluminação</t>
  </si>
  <si>
    <t>Lâmpadas</t>
  </si>
  <si>
    <t>Lâmpada</t>
  </si>
  <si>
    <t>é.componente.de only Luminárias</t>
  </si>
  <si>
    <t>Lâmpada é uma fonte de luz artificial, como uma lâmpada ou tubo.</t>
  </si>
  <si>
    <t>Una lámpara es una fuente de luz artificial, como una lámpara o un tubo.</t>
  </si>
  <si>
    <t>Lâmpada.Fluorescente.Compacta</t>
  </si>
  <si>
    <t>Lâmpada fluorescente com um fator de forma compacto produzida pela modelagem do tubo.</t>
  </si>
  <si>
    <t>Lámpara fluorescente con un factor de forma compacto producido por conformación de tubo.</t>
  </si>
  <si>
    <t>Lâmpada.Fluorescente</t>
  </si>
  <si>
    <t>Lâmpada de descarga tipicamente tubular na qual a maior parte da luz é emitida por uma ou várias camadas.</t>
  </si>
  <si>
    <t>Una lámpara de descarga típicamente tubular en la que la mayor parte de la luz es emitida por una o más capas.</t>
  </si>
  <si>
    <t>Lâmpada.Alta.Pressão.Mercúrio</t>
  </si>
  <si>
    <t>Lâmpada de descarga na qual a maior parte da luz é emitida por mercúrio excitante em alta pressão.</t>
  </si>
  <si>
    <t>Lámpara de descarga en la que la mayor parte de la luz es emitida por la excitación de mercurio a alta presión.</t>
  </si>
  <si>
    <t>Lâmpada.Alta.Pressão.Sódio</t>
  </si>
  <si>
    <t>Lâmpada de descarga na qual a maior parte da luz é emitida pela excitação de sódio a alta pressão.</t>
  </si>
  <si>
    <t>Lámpara de descarga en la que la mayor parte de la luz se emite por la excitación del sodio a alta presión.</t>
  </si>
  <si>
    <t>Lâmpada.LED</t>
  </si>
  <si>
    <t>Lâmpada (Light Emitting Diode) de estado sólido que usa diodos emissores de luz como fonte de luz.</t>
  </si>
  <si>
    <t>Lámpara de estado sólido que utiliza diodos emisores de luz como fuente de luz.</t>
  </si>
  <si>
    <t>Lâmpada.OLED</t>
  </si>
  <si>
    <t>Lâmpada (Organic Light Emitting Diode) de estado sólido que usa diodos emissores de luz como fonte de luz.</t>
  </si>
  <si>
    <t>Lâmpada.Halógena</t>
  </si>
  <si>
    <t>Lâmpada incandescente na qual um filamento de tungstênio é selado num envelope de transporte compacto preenchido.</t>
  </si>
  <si>
    <t>Lámpara incandescente en la que un filamento de tungsteno está sellado en un sobre de transporte compacto y lleno.</t>
  </si>
  <si>
    <t>Lâmpada.Iodetos.Metálicos</t>
  </si>
  <si>
    <t>Lâmpada de descarga na qual a maior parte da luz é emitida pela excitação de um haleto metálico. Usada em iluminação pública, industrial e esportiva.</t>
  </si>
  <si>
    <t>Lámpara de descarga en la que la mayor parte de la luz se emite por la excitación de un halogenuro metálico.  Usada en iluminación pública, industrial y deportiva.</t>
  </si>
  <si>
    <t>Lâmpada.Incandescente</t>
  </si>
  <si>
    <t>Lâmpada que emite luz passando uma corrente elétrica através de um filamento de fio de tungstênio.</t>
  </si>
  <si>
    <t>Una lámpara que emite luz haciendo pasar una corriente eléctrica a través de un filamento de alambre de tungsteno.</t>
  </si>
  <si>
    <t>Luminárias</t>
  </si>
  <si>
    <t>Luminária é um recipiente concebido para o uso de uma ou mais lâmpadas.</t>
  </si>
  <si>
    <t>Una luminaria es un recipiente diseñado para el uso de una o más lámparas.</t>
  </si>
  <si>
    <t>Luminária.Direcional</t>
  </si>
  <si>
    <t>Luminária que se considera ter um comprimento ou área de superfície a partir da qual emite luz.</t>
  </si>
  <si>
    <t>Una luminaria que se considera que tiene una longitud o área de superficie desde la cual emite luz.</t>
  </si>
  <si>
    <t>Luminária.Spot</t>
  </si>
  <si>
    <t>Luminária considerada de área desprezível e que emite luz com intensidade uniforme.</t>
  </si>
  <si>
    <t>Luminaria considerada de superficie insignificante y que emite luz con intensidad uniforme.</t>
  </si>
  <si>
    <t>Luminária.de.Segurança</t>
  </si>
  <si>
    <t>Luminária com finalidade específica de direcionar os ocupantes numa emergência, como um sinal.</t>
  </si>
  <si>
    <t>Una luminaria con el propósito específico de dirigir a los ocupantes en caso de emergencia, como señal.</t>
  </si>
  <si>
    <t>Fonte.de.Iluminação</t>
  </si>
  <si>
    <t>Fonte de luz para análise da distribuição do fluxo luminoso.</t>
  </si>
  <si>
    <t>Foco de luz usado para distribuir el flujo luminoso.</t>
  </si>
  <si>
    <t>Feixe.de.Luz</t>
  </si>
  <si>
    <t>Linha direcional de luz para análise da distribuição do fluxo luminoso.</t>
  </si>
  <si>
    <t>Dirección de la luz usada para distribuir el flujo luminoso.</t>
  </si>
  <si>
    <t>Luz</t>
  </si>
  <si>
    <t>Comunicação</t>
  </si>
  <si>
    <t>Visual</t>
  </si>
  <si>
    <t>Informativa</t>
  </si>
  <si>
    <t>Placa.Informativa</t>
  </si>
  <si>
    <t>Placa de informação visual.</t>
  </si>
  <si>
    <t>Placa de información visual.</t>
  </si>
  <si>
    <t>Totem.Informativo</t>
  </si>
  <si>
    <t>Totem com informação visual.</t>
  </si>
  <si>
    <t>Totem con información visual.</t>
  </si>
  <si>
    <t>Ornamentos</t>
  </si>
  <si>
    <t>De.Paredes</t>
  </si>
  <si>
    <t>Frisos</t>
  </si>
  <si>
    <t>Cornija</t>
  </si>
  <si>
    <t>Friso tipo cornija de parede.</t>
  </si>
  <si>
    <t>Friso ornamental tipo cornisa de pared.</t>
  </si>
  <si>
    <t>Borda.Laje</t>
  </si>
  <si>
    <t>Friso tipo borda de laje saliente.</t>
  </si>
  <si>
    <t>Friso ornamental tipo borde de losa sobresaliente.</t>
  </si>
  <si>
    <t>Nicho.Entalhado</t>
  </si>
  <si>
    <t>Friso tipo entalhes estriados.</t>
  </si>
  <si>
    <t>Friso ornamental tipo moldura ranurada.</t>
  </si>
  <si>
    <t>Circulações</t>
  </si>
  <si>
    <t>Verticales</t>
  </si>
  <si>
    <t>Elevadores</t>
  </si>
  <si>
    <t>Elevador</t>
  </si>
  <si>
    <t>Elevador é um equipamento mecânico para uma ligação de circulação vertical para pessoas, veículos ou produtos.</t>
  </si>
  <si>
    <t>Ascensor es um equipo mecánico para establecer conexión de circulación vertical para personas, vehículos o productos.</t>
  </si>
  <si>
    <t>Montacarga</t>
  </si>
  <si>
    <t>Montacarga é um equipamento mecânico para uma ligação de circulação vertical para equipamentos ou produtos.</t>
  </si>
  <si>
    <t>Ascensor es um equipo mecánico para establecer conexión de circulación vertical para equipamientos o productos.</t>
  </si>
  <si>
    <t>Rampas</t>
  </si>
  <si>
    <t>Rampa</t>
  </si>
  <si>
    <t>Rampa é uma passagem inclinada que proporciona uma ligação de circulação para pessoas ou veículos. Para ABNT NBR 9050 de acessibilidade a inclinação longitudinal máxima de 8,33% (1:12) em novos projetos.</t>
  </si>
  <si>
    <t>Una rampa es una pasarela inclinada que proporciona un enlace de tráfico para personas o vehículos. Para ABNT NBR 9050 de acesibilidad la inclinación longitudinal máxima de 8,33% (1:12) en nuevos proyectos.</t>
  </si>
  <si>
    <t>Lance.Rampa</t>
  </si>
  <si>
    <t>Trecho reto contínuo de rampa entre dois patamares.</t>
  </si>
  <si>
    <t>Trecho recto continuo de rampa entre dos descansos.</t>
  </si>
  <si>
    <t>Lance.Curvo.Rampa</t>
  </si>
  <si>
    <t>Trecho curvo contínuo de rampa entre dois patamares.</t>
  </si>
  <si>
    <t>Trecho curvo continuo de rampa entre dos descansos.</t>
  </si>
  <si>
    <t>Lance.Reto.Rampa</t>
  </si>
  <si>
    <t>Lance de rampa reto.</t>
  </si>
  <si>
    <t>Trecho de rampa recto.</t>
  </si>
  <si>
    <t>Rampa.Espiral</t>
  </si>
  <si>
    <t>Rampa com formato circular ou elíptico.</t>
  </si>
  <si>
    <t>Rampa con formato circular o elíptico.</t>
  </si>
  <si>
    <t>Rampa.U</t>
  </si>
  <si>
    <t>Rampa fazendo uma volta de 180°, consistindo em dois lances retos conectados por um único patamar de descanso.</t>
  </si>
  <si>
    <t>Rampa de um retorno de 180°, consistiendo en dos trechos rectos conectados por un único descanso.</t>
  </si>
  <si>
    <t>Rampa.U.Longo</t>
  </si>
  <si>
    <t>Rampa fazendo uma volta de 180°, consistindo em três lances retos conectados por dois patamares de descanso.</t>
  </si>
  <si>
    <t>Rampa de um retorno de 180°, consistindo en tres trechos rectos conectados por dos descansos.</t>
  </si>
  <si>
    <t>Rampa.L</t>
  </si>
  <si>
    <t>Rampa fazendo uma curva de 90 °, consistindo em dois lances retos conectados por um patamar de descanso.</t>
  </si>
  <si>
    <t>Rampa en  90°, consistiendo en dos trechos rectos conectados por un descanso.</t>
  </si>
  <si>
    <t>Rampa.Reta</t>
  </si>
  <si>
    <t>Rampa reta composta por um lance único.</t>
  </si>
  <si>
    <t>Rampa recta compuesta por un trecho.</t>
  </si>
  <si>
    <t>Rampa.Reta.Dois.Lances</t>
  </si>
  <si>
    <t>Rampa reta composta por dois lances retos alinhados com patamar intermediário.</t>
  </si>
  <si>
    <t>Rampa recta compuesta por dos trechos alineados con descanso intermediário.</t>
  </si>
  <si>
    <t>Rampa.Incompleta</t>
  </si>
  <si>
    <t>Rampas: incompletas.</t>
  </si>
  <si>
    <t>Rampa.Suporte.Lateral</t>
  </si>
  <si>
    <t>Rampas: suporte lateral.</t>
  </si>
  <si>
    <t>Rampa.Suporte.Lateral.Projeção</t>
  </si>
  <si>
    <t>Rampas: suporte lateral projeção cortada.</t>
  </si>
  <si>
    <t>Rampas: suporte lateral projección cortada.</t>
  </si>
  <si>
    <t>Rampa.Seta.Sobe</t>
  </si>
  <si>
    <t>Rampas: seta de subida.</t>
  </si>
  <si>
    <t>Rampas: flecha de subida.</t>
  </si>
  <si>
    <t>Rampa.Seta.Desce</t>
  </si>
  <si>
    <t>Rampas: seta de descida.</t>
  </si>
  <si>
    <t>Rampas: flecha de bajada.</t>
  </si>
  <si>
    <t>Rampa.Texto.Sobe</t>
  </si>
  <si>
    <t>Rampas: texto de subida.</t>
  </si>
  <si>
    <t>Rampa.Texto.Desce</t>
  </si>
  <si>
    <t>Rampas: texto de descida.</t>
  </si>
  <si>
    <t>Rampas: texto de bajada.</t>
  </si>
  <si>
    <t>Rampa.Projeção</t>
  </si>
  <si>
    <t>Rampas: projeção cortada.</t>
  </si>
  <si>
    <t>Rampas: projección cortada.</t>
  </si>
  <si>
    <t>Escadas</t>
  </si>
  <si>
    <t>Escada</t>
  </si>
  <si>
    <t>Escada é uma circulação vertical que permite que os ocupantes de um edifício se dirigirem a outros andares caminhando, sem utilizar elevadores.</t>
  </si>
  <si>
    <t>Las escaleras son una circulación vertical que permite a los ocupantes de um prédio se dirigir a otros pisos caminando, sem utilizar ascensores.</t>
  </si>
  <si>
    <t>Lance.Escada</t>
  </si>
  <si>
    <t xml:space="preserve">Lance de escada reta ou curva inclui componentes de uma única 'corrida' de degraus. inclui os degraus e as vigas laterais caso haja. </t>
  </si>
  <si>
    <t>El tramo de escaleras recto o curvo incluye los componentes de un solo 'tránsito' de escalones. Incluye escalones y vigas laterales, si los hubiera.</t>
  </si>
  <si>
    <t>Lance.Escada.Curvo</t>
  </si>
  <si>
    <t>Lance de escada com linha de percurso curva.</t>
  </si>
  <si>
    <t>Tramo de escaleras con línea de recorrido curva.</t>
  </si>
  <si>
    <t>Lance.Escada.Livre</t>
  </si>
  <si>
    <t>Lance de escada com uma linha de percurso de forma livre (e limites externos).</t>
  </si>
  <si>
    <t>Tramo de escaleras con una línea de camino de forma libre (y límites exteriores).</t>
  </si>
  <si>
    <t>Lance.Escada.Espiral</t>
  </si>
  <si>
    <t>Lance de escada com linha de caminhada circular ou elíptica.</t>
  </si>
  <si>
    <t>Tramo de escaleras con línea de paso circular o elíptica.</t>
  </si>
  <si>
    <t>Lance.Escada.Reto</t>
  </si>
  <si>
    <t>Lance de escada com uma linha de percurso reta.</t>
  </si>
  <si>
    <t>Tramo de escaleras con línea recta de recorrido.</t>
  </si>
  <si>
    <t>Lance.Escada.Compensado</t>
  </si>
  <si>
    <t>Lance de escada com uma linha de percurso incluindo seções retas e curvas.</t>
  </si>
  <si>
    <t>Tramo de escaleras con una línea de camino que incluye tramos rectos y curvos.</t>
  </si>
  <si>
    <t>Escada.Marinheiro</t>
  </si>
  <si>
    <t>Escada tipo marinheiro, composta por uma série de barras ou degraus entre dois elementos verticais. Pode ter gaiola de proteção.</t>
  </si>
  <si>
    <t>Escalera tipo marinero, compuesta por una serie de barras o peldaños entre dos elementos verticales. Puede tener una jaula antivuelco.</t>
  </si>
  <si>
    <t>Escada.Caracol</t>
  </si>
  <si>
    <t>Escada em formato circular, muitas vezes sem patamares.</t>
  </si>
  <si>
    <t>Escalera circular, a menudo sin descansillos.</t>
  </si>
  <si>
    <t>Escada.T</t>
  </si>
  <si>
    <t>Escada com um lance reto central que se divide em dois lances laterais a 90°.</t>
  </si>
  <si>
    <t>Escalera con un tramo recto central que se divide en dos tramos laterales a 90°.</t>
  </si>
  <si>
    <t>Escada.U</t>
  </si>
  <si>
    <t>Escada fazendo uma curva de 180°, consistindo em dois lances retos conectados por um patamar de meio espaço.</t>
  </si>
  <si>
    <t>Escalera que realiza un giro de 180°, que consta de dos tramos rectos conectados por un rellano de medio espacio.</t>
  </si>
  <si>
    <t>Escada.U.Compensada</t>
  </si>
  <si>
    <t>Escada que consiste num lance com um meio enrolador, que faz uma curva de 180°.</t>
  </si>
  <si>
    <t>Escalera que consiste en un vuelo con un medio sinuoso, que realiza un giro de 180°.</t>
  </si>
  <si>
    <t>Escada.L</t>
  </si>
  <si>
    <t>Escada de 2 lances retos conectados por 1 patamar plano.</t>
  </si>
  <si>
    <t>Escalera de 2 tramos rectos conectados por 1 descanso plano.</t>
  </si>
  <si>
    <t>Escada.L.Compensada</t>
  </si>
  <si>
    <t>Escada de 2 lances retos conectados por 1 patamar de degrais compensados.</t>
  </si>
  <si>
    <t>Escalera de 2 tramos rectos conectados por 1 descanso de escalones compensados.</t>
  </si>
  <si>
    <t>Escada.3.Lances</t>
  </si>
  <si>
    <t>Escada de 3 lances retos conectados por 2 patamares planos.</t>
  </si>
  <si>
    <t>Escalera de 3 tramos rectos conectados por 2 descansos planos.</t>
  </si>
  <si>
    <t>Escada.3.Lances.Compensada</t>
  </si>
  <si>
    <t>Escada de 3 lances retos conectados por 2 patamares de degraus compendados.</t>
  </si>
  <si>
    <t>Escalera de 3 tramos rectos conectados por 2 descansos de escalones terminados.</t>
  </si>
  <si>
    <t>Escada.4.Lances</t>
  </si>
  <si>
    <t>Escada de 4 lances retos conectados por 3 patamares planos.</t>
  </si>
  <si>
    <t>Escalera con 4 tramos rectos conectados por 3 descansos planos.</t>
  </si>
  <si>
    <t>Escada.4.Lances.Compensada</t>
  </si>
  <si>
    <t>Escada de 4 lances retos conectados por 3 patamares de degraus compendados.</t>
  </si>
  <si>
    <t>Escalera con 4 tramos rectos conectados por 3 descansos de escalones terminados.</t>
  </si>
  <si>
    <t>Escada.Reta</t>
  </si>
  <si>
    <t>Escada de um lance reto entre dois andares.</t>
  </si>
  <si>
    <t>Escalera de un tramo recto entre dos plantas.</t>
  </si>
  <si>
    <t>Escada.Reta.Dois.Lances</t>
  </si>
  <si>
    <t>Escada de dois lances retos alinhados com um patamar intermediário.</t>
  </si>
  <si>
    <t>Escalera de dos tramos rectos alineados con un descanso intermedio.</t>
  </si>
  <si>
    <t>Escada.Curva</t>
  </si>
  <si>
    <t>Escada curva que se estende de um nível.</t>
  </si>
  <si>
    <t>Escalera curva que se extiende desde un nivel.</t>
  </si>
  <si>
    <t>Escada.Curva.2.Lances</t>
  </si>
  <si>
    <t>Escada curva que se estende de um nível dividida em dois lances com patamar intermediário.</t>
  </si>
  <si>
    <t>Escalera curva que se extiende desde un nivel dividido en dos tramos con descanso intermedio.</t>
  </si>
  <si>
    <t>Escada.Multiplos.Andares</t>
  </si>
  <si>
    <t>Escada de múltiples andares.</t>
  </si>
  <si>
    <t>Escalera de varios pisos.</t>
  </si>
  <si>
    <t>Escada.Interrupção</t>
  </si>
  <si>
    <t>Escada Interrupção</t>
  </si>
  <si>
    <t>Escaleras: marca de interrupción.</t>
  </si>
  <si>
    <t>Escada.Interrupção.Projeção</t>
  </si>
  <si>
    <t>Escada Interrupção Projeção</t>
  </si>
  <si>
    <t>Escaleras: marca de interrupción por encima del corte.</t>
  </si>
  <si>
    <t>Escada.Patamar</t>
  </si>
  <si>
    <t>Escada Patamar</t>
  </si>
  <si>
    <t>Escalera: rellano.</t>
  </si>
  <si>
    <t>Escada.Naris</t>
  </si>
  <si>
    <t>Escada Naris</t>
  </si>
  <si>
    <t>Escalera: proyección del borde del escalón.</t>
  </si>
  <si>
    <t>Escada.Naris.Projeção</t>
  </si>
  <si>
    <t>Escada Naris Projeção</t>
  </si>
  <si>
    <t>Escaleras: proyección del borde del escalón por encima del corte.</t>
  </si>
  <si>
    <t>Escada.Contorno</t>
  </si>
  <si>
    <t>Escada Contorno</t>
  </si>
  <si>
    <t>Escaleras: líneas externas.</t>
  </si>
  <si>
    <t>Escada.Contorno.Projeção</t>
  </si>
  <si>
    <t>Escada Contorno Projeção</t>
  </si>
  <si>
    <t>Escaleras: líneas exteriores por encima del corte.</t>
  </si>
  <si>
    <t>Escada.Seta</t>
  </si>
  <si>
    <t>Escada Seta</t>
  </si>
  <si>
    <t>Escaleras: línea de camino.</t>
  </si>
  <si>
    <t>Escada.Seta.Projeção</t>
  </si>
  <si>
    <t>Escada Seta Projeção</t>
  </si>
  <si>
    <t>Escaleras: línea de camino por encima del corte.</t>
  </si>
  <si>
    <t>Escada.Degrau.Linha</t>
  </si>
  <si>
    <t>Escada Degrau Linha</t>
  </si>
  <si>
    <t>Escaleras: líneas de espejos.</t>
  </si>
  <si>
    <t>Escada.Degrau.Linha.Projeção</t>
  </si>
  <si>
    <t>Escada Degrau Linha Projeção</t>
  </si>
  <si>
    <t>Escaleras: líneas de espejo por encima del corte.</t>
  </si>
  <si>
    <t>Escada.Lance</t>
  </si>
  <si>
    <t>Escada Lance</t>
  </si>
  <si>
    <t>Escaleras: trecho.</t>
  </si>
  <si>
    <t>Escada.Esboço.Limite</t>
  </si>
  <si>
    <t>Escada Esboço Limite</t>
  </si>
  <si>
    <t>Escaleras esbozadas: líneas de contorno.</t>
  </si>
  <si>
    <t>Escada.Esboço.Patamar</t>
  </si>
  <si>
    <t>Escada Esboço Patamar</t>
  </si>
  <si>
    <t>Escaleras esbozadas: líneas de rellano.</t>
  </si>
  <si>
    <t>Escada.Esboço.Caminho</t>
  </si>
  <si>
    <t>Escada Esboço Caminho</t>
  </si>
  <si>
    <t>Escaleras esbozadas: líneas de camino.</t>
  </si>
  <si>
    <t>Escada.Esboço.Degraus</t>
  </si>
  <si>
    <t>Escada Esboço Degraus</t>
  </si>
  <si>
    <t>Escaleras esbozadas: líneas de espejos.</t>
  </si>
  <si>
    <t>Escada.Esboço.Lances</t>
  </si>
  <si>
    <t>Escada Esboço Lances</t>
  </si>
  <si>
    <t>Escaleras esbozadas: tirar líneas.</t>
  </si>
  <si>
    <t>Escada.Suporte</t>
  </si>
  <si>
    <t>Escada Suporte</t>
  </si>
  <si>
    <t>Soporte de escalera</t>
  </si>
  <si>
    <t>Escada.Suporte.Lateral</t>
  </si>
  <si>
    <t>Escada Suporte Lateral</t>
  </si>
  <si>
    <t>Soporte lateral de escalera</t>
  </si>
  <si>
    <t>Escada.Suporte.Projeção</t>
  </si>
  <si>
    <t>Escada Suporte Projeção</t>
  </si>
  <si>
    <t>Proyección de soporte de escalera</t>
  </si>
  <si>
    <t>Escada.Degraus</t>
  </si>
  <si>
    <t>Escada Degraus</t>
  </si>
  <si>
    <t>Escalones</t>
  </si>
  <si>
    <t>Escada.Degraus.Numeração</t>
  </si>
  <si>
    <t>Escada Degraus Numeração</t>
  </si>
  <si>
    <t>Numeración de escalones de escalera</t>
  </si>
  <si>
    <t>Escada.Seta.Sobe</t>
  </si>
  <si>
    <t>Escada Seta Sobe</t>
  </si>
  <si>
    <t>Escalera flechas de subida</t>
  </si>
  <si>
    <t>Escada.Texto.Sobe</t>
  </si>
  <si>
    <t>Escada Texto Sobe</t>
  </si>
  <si>
    <t>Texto Subir de escaleras</t>
  </si>
  <si>
    <t>Escada.Seta.Desce</t>
  </si>
  <si>
    <t>Escada Seta Desce</t>
  </si>
  <si>
    <t>Escalera flecha bajada</t>
  </si>
  <si>
    <t>Escada.Texto.Desce</t>
  </si>
  <si>
    <t>Escada Texto Desce</t>
  </si>
  <si>
    <t>Texto Bajar de escaleras</t>
  </si>
  <si>
    <t>Telemetrias</t>
  </si>
  <si>
    <t>MQTT</t>
  </si>
  <si>
    <t>Sensores</t>
  </si>
  <si>
    <t>Sensor</t>
  </si>
  <si>
    <t>Sensor é um dispositivo que mede uma quantidade física e a converte num sinal que pode ser lido.</t>
  </si>
  <si>
    <t>Un sensor es un dispositivo que mide una cantidad física y la convierte en una señal que se puede leer.</t>
  </si>
  <si>
    <t>Sensor.de.Monóxido.Carbono</t>
  </si>
  <si>
    <t>Dispositivo que identifica ou detecta monóxido de carbono.</t>
  </si>
  <si>
    <t>Dispositivo que identifica o detecta monóxido de carbono.</t>
  </si>
  <si>
    <t>Sensor.de.Dióxido.Carbono</t>
  </si>
  <si>
    <t>Dispositivo que identifica ou detecta dióxido de carbono.</t>
  </si>
  <si>
    <t>Dispositivo que identifica o detecta el dióxido de carbono.</t>
  </si>
  <si>
    <t>Sensor.de.Condutância</t>
  </si>
  <si>
    <t>Dispositivo que detecta ou detecta condutância elétrica.</t>
  </si>
  <si>
    <t>Un dispositivo que detecta o detecta la conductancia eléctrica.</t>
  </si>
  <si>
    <t>Sensor.de.Contato</t>
  </si>
  <si>
    <t>Dispositivo que percebe ou detecta contato, como para detectar se uma porta está fechada.</t>
  </si>
  <si>
    <t>Un dispositivo que detecta o detecta el contacto, por ejemplo, para detectar si una puerta está cerrada.</t>
  </si>
  <si>
    <t>Sensor.de.Sismos</t>
  </si>
  <si>
    <t>Dispositivo que sente ou detecta a onda sísmica e mede a intensidade sísmica em caso de terremoto.</t>
  </si>
  <si>
    <t>Dispositivo que detecta o detecta la onda sísmica y mide la intensidad sísmica en caso de terremoto.</t>
  </si>
  <si>
    <t>Sensor.de.Incêndio</t>
  </si>
  <si>
    <t>Dispositivo detector combinado (multi-critério). Pode detectar presença de calor, fogo e fumaça.</t>
  </si>
  <si>
    <t>Dispositivo detector combinado (multicriterio). Puede detectar la presencia de calor, fuego y humo.</t>
  </si>
  <si>
    <t>Sensor.de.Fluxo</t>
  </si>
  <si>
    <t>Dispositivo que identifica ou detecta fluxo num fluido.</t>
  </si>
  <si>
    <t>Un dispositivo que identifica o detecta el flujo en un fluido.</t>
  </si>
  <si>
    <t>Sensor.de.Detecção.Objeto.Estranho</t>
  </si>
  <si>
    <t>Dispositivo que sente ou detecta objetos estranhos que interferem com a rede de energia.</t>
  </si>
  <si>
    <t>Un dispositivo que detecta o detecta objetos extraños que interfieren con la red eléctrica.</t>
  </si>
  <si>
    <t>Sensor.de.Geada</t>
  </si>
  <si>
    <t>Dispositivo que identifica ou detecta congelamento numa janela.</t>
  </si>
  <si>
    <t>Dispositivo que identifica o detecta la congelación en una ventana.</t>
  </si>
  <si>
    <t>Sensor.de.Gás</t>
  </si>
  <si>
    <t>Dispositivo que detecta ou detecta concentração de gás (exceto co2).</t>
  </si>
  <si>
    <t>Dispositivo que detecta o detecta la concentración de gases (distintos del CO2).</t>
  </si>
  <si>
    <t>Sensor.de.Calor</t>
  </si>
  <si>
    <t>Dispositivo que identifica ou detecta calor.</t>
  </si>
  <si>
    <t>Un dispositivo que identifica o detecta el calor.</t>
  </si>
  <si>
    <t>Sensor.de.Umidade</t>
  </si>
  <si>
    <t>Dispositivo que identifica ou detecta umidade.</t>
  </si>
  <si>
    <t>Dispositivo que identifica o detecta humedad.</t>
  </si>
  <si>
    <t>Sensor.de.Identificação</t>
  </si>
  <si>
    <t>Dispositivo que lê uma etiqueta, como para obter acesso a uma porta ou elevador.</t>
  </si>
  <si>
    <t>Un dispositivo que lee una etiqueta, como para acceder a una puerta o ascensor.</t>
  </si>
  <si>
    <t>Sensor.de.Concentração.de.Íons</t>
  </si>
  <si>
    <t>Dispositivo que sente ou detecta a concentração de íon, como para medir a dureza da água.</t>
  </si>
  <si>
    <t>Dispositivo que detecta la concentración de iones, por ejemplo, para medir la dureza del agua.</t>
  </si>
  <si>
    <t>Sensor.de.Nível</t>
  </si>
  <si>
    <t>Dispositivo que percebe ou detecta o nível de preenchimento, como para um tanque.</t>
  </si>
  <si>
    <t>Un dispositivo que detecta o detecta el nivel de llenado, como en el caso de un tanque.</t>
  </si>
  <si>
    <t>Sensor.de.Luz</t>
  </si>
  <si>
    <t>Dispositivo que identifica ou detecta luz.</t>
  </si>
  <si>
    <t>Un dispositivo que identifica o detecta la luz.</t>
  </si>
  <si>
    <t>Sensor.de.Umidade.do.Solo</t>
  </si>
  <si>
    <t>Dispositivo que sente ou detecta umidade.</t>
  </si>
  <si>
    <t>Dispositivo que detecta o detecta humedad.</t>
  </si>
  <si>
    <t>Sensor.de.Movimento</t>
  </si>
  <si>
    <t>Dispositivo que identifica ou detecta movimento.</t>
  </si>
  <si>
    <t>Un dispositivo que identifica o detecta movimiento.</t>
  </si>
  <si>
    <t>Sensor.de.Obstáculo</t>
  </si>
  <si>
    <t>Dispositivo que detecta ou detecta quaisquer obstáculos.</t>
  </si>
  <si>
    <t>Dispositivo que detecta o detecta cualquier obstáculo.</t>
  </si>
  <si>
    <t>Sensor.de.pH</t>
  </si>
  <si>
    <t>Dispositivo que identifica ou detecta acidez.</t>
  </si>
  <si>
    <t>Dispositivo que identifica o detecta la acidez.</t>
  </si>
  <si>
    <t>Sensor.de.Pressão</t>
  </si>
  <si>
    <t>Dispositivo que sente ou detecta pressão.</t>
  </si>
  <si>
    <t>Dispositivo que detecta o percibe la presión.</t>
  </si>
  <si>
    <t>Sensor.de.Radiação</t>
  </si>
  <si>
    <t>Dispositivo que sente ou detecta radiação.</t>
  </si>
  <si>
    <t>Dispositivo que detecta o detecta radiación.</t>
  </si>
  <si>
    <t>Sensor.de.Radioatividade</t>
  </si>
  <si>
    <t>Dispositivo que percebe ou detecta a decaimento atômico.</t>
  </si>
  <si>
    <t>Dispositivo que detecta o desintegración atómica.</t>
  </si>
  <si>
    <t>Sensor.de.Chuva</t>
  </si>
  <si>
    <t>Dispositivo que percebe ou coleta informações relacionadas à chuva.</t>
  </si>
  <si>
    <t>Un dispositivo que percibe o recopila información relacionada con la lluvia.</t>
  </si>
  <si>
    <t>Sensor.de.Fumaça</t>
  </si>
  <si>
    <t>Dispositivo que identifica ou detecta fumaça.</t>
  </si>
  <si>
    <t>Dispositivo que identifica o detecta humo.</t>
  </si>
  <si>
    <t>Sensor.de.Profundidade.da.Neve</t>
  </si>
  <si>
    <t>Dispositivo que percebe ou mede a profundidade da neve acumulada.</t>
  </si>
  <si>
    <t>Un dispositivo que percibe o mide la profundidad de la nieve acumulada.</t>
  </si>
  <si>
    <t>Sensor.de.Som</t>
  </si>
  <si>
    <t>Dispositivo que identifica ou detecta som.</t>
  </si>
  <si>
    <t>Un dispositivo que identifica o detecta sonido.</t>
  </si>
  <si>
    <t>Sensor.de.Temperatura</t>
  </si>
  <si>
    <t>Dispositivo que identifica ou detecta temperatura.</t>
  </si>
  <si>
    <t>Dispositivo que identifica o detecta la temperatura.</t>
  </si>
  <si>
    <t>Sensor.de.Trem</t>
  </si>
  <si>
    <t>Dispositivo que é colocado na extremidade traseira do último vagão de um trem atuando num equipamento fixo.</t>
  </si>
  <si>
    <t>Un dispositivo que es conectado a la parte trasera del último vagón de un tren que actúa sobre un equipo fijo.</t>
  </si>
  <si>
    <t>Sensor.de.Desvio.Ferroviário</t>
  </si>
  <si>
    <t>Dispositivo que detecta ou detecta a posição de uma lâmina de um amv.</t>
  </si>
  <si>
    <t>Un dispositivo que detecta o detecta la posición de una cuchilla de un AMV ferroviario.</t>
  </si>
  <si>
    <t>Sensor.de.Roda</t>
  </si>
  <si>
    <t>Dispositivo que percebe ou detecta a passagem de uma roda.</t>
  </si>
  <si>
    <t>Un dispositivo que detecta el paso de una rueda.</t>
  </si>
  <si>
    <t>Sensor.de.Vento</t>
  </si>
  <si>
    <t>Dispositivo que percebe ou detecta a velocidade e direção do fluxo de ar.</t>
  </si>
  <si>
    <t>Un dispositivo que percibe o detecta la velocidad y la dirección del flujo de aire.</t>
  </si>
  <si>
    <t>Insumos</t>
  </si>
  <si>
    <t>Insumos.Elétricos</t>
  </si>
  <si>
    <t>Tomadas.Elétricas</t>
  </si>
  <si>
    <t>Tomada</t>
  </si>
  <si>
    <t>Tomada é um dispositivo instalado num ponto para receber um ou mais plugues inseridos.</t>
  </si>
  <si>
    <t>Enchufes son dispositivos instalados para recibir uno o más enchufes insertados.</t>
  </si>
  <si>
    <t>Tomada.de.Energia</t>
  </si>
  <si>
    <t>Tomada de energia embutida na parede usada para dispositivos elétricos.</t>
  </si>
  <si>
    <t>Enchufe de energia embutido en la pared, usada para dispositivos eléctricos.</t>
  </si>
  <si>
    <t>Tomada.de.Energia.Sobrepor</t>
  </si>
  <si>
    <t>Tomada de energia de sobrepor na parede usada para dispositivos elétricos.</t>
  </si>
  <si>
    <t>Enchufe de energia externa a la pared, usada para dispositivos eléctricos.</t>
  </si>
  <si>
    <t>Conector.Elétrico</t>
  </si>
  <si>
    <t>Porta fornece os meios para um elemento se conectar a outros elementos.</t>
  </si>
  <si>
    <t>Proporciona los medios para que un elemento se conecte con otros elementos.</t>
  </si>
  <si>
    <t>Caixas.Piso.Elétricas</t>
  </si>
  <si>
    <t>Caixa.3E</t>
  </si>
  <si>
    <t>Caixa de 3 tomadas de Energia para instalar em contrapisos ou pisos elevados. 116 x 116 x 110 mm.</t>
  </si>
  <si>
    <t>Caja de 3 enchufes de Energia combinados para instalar en contrapisos o pisos elevados. 116 x 116 x 110 mm.</t>
  </si>
  <si>
    <t>Interruptores</t>
  </si>
  <si>
    <t>Interruptor</t>
  </si>
  <si>
    <t>é.controlador.de only Lâmpada</t>
  </si>
  <si>
    <t>Interruptor de luz simples. Aciona uma única lâmpada ou conjunto de lâmpadas. É o mais comum em residências.</t>
  </si>
  <si>
    <t>Interruptor de luz simple. Activa una sola lámpara o conjunto de lámparas. Es el más común en los hogares.</t>
  </si>
  <si>
    <t>Interruptor.Duplo</t>
  </si>
  <si>
    <t>Interruptor de luz duplo. Possui duas teclas para controlar duas lâmpadas ou circuitos distintos.</t>
  </si>
  <si>
    <t>Interruptor de luz doble. Dispone de dos teclas para controlar dos lámparas o circuitos diferentes.</t>
  </si>
  <si>
    <t>Interruptor.Triplo</t>
  </si>
  <si>
    <t>Interruptor de luz triplo. Possui três teclas para controlar lâmpadas ou circuitos distintos.</t>
  </si>
  <si>
    <t>Interruptor.3W</t>
  </si>
  <si>
    <t>Interruptor de luz paralelo Three-Way. Permite acionar uma mesma lâmpada de dois locais diferentes, ideal para corredores e escadas.</t>
  </si>
  <si>
    <t>Interruptor de luz paralelo de tres vías. Permite activar la misma lámpara desde dos lugares diferentes, ideal para pasillos y escaleras.</t>
  </si>
  <si>
    <t>Interruptor.4W</t>
  </si>
  <si>
    <t>Interruptor de luz intermediário Four-Way. Usado em conjunto com dois interruptores paralelos para controlar uma lâmpada de três ou mais pontos.</t>
  </si>
  <si>
    <t>Interruptor de luz intermedio de cuatro vías. Se utiliza junto con dos interruptores paralelos para controlar una lámpara de tres o más puntos.</t>
  </si>
  <si>
    <t>Interruptor.Dimmer</t>
  </si>
  <si>
    <t>Interruptor que permite ajustar a intensidade da luz.</t>
  </si>
  <si>
    <t>Interruptor que le permite ajustar la intensidad de la luz.</t>
  </si>
  <si>
    <t>Interruptor.de.Toque</t>
  </si>
  <si>
    <t>Interruptor de acionamento por toque.</t>
  </si>
  <si>
    <t>Interruptor de gatillo táctil.</t>
  </si>
  <si>
    <t>Interruptor.Inteligente</t>
  </si>
  <si>
    <t>Interruptor inteligente. Pode ser controlado por celular ou assistente virtual, ideal para automação residencial.</t>
  </si>
  <si>
    <t>Interruptor inteligente. Se puede controlar por celular o asistente virtual, ideal para domótica.</t>
  </si>
  <si>
    <t>Interruptor.Temporizador</t>
  </si>
  <si>
    <t>Interruptor temporizador. Desliga a luz após um tempo programado, útil para economia de energia.</t>
  </si>
  <si>
    <t>Interruptor temporizador. Apaga la luz después de un tiempo programado, útil para ahorrar energía.</t>
  </si>
  <si>
    <t>Interruptor.Corda</t>
  </si>
  <si>
    <t>Interruptor de corda. Acionado por uma cordinha, usado em locais como banheiros ou closets.</t>
  </si>
  <si>
    <t>Interruptor de cuerda. Se activa mediante una cuerda, utilizada en lugares como baños o armarios.</t>
  </si>
  <si>
    <t>Interruptor.Cartão.Chave</t>
  </si>
  <si>
    <t>Interruptor Cartão. Comum em hotéis, ativa a energia do quarto ao inserir o cartão.</t>
  </si>
  <si>
    <t>Interruptor de tarjeta. Común en los hoteles, activa la energía de la habitación al insertar la tarjeta.</t>
  </si>
  <si>
    <t>Interruptor.de.Parada</t>
  </si>
  <si>
    <t>Interruptor Botão de pressão. Aciona um equipamento.</t>
  </si>
  <si>
    <t>Interruptor de botón. Activa un equipo.</t>
  </si>
  <si>
    <t>Interruptor.Botão</t>
  </si>
  <si>
    <t>Interruptor.Momentâneo</t>
  </si>
  <si>
    <t>Interruptor acionador de pressão. Aciona um equipamento enquanto estiver sendo pressionado.</t>
  </si>
  <si>
    <t>Interruptor de botón. Activa un equipo mientras es presionado.</t>
  </si>
  <si>
    <t>Interruptor.Emergência</t>
  </si>
  <si>
    <t>Interruptor de parada de emergência. Desliga um equipamento.</t>
  </si>
  <si>
    <t>Interruptor de parada de emergencia. Apaga un equipo.</t>
  </si>
  <si>
    <t>Interruptor.MultiPosição</t>
  </si>
  <si>
    <t>Interruptor.Contactor</t>
  </si>
  <si>
    <t>Interruptor de contacto. Controla o acionamento de cargas elétricas de forma segura e eficiente em sistemas de alta potência. É um tipo de relé eletromecânico robusto, projetado para ligar e desligar motores, aquecedores, iluminação industrial e outros equipamentos pesados.</t>
  </si>
  <si>
    <t>Interruptor de contacto. Controla el accionamiento de cargas eléctricas de forma segura y eficiente en sistemas de alta potencia. Es un tipo de relé electromecánico resistente que está diseñado para encender y apagar motores, calentadores, iluminación industrial y otros equipos pesados.</t>
  </si>
  <si>
    <t>Interruptor.Relé</t>
  </si>
  <si>
    <t>Interruptor relé. Controlar circuitos elétricos de forma indireta, permitindo que uma corrente elétrica pequena acione ou desligue uma corrente maior. Atua como um comutador eletromecânico ou eletrônico, muito usado em automação residencial e industrial.</t>
  </si>
  <si>
    <t>Interruptor de relé. Controlar los circuitos eléctricos indirectamente, permitiendo que una pequeña corriente eléctrica active o apague una corriente mayor. Actúa como un interruptor electromecánico o electrónico, ampliamente utilizado en la automatización doméstica e industrial.</t>
  </si>
  <si>
    <t>Quadros.Elétricos</t>
  </si>
  <si>
    <t>QDL.Quadro.Distribuição</t>
  </si>
  <si>
    <t>QDL Quadro Distribuição</t>
  </si>
  <si>
    <t>Cuadro de distribución QDL</t>
  </si>
  <si>
    <t>QDL.Quadro.Distribuição.Residencial</t>
  </si>
  <si>
    <t>QDL Quadro Distribuição Residencial</t>
  </si>
  <si>
    <t>Cuadro de distribución residencial QDL</t>
  </si>
  <si>
    <t>QDF.Quadro.de.Força</t>
  </si>
  <si>
    <t>QDF Quadro de Força</t>
  </si>
  <si>
    <t>Cuadro de distribución de fuerza QDF</t>
  </si>
  <si>
    <t>QGBT.Quadro.Geral.Baixa.Tensão</t>
  </si>
  <si>
    <t>QGBT Quadro Geral Baixa Tensão</t>
  </si>
  <si>
    <t>Cuadro de distribución general de baja tensión QGBT</t>
  </si>
  <si>
    <t>CCM.Centro.Controle.de.Motores</t>
  </si>
  <si>
    <t>CCM Centro Controle de Motores</t>
  </si>
  <si>
    <t>Centro de control de motores CCM</t>
  </si>
  <si>
    <t>Insumos.Lógicos</t>
  </si>
  <si>
    <t>Tomadas.Lógicas</t>
  </si>
  <si>
    <t>Conector.AudioVídeo</t>
  </si>
  <si>
    <t>Tomada ou conector usada para um áudio ou dispositivo visual.</t>
  </si>
  <si>
    <t>Enchufe utilizado por dispositivos audiovisuales.</t>
  </si>
  <si>
    <t>Conector.de.Comunicação</t>
  </si>
  <si>
    <t>Tomada ou conector usada para equipamentos de comunicação de conexão.</t>
  </si>
  <si>
    <t>Enchufe utilizado para conectar equipos de telecomunicación.</t>
  </si>
  <si>
    <t>Conector.RJ45</t>
  </si>
  <si>
    <t>Tomada RJ45 para dados usada para conectar equipamentos de comunicações de dados em redes.</t>
  </si>
  <si>
    <t>Enchufe RJ45 embutido en la pared para red de datos usados por equipos informáticos.</t>
  </si>
  <si>
    <t>Conector.RJ11</t>
  </si>
  <si>
    <t>Tomada RJ11 usada para conectar equipamentos telefônicos.</t>
  </si>
  <si>
    <t>Enchufe RJ11 embutido en la pared para conectar equipos de comunicaciones telefónicas.</t>
  </si>
  <si>
    <t>Conector.RJ45.Sobrepor</t>
  </si>
  <si>
    <t>Tomada RJ45 de sobrepor para dados usada para conectar equipamentos de comunicações de dados em redes.</t>
  </si>
  <si>
    <t>Enchufe RJ45 externo de la pared para red de datos usados por equipos informáticos.</t>
  </si>
  <si>
    <t>Conector.RJ11.Sobrepor</t>
  </si>
  <si>
    <t>Tomada RJ11 de sobrepor usada para conectar equipamentos telefônicos.</t>
  </si>
  <si>
    <t>Enchufe RJ11 externo de la pared para conectar equipos de comunicaciones telefónicas.</t>
  </si>
  <si>
    <t>Conector.Dados</t>
  </si>
  <si>
    <t>Porta fornece os meios para um elemento de rede se conectar a outros elementos de rede.</t>
  </si>
  <si>
    <t>Proporciona los medios para que un elemento de red se conecte con otros elementos de red.</t>
  </si>
  <si>
    <t>Racks.Lógicos</t>
  </si>
  <si>
    <t>Rack.Telecom</t>
  </si>
  <si>
    <t>RDT Rack Distribuição Telecom</t>
  </si>
  <si>
    <t>Rack de distribución de telecomunicaciones RDT</t>
  </si>
  <si>
    <t>Rack.Automação</t>
  </si>
  <si>
    <t>RDA Rack Distribuição Automação</t>
  </si>
  <si>
    <t>Rack de distribución de automatización RDA</t>
  </si>
  <si>
    <t>Rack.Servidores</t>
  </si>
  <si>
    <t>RDS Rack Distribuição Servidores</t>
  </si>
  <si>
    <t>Rack de distribución de servidores RDS</t>
  </si>
  <si>
    <t>Quadro.Lógico.Programável</t>
  </si>
  <si>
    <t>CLP Quadro Lógico Programável</t>
  </si>
  <si>
    <t>Placa lógica programable PLC</t>
  </si>
  <si>
    <t>Interface.Homem.Máquina</t>
  </si>
  <si>
    <t>IHM Interface Homem Máquina</t>
  </si>
  <si>
    <t>IHM Interface Hombre Máquina</t>
  </si>
  <si>
    <t>Insumos.Combinados</t>
  </si>
  <si>
    <t>Caixas.Piso.Combinadas</t>
  </si>
  <si>
    <t>Caixa.8ED</t>
  </si>
  <si>
    <t>Caixa de 4 tomadas de Energia e 4 tomadas de rede  RJ45 combinadas para instalar em contrapisos. 158 x 252 x 50 mm.</t>
  </si>
  <si>
    <t>Caja de 4 enchufes de Energia y 4 enchufes RJ45 de datos, combinados para instalar en contrapisos. 158 x 252 x 50 mm.</t>
  </si>
  <si>
    <t>Caixa.PAS.Cega</t>
  </si>
  <si>
    <t>Caixa de passagem para instalar em contrapisos, apoiada e aparafusada na laje. 170 x 170 x 42 mm</t>
  </si>
  <si>
    <t>Caja pasaje para instalar em contrapisos, apoyada y atornillada a la losa. 170 x 170 x 42 mm.</t>
  </si>
  <si>
    <t>Fontes.Elétricas</t>
  </si>
  <si>
    <t>Armazenador.Elétrico</t>
  </si>
  <si>
    <t>Dispositivo de armazenamento de fluxo elétrico é um dispositivo no qual a energia elétrica é armazenada.</t>
  </si>
  <si>
    <t>Un dispositivo de almacenamiento de flujo eléctrico es un dispositivo en el que se almacena energía eléctrica.</t>
  </si>
  <si>
    <t>Bateria.Elétrica</t>
  </si>
  <si>
    <t>Dispositivo para armazenar energia na forma química para que possa ser liberada como energia elétrica.</t>
  </si>
  <si>
    <t>Dispositivo para almacenar energía en forma química para que pueda ser liberada en forma de energía eléctrica.</t>
  </si>
  <si>
    <t>Capacitor.Elétrico</t>
  </si>
  <si>
    <t>Dispositivo que armazena carga elétrica quando uma fonte de alimentação externa está presente.</t>
  </si>
  <si>
    <t>Un dispositivo que almacena carga eléctrica cuando hay una fuente de alimentación externa.</t>
  </si>
  <si>
    <t>Banco.de.Capacitores</t>
  </si>
  <si>
    <t>Dispositivo que armazena energia elétrica quando uma fonte de alimentação externa.</t>
  </si>
  <si>
    <t>Un dispositivo que almacena energía eléctrica cuando una fuente de alimentación externa.</t>
  </si>
  <si>
    <t>Compensador.Elétrico</t>
  </si>
  <si>
    <t>Dispositivo que é usado para fixar ou ajustar o parâmetro de energia elétrica, como perda de tensão ou potência.</t>
  </si>
  <si>
    <t>Un dispositivo que se utiliza para fijar o ajustar el parámetro de la energía eléctrica, como el voltaje o la pérdida de energía.</t>
  </si>
  <si>
    <t>Filtro.Harmônico</t>
  </si>
  <si>
    <t>Dispositivo que injeta constantemente correntes que correspondem precisamente aos componentes harmônicos desenhados.</t>
  </si>
  <si>
    <t>Dispositivo que inyecta constantemente corrientes que corresponden con precisión a los componentes armónicos diseñados.</t>
  </si>
  <si>
    <t>Indutor</t>
  </si>
  <si>
    <t>Dispositivo usado em circuitos ou sistemas de potência devido à sua indutância, atuando como um componente de elétrica.</t>
  </si>
  <si>
    <t>Un dispositivo utilizado en circuitos o sistemas de energía debido a su inductancia, que actúa como un componente de la energía eléctrica.</t>
  </si>
  <si>
    <t>Banco.de.Indutores</t>
  </si>
  <si>
    <t>Dispositivo que armazena energia elétrica num campo magnético usando a propriedade elétrica de indutância.</t>
  </si>
  <si>
    <t>Dispositivo que almacena energía eléctrica en un campo magnético utilizando la propiedad eléctrica de la inductancia.</t>
  </si>
  <si>
    <t>Recarregador</t>
  </si>
  <si>
    <t>Recarregador ou carregador de bateria é um dispositivo usado para colocar energia numa célula secundária ou recarregável.</t>
  </si>
  <si>
    <t>Un cargador de batería es un dispositivo que se utiliza para alimentar una celda secundaria o recargable.</t>
  </si>
  <si>
    <t>Fonte.de.Energia</t>
  </si>
  <si>
    <t>Dispositivo que fornece uma fonte alternativa de fonte de alimentação por tempo limitado em caso de falha.</t>
  </si>
  <si>
    <t>Dispositivo que proporciona una fuente alternativa de suministro de energía durante un tiempo limitado en caso de fallo.</t>
  </si>
  <si>
    <t>Insumo.Armazenamento</t>
  </si>
  <si>
    <t>Tanques</t>
  </si>
  <si>
    <t>Tanque é um reservatório ou um recipiente onde um fluido ou gás é armazenado para uso posterior.</t>
  </si>
  <si>
    <t>Un tanque es un depósito o un recipiente donde se almacena un fluido o gas para su uso posterior.</t>
  </si>
  <si>
    <t>Reservatório.Aberto</t>
  </si>
  <si>
    <t>Reservatório aberto para contenção de algum insumo.</t>
  </si>
  <si>
    <t>Reserva abierta para contener algún insumo.</t>
  </si>
  <si>
    <t>Reservatório.Fechado</t>
  </si>
  <si>
    <t>Reservatório fechado utilizado para armazenar um fluido à pressão ambiente.</t>
  </si>
  <si>
    <t>Reserva cerrada que se utiliza para almacenar algún insumo a presión ambiente.</t>
  </si>
  <si>
    <t>Tanque.de.Pressão</t>
  </si>
  <si>
    <t>Armazenar fluidos (líquidos ou gases) sob pressão interna superior à pressão atmosférica. Usado em diversos setores industriais, prediais e hospitalares. Sua função varia conforme o tipo de fluido, aplicação e sistema envolvido.</t>
  </si>
  <si>
    <t>Almacene fluidos (líquidos o gases) a una presión interna superior a la presión atmosférica. Utilizado en diversos sectores industriales, de la construcción y hospitalarios. Su función varía según el tipo de fluido, la aplicación y el sistema involucrado.</t>
  </si>
  <si>
    <t>Tanque.de.Expansão</t>
  </si>
  <si>
    <t>Tanque em sistemas hidráulicos e térmicos fechados. Projetado para absorver variações de volume do fluido causadas por mudanças de temperatura. Ele protege o sistema contra sobrecarga de pressão, evitando danos a tubulações, válvulas e equipamentos.</t>
  </si>
  <si>
    <t>Depósito en sistemas hidráulicos y térmicos cerrados. Diseñado para absorber las variaciones de volumen de fluido causadas por los cambios de temperatura. Protege el sistema de sobrecargas de presión, evitando daños a tuberías, válvulas y equipos.</t>
  </si>
  <si>
    <t>Tanque.de.Expansão.e.Alimentação</t>
  </si>
  <si>
    <t xml:space="preserve">Tanque em sistemas hidráulicos e térmicos fechados. Projetado para alimentar o sistema e absorver variações de volume do fluido causadas por mudanças de temperatura. Ele protege o sistema contra sobrecarga de pressão, evitando danos a tubulações, válvulas e equipamentos. </t>
  </si>
  <si>
    <t>Depósito en sistemas hidráulicos y térmicos cerrados. Diseñado para alimentar el sistema y absorber las variaciones de volumen de fluido causadas por los cambios de temperatura. Protege el sistema de sobrecargas de presión, evitando daños a tuberías, válvulas y equipos.</t>
  </si>
  <si>
    <t>Bandeja.de.Retenção.de.Óleo</t>
  </si>
  <si>
    <t>Contem vazamentos ou derramamentos de óleo em equipamentos industriais, elétricos ou mecânicos. Evita que o óleo contaminado se espalhe, protegendo o ambiente e facilitando a manutenção.</t>
  </si>
  <si>
    <t>Contiene fugas o derrames de aceite en equipos industriales, eléctricos o mecánicos. Evita que el aceite contaminado se propague, protegiendo el medio ambiente y facilitando el mantenimiento.</t>
  </si>
  <si>
    <t>Vaso.de.Pressão</t>
  </si>
  <si>
    <t>Recipiente fechado usado para armazenar fluidos ou gases a uma pressão diferente da pressão do ambiente.</t>
  </si>
  <si>
    <t>Un recipiente sin abrir que se utiliza para almacenar fluidos o gases a una presión distinta a la presión ambiente.</t>
  </si>
  <si>
    <t>Vaso.de.Contenção</t>
  </si>
  <si>
    <t>Modelo de reservatório fechado.</t>
  </si>
  <si>
    <t>Modelo de reservorio cerrado.</t>
  </si>
  <si>
    <t>Insumo.Consumo</t>
  </si>
  <si>
    <t>Medidores</t>
  </si>
  <si>
    <t>Medidor</t>
  </si>
  <si>
    <t>é.componente.de some Unidades.Prediais</t>
  </si>
  <si>
    <t>é.componente.de some Apartamento</t>
  </si>
  <si>
    <t>Medidor de vazão é um dispositivo usado para medir a vazão num sistema.</t>
  </si>
  <si>
    <t>Un medidor de flujo es un dispositivo que se utiliza para medir el flujo en un sistema.</t>
  </si>
  <si>
    <t>Medidor.de.Dados</t>
  </si>
  <si>
    <t>Medidor usado para monitorar o tráfego de dados.</t>
  </si>
  <si>
    <t>Medidor utilizado para monitorear el tráfico de datos.</t>
  </si>
  <si>
    <t>Medidor.de.Elétrica.Convencional</t>
  </si>
  <si>
    <t>Medidor elétrico ou medidor de energia é um dispositivo que mede a quantidade de energia elétrica.</t>
  </si>
  <si>
    <t>El medidor eléctrico o medidor de energía es un dispositivo que mide la cantidad de energía eléctrica.</t>
  </si>
  <si>
    <t>Medidor.de.Elétrica.Inteligente</t>
  </si>
  <si>
    <t>Medidor que auxilia a monitorar o consumo de energia elétrica. Tem interfaces de comunicação local e remota, indicadores de qualidade de energia, corte e religamento com relé interno, alarmes e eventos antifraude. Podem atender Tarifa Branca e Micro e Minigeração Distribuída.</t>
  </si>
  <si>
    <t>Medidor que ayuda a controlar el consumo de electricidad. Cuenta con interfaces de comunicación local y remota, indicadores de calidad de energía, corte y reconexión con relé interno, alarmas y eventos antifraude. Pueden servir Tarifa Blanca y Micro y Minigeneración Distribuida.</t>
  </si>
  <si>
    <t>Medidor.de.Gás</t>
  </si>
  <si>
    <t>Dispositivo que mede a quantidade de gás.</t>
  </si>
  <si>
    <t>Dispositivo que mide la cantidad de gas.</t>
  </si>
  <si>
    <t>Medidor.de.Combustível.Fóssil</t>
  </si>
  <si>
    <t>Dispositivo que mede a quantidade de combustíveis fósseis.</t>
  </si>
  <si>
    <t>Dispositivo que mide la cantidad de combustibles fósiles.</t>
  </si>
  <si>
    <t>Medidor.de.Agua.Residencial</t>
  </si>
  <si>
    <t>Dispositivo que mede a quantidade de água.</t>
  </si>
  <si>
    <t>Dispositivo que mide la cantidad de agua.</t>
  </si>
  <si>
    <t>Insumo.Gerado</t>
  </si>
  <si>
    <t>Geradores.Solares</t>
  </si>
  <si>
    <t>Gerador.Solar</t>
  </si>
  <si>
    <t>Dispositivo solar converte a radiação solar em outra energia, como corrente elétrica ou energia térmica.</t>
  </si>
  <si>
    <t>El dispositivo solar convierte la radiación solar en otra energía, como la corriente eléctrica o la energía térmica.</t>
  </si>
  <si>
    <t>Gerador.Solar.Coletor</t>
  </si>
  <si>
    <t>Dispositivo que converte a radiação solar em energia térmica (aquecimento de água, etc.).</t>
  </si>
  <si>
    <t>Dispositivo que convierte la radiación solar en energía térmica (calentamiento de agua, etc.).</t>
  </si>
  <si>
    <t>Gerador.Solar.Painel</t>
  </si>
  <si>
    <t>Dispositivo que converte a radiação solar em corrente elétrica.</t>
  </si>
  <si>
    <t>Dispositivo que convierte la radiación solar en corriente eléctrica.</t>
  </si>
  <si>
    <t>Medidores.Solares</t>
  </si>
  <si>
    <t>Medidor.Solar.Bidirecional</t>
  </si>
  <si>
    <t>Medem a energia solar gerada, o consumo, a energia armazenada nas baterias, energia importada ou exportada da rede.</t>
  </si>
  <si>
    <t>Miden la energía solar generada, el consumo, la energía almacenada en baterías, la energía importada o exportada de la red.</t>
  </si>
  <si>
    <t>Inversor.Solar.OnGrid</t>
  </si>
  <si>
    <t>Converte a energia gerada pelos painéis solares (CC -&gt; CA). Sincroniza com a rede pública, permitindo que o excedente de energia seja injetado nela.</t>
  </si>
  <si>
    <t>Convierte la energía generada por los paneles solares (CC-&gt; CA). Se sincroniza con la red pública, lo que permite inyectar energía excedente en ella.</t>
  </si>
  <si>
    <t>Inversor.Solar.Híbrido</t>
  </si>
  <si>
    <t>Medidores.Eólicos</t>
  </si>
  <si>
    <t>Medidor.Eólico</t>
  </si>
  <si>
    <t>Dispositivo que mede a quantidade de energia eólica produzida.</t>
  </si>
  <si>
    <t>Un dispositivo que mide la cantidad de energía eólica producida.</t>
  </si>
  <si>
    <t>Divisões</t>
  </si>
  <si>
    <t>Unidades.Lógicas</t>
  </si>
  <si>
    <t>Unidade.Acadêmica</t>
  </si>
  <si>
    <t>Disciplina.Acadêmica</t>
  </si>
  <si>
    <t>Órgão</t>
  </si>
  <si>
    <t>"Órgão de ensino superior"</t>
  </si>
  <si>
    <t>"Centro de Tecnologia"</t>
  </si>
  <si>
    <t>"Raizes"</t>
  </si>
  <si>
    <t>Uma divisão acadêmica como POLI, COPPE, IVIG, etc...</t>
  </si>
  <si>
    <t>Uma divisão acadêmica como Engenharia Ambiental, Elétrica, etc...</t>
  </si>
  <si>
    <t>Departamento.Acadêmico</t>
  </si>
  <si>
    <t>Programa.de.PósGraduação</t>
  </si>
  <si>
    <t>Um Departamento como DEG, DES, DRHIMA. etc...</t>
  </si>
  <si>
    <t>Um Programa de Pós Graduação como PEU, PEA, etc...</t>
  </si>
  <si>
    <t>Una unidad residencial.</t>
  </si>
  <si>
    <t>Una división académica como POLI, COPPE, IVIG, etc.</t>
  </si>
  <si>
    <t>Una división académica como Ingeniería Ambiental, Eléctrica, etc.</t>
  </si>
  <si>
    <t>Un departamento como DEG, DES, DRHIMA. y así sucesivamente...</t>
  </si>
  <si>
    <t>Un programa de posgrado como PEU, PEA, etc.</t>
  </si>
  <si>
    <t>PAV</t>
  </si>
  <si>
    <t>"IfcAnnotation"</t>
  </si>
  <si>
    <t>classe.ifc</t>
  </si>
  <si>
    <t>categoria.revit</t>
  </si>
  <si>
    <t>"OST_Tags"</t>
  </si>
  <si>
    <t>"OST_TitleBlocks"</t>
  </si>
  <si>
    <t>"OST_Sheets"</t>
  </si>
  <si>
    <t>"OST_GenericAnnotation"</t>
  </si>
  <si>
    <t>"OST_Elev , OST_ElevationMarks"</t>
  </si>
  <si>
    <t>"OST_Sections"</t>
  </si>
  <si>
    <t>"OST_Callouts"</t>
  </si>
  <si>
    <t>"OST_TextNotes"</t>
  </si>
  <si>
    <t>REV</t>
  </si>
  <si>
    <t>"OST_Revisions"</t>
  </si>
  <si>
    <t>TBL</t>
  </si>
  <si>
    <t>"tabelas de quantitativos"</t>
  </si>
  <si>
    <t>"OST_Schedules"</t>
  </si>
  <si>
    <t>TXT</t>
  </si>
  <si>
    <t>"elemento de anotação textual"</t>
  </si>
  <si>
    <t>revisões de carimbo</t>
  </si>
  <si>
    <t>Um Órgão da Administração Federal.</t>
  </si>
  <si>
    <t>Um Órgani de la Administración Nacional.</t>
  </si>
  <si>
    <t>"OST_Furniture"</t>
  </si>
  <si>
    <t>"IfcFurniture"</t>
  </si>
  <si>
    <t>"OST_Planting"</t>
  </si>
  <si>
    <t>"OST_Entourage"</t>
  </si>
  <si>
    <t>"OST_PlumbingFixtures , OST_PlumbingEquipment"</t>
  </si>
  <si>
    <t>"IfcSanitaryTerminal"</t>
  </si>
  <si>
    <t>"OST_Windows"</t>
  </si>
  <si>
    <t>"IfcWindow"</t>
  </si>
  <si>
    <t>"OST_Rooms"</t>
  </si>
  <si>
    <t>"IfcSpace"</t>
  </si>
  <si>
    <t>"OST_Levels"</t>
  </si>
  <si>
    <t>"OST_Areas"</t>
  </si>
  <si>
    <t>"IfcSpatialZone"</t>
  </si>
  <si>
    <t>"OST_MEPSpaces"</t>
  </si>
  <si>
    <t>"OST_Floors"</t>
  </si>
  <si>
    <t>"IfcSlab"</t>
  </si>
  <si>
    <t>"OST_ShaftOpening"</t>
  </si>
  <si>
    <t>"IfcOpeningElementOPENING"</t>
  </si>
  <si>
    <t>"OST_FloorsFinish1 , OST_FloorsFinish2 , OST_Parts"</t>
  </si>
  <si>
    <t>"IfcCoveringFLOORING"</t>
  </si>
  <si>
    <t>"OST_Doors"</t>
  </si>
  <si>
    <t>"IfcDoor"</t>
  </si>
  <si>
    <t>"OST_Grids"</t>
  </si>
  <si>
    <t>"IfcGrid"</t>
  </si>
  <si>
    <t>Tubos.de.FoFo</t>
  </si>
  <si>
    <t>Tubo de Ferro Fundido para redes de agua e esgoto de saneamento básico.</t>
  </si>
  <si>
    <t>Tubería de hierro fundido para redes de agua y alcantarillado de saneamiento básico.</t>
  </si>
  <si>
    <t>Tubos.de.PVC</t>
  </si>
  <si>
    <t>Tubo de PVC (Policloreto de Vinila) para redes de agua e esgoto doméstica.</t>
  </si>
  <si>
    <t>Tubería de PVC (Cloruro de Polivinilo) para redes de agua y alcantarillado doméstico.</t>
  </si>
  <si>
    <t>Tubos.de.PVC.O</t>
  </si>
  <si>
    <t xml:space="preserve">Tubo de PVC Orientado (Policloreto de Vinila). Material mais resistente que PVC normal para redes de água e esgoto. </t>
  </si>
  <si>
    <t>Tubería de PVC Orientada (Cloruro de Polivinilo). Material más resistente que el PVC normal para redes de agua y alcantarillado.</t>
  </si>
  <si>
    <t>Tubos.de.Latão</t>
  </si>
  <si>
    <t>Tubo de latão para redes de água.</t>
  </si>
  <si>
    <t>Tubería de latón para redes de agua.</t>
  </si>
  <si>
    <t>Tubos.de.Cobre</t>
  </si>
  <si>
    <t>Tubo de cobre para redes de água quente ou gás.</t>
  </si>
  <si>
    <t>Tubería de cobre para redes de agua caliente o gas.</t>
  </si>
  <si>
    <t>Tubos.de.PEAD</t>
  </si>
  <si>
    <t>Tubo de termofusão PEAD (Polietileno de Alta Densidade).</t>
  </si>
  <si>
    <t>Tubo de termofusión de PEAD (polietileno de alta densidad).</t>
  </si>
  <si>
    <t>Tubos.de.Aço</t>
  </si>
  <si>
    <t>Tubo de aço para canalizações.</t>
  </si>
  <si>
    <t>Tubo de acero para canalizaciones.</t>
  </si>
  <si>
    <t>Fronteiras</t>
  </si>
  <si>
    <t>Geográficas</t>
  </si>
  <si>
    <t>Naturais</t>
  </si>
  <si>
    <t>Continente</t>
  </si>
  <si>
    <t>Continente.</t>
  </si>
  <si>
    <t>SubContinente</t>
  </si>
  <si>
    <t>SubContinente.</t>
  </si>
  <si>
    <t>Bioma</t>
  </si>
  <si>
    <t>Região que define características da vida do ambiente natural.</t>
  </si>
  <si>
    <t>Región que define características de vida del ambiente natural</t>
  </si>
  <si>
    <t>Políticas</t>
  </si>
  <si>
    <t>País</t>
  </si>
  <si>
    <t>País.</t>
  </si>
  <si>
    <t>Nação</t>
  </si>
  <si>
    <t>Nación</t>
  </si>
  <si>
    <t>Região</t>
  </si>
  <si>
    <t>é.dentro.de some País</t>
  </si>
  <si>
    <t>Estado</t>
  </si>
  <si>
    <t>Estado.</t>
  </si>
  <si>
    <t>UF</t>
  </si>
  <si>
    <t>Unidade Federativa do Brasil.</t>
  </si>
  <si>
    <t>Unidad Federativa de Brasil</t>
  </si>
  <si>
    <t>Província</t>
  </si>
  <si>
    <t>Província.</t>
  </si>
  <si>
    <t>Provincia</t>
  </si>
  <si>
    <t>Capital</t>
  </si>
  <si>
    <t>Metrópoli</t>
  </si>
  <si>
    <t>Metrópoli.</t>
  </si>
  <si>
    <t>Município</t>
  </si>
  <si>
    <t>Município.</t>
  </si>
  <si>
    <t>Municipio</t>
  </si>
  <si>
    <t>Térmicas</t>
  </si>
  <si>
    <t>Bioclimáticas</t>
  </si>
  <si>
    <t>Região.Climática</t>
  </si>
  <si>
    <t>Região climática.</t>
  </si>
  <si>
    <t>Region climática</t>
  </si>
  <si>
    <t>Zona.Climática</t>
  </si>
  <si>
    <t>Zona climática.</t>
  </si>
  <si>
    <t>Zona climática</t>
  </si>
  <si>
    <t>Ilhas.de.Calor</t>
  </si>
  <si>
    <t>Zona.Climática.Local</t>
  </si>
  <si>
    <t>Zona climática local (ZCL) de acordo à metodologia de Stewart e Oke para qualificar ilhas de calor em áreas urbanas.</t>
  </si>
  <si>
    <t>Zona climática local (ZCL) de acuerdo a la metodologia de Stewart y Oke para calificar islas de calor em areas urbanas</t>
  </si>
  <si>
    <t>Demarcadas</t>
  </si>
  <si>
    <t>Marcos</t>
  </si>
  <si>
    <t>Marco.Referencial</t>
  </si>
  <si>
    <t>Ifcreferent define uma posição num deslocamento específico ao longo de uma curva de alinhamento.</t>
  </si>
  <si>
    <t>Ifcreferent define una posición en un desplazamiento específico a lo largo de una curva de alineación.</t>
  </si>
  <si>
    <t>Marco.de.Fronteira</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</si>
  <si>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</si>
  <si>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</si>
  <si>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Marco.de.Cruzamento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</si>
  <si>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</si>
  <si>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</si>
  <si>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Marco.de.Localização</t>
  </si>
  <si>
    <t>Usado para descrever completamente uma localização referenciada linearmente, dada pelo elemento line.</t>
  </si>
  <si>
    <t>Se utiliza para describir completamente una ubicación a la que se hace referencia linealmente, dada por el elemento de línea.</t>
  </si>
  <si>
    <t>Marco.Quilométrico</t>
  </si>
  <si>
    <t>Ponto em quilômetro.</t>
  </si>
  <si>
    <t>Punto en kilómetro.</t>
  </si>
  <si>
    <t>Marco.Geográfico</t>
  </si>
  <si>
    <t>A referência é a localização de um ponto de referência físico visível no campo.</t>
  </si>
  <si>
    <t>La referencia es la ubicación de un punto de referencia físico visible en el campo.</t>
  </si>
  <si>
    <t>Marco.de.Milha</t>
  </si>
  <si>
    <t>Ponto em milha.</t>
  </si>
  <si>
    <t>Punto en milla.</t>
  </si>
  <si>
    <t>Estaca.de.Controle</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</si>
  <si>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</si>
  <si>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</si>
  <si>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Estação.de.Medição</t>
  </si>
  <si>
    <t>Estação.</t>
  </si>
  <si>
    <t>Estación.</t>
  </si>
  <si>
    <t xml:space="preserve">Superelevação </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</si>
  <si>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</si>
  <si>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</si>
  <si>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Largura.de.Pista</t>
  </si>
  <si>
    <t>Tipo de evento que especifica a largura num local específico ao longo de um alinhamento de estrada.</t>
  </si>
  <si>
    <t>Tipo de evento que especifica la anchura en una ubicación específica a lo largo de una alineación de carretera.</t>
  </si>
  <si>
    <t>Altimetrias</t>
  </si>
  <si>
    <t>Pontos.Cotados</t>
  </si>
  <si>
    <t>Ponto.Interno</t>
  </si>
  <si>
    <t>Pontos cotados altimétricos posicionados no interior do terreno.</t>
  </si>
  <si>
    <t>Puntos de elevación colocados dentro del terreno.</t>
  </si>
  <si>
    <t>Ponto.Perimetral</t>
  </si>
  <si>
    <t>Pontos cotados altimétricos posicionados na perimetral do terreno.</t>
  </si>
  <si>
    <t>Puntos de elevación altimétricos colocados en el perímetro del terreno.</t>
  </si>
  <si>
    <t>Terrenos</t>
  </si>
  <si>
    <t>Terreno.3D.Sólido</t>
  </si>
  <si>
    <t>Sólido tridimensional do terreno. Modelos de Revit acima de 2024 utilizam modelos de terreno sólido, embora ainda mantenha o esquema de malha de terreno.</t>
  </si>
  <si>
    <t>Terreno sólido tridimensional. Los modelos de Revit por encima de 2024 utilizan modelos de terreno sólido, a la vez que mantienen el esquema de malla de terreno.</t>
  </si>
  <si>
    <t>Terreno.3D.Superficial</t>
  </si>
  <si>
    <t>Maha tridimensional do terreno. Modelos de Revit anteriores a 2024 utilizam modelos de terreno de superfície.</t>
  </si>
  <si>
    <t>Maha tridimensional del terreno. Los modelos de Revit anteriores a 2024 utilizan modelos de terreno de superficie.</t>
  </si>
  <si>
    <t>MDT.Camada.Núcleo</t>
  </si>
  <si>
    <t>Sólido tridimensional do terreno: camada núcleo.</t>
  </si>
  <si>
    <t>Terreno tridimensional sólido: capa central.</t>
  </si>
  <si>
    <t>MDT.Camada.Substrato</t>
  </si>
  <si>
    <t>Sólido tridimensional do terreno: camada substrato.</t>
  </si>
  <si>
    <t>Sólido tridimensional del terreno: capa de sustrato.</t>
  </si>
  <si>
    <t>MDT.Camada.Membrana</t>
  </si>
  <si>
    <t>Sólido tridimensional do terreno: camada membrana.</t>
  </si>
  <si>
    <t>Sólido tridimensional del terreno: capa de membrana.</t>
  </si>
  <si>
    <t>MDT.Camada.Isolamento</t>
  </si>
  <si>
    <t>Sólido tridimensional do terreno: camada isolamento.</t>
  </si>
  <si>
    <t>Terreno sólido tridimensional: capa de aislamiento.</t>
  </si>
  <si>
    <t>MDT.Camada.Superficial</t>
  </si>
  <si>
    <t>Sólido tridimensional do terreno: camada superficial.</t>
  </si>
  <si>
    <t>Sólido tridimensional del terreno: capa superficial.</t>
  </si>
  <si>
    <t>Curvas.de.Nível</t>
  </si>
  <si>
    <t>Curva.de.Nível.10m</t>
  </si>
  <si>
    <t>Curva de nível mestras de 10 metros.</t>
  </si>
  <si>
    <t>Curva de nivel de 10 metros.</t>
  </si>
  <si>
    <t>Curva.de.Nível.05m</t>
  </si>
  <si>
    <t>Curva de nível mestras de 5 metros.</t>
  </si>
  <si>
    <t>Curva de nivel de 5 metros.</t>
  </si>
  <si>
    <t>Curva.de.Nível.01m</t>
  </si>
  <si>
    <t>Curva de nível de 1 metro.</t>
  </si>
  <si>
    <t>Curva de nivel de 1 metro.</t>
  </si>
  <si>
    <t>Curva.de.Nível.Submétrica</t>
  </si>
  <si>
    <t>Curva de nível submétrica, o seu valor deve ser menor de 1m podendo ser 5 cm, 10 cm, 25 cm, etc. Para ajustes de caixas ou postes no tereno.</t>
  </si>
  <si>
    <t>Línea de contorno submétrica, su valor debe ser inferior a 1m y puede ser de 5 cm, 10 cm, 25 cm, etc. Para ajustes de cajas o postes en el suelo.</t>
  </si>
  <si>
    <t>Sondagens</t>
  </si>
  <si>
    <t>Ponto.de.Sondagem</t>
  </si>
  <si>
    <t>Ponto de sondagem do terreno.</t>
  </si>
  <si>
    <t>Punto de votación en tierra.</t>
  </si>
  <si>
    <t>Urbanísticos</t>
  </si>
  <si>
    <t>Zonificações</t>
  </si>
  <si>
    <t>Area.de.Planejamento</t>
  </si>
  <si>
    <t>AP significa Area de Planejamento.</t>
  </si>
  <si>
    <t>Area de Planeamiento</t>
  </si>
  <si>
    <t>Região.Administrativa</t>
  </si>
  <si>
    <t>RA significa Região Administrativa.</t>
  </si>
  <si>
    <t>Región Administrativa</t>
  </si>
  <si>
    <t>Area.de.Interesse.Especial</t>
  </si>
  <si>
    <t>Área de Interesse Especial.</t>
  </si>
  <si>
    <t>Area de Interes Especial</t>
  </si>
  <si>
    <t>Area.Restringida</t>
  </si>
  <si>
    <t>Área com restrições de ocupação</t>
  </si>
  <si>
    <t>Área con restricciones de ocupación</t>
  </si>
  <si>
    <t>Zona</t>
  </si>
  <si>
    <t>é.dentro.de some Cidade</t>
  </si>
  <si>
    <t>Zonas da cidade de Rio de Janeiro.</t>
  </si>
  <si>
    <t>Zonas de la ciudad de Rio de Janeiro</t>
  </si>
  <si>
    <t>Bairro</t>
  </si>
  <si>
    <t>Bairro da cidade</t>
  </si>
  <si>
    <t>Barrio de la ciudad</t>
  </si>
  <si>
    <t>Zona.de.Uso</t>
  </si>
  <si>
    <t>Zona de uso do zoneamento municipal da cidade de Rio de Janeiro.</t>
  </si>
  <si>
    <t>Zona de uso de acurdo al zoneamiento municipal de la ciudad de Rio de Janeiro</t>
  </si>
  <si>
    <t>Macrozona</t>
  </si>
  <si>
    <t>Frações</t>
  </si>
  <si>
    <t>Quadra</t>
  </si>
  <si>
    <t>é.dentro.de some Bairro</t>
  </si>
  <si>
    <t>Quadra de um bairro.</t>
  </si>
  <si>
    <t>Cuadra barrial</t>
  </si>
  <si>
    <t>Gleba</t>
  </si>
  <si>
    <t>Terreno amplo que ainda não foi loteado.</t>
  </si>
  <si>
    <t>Terreno amplio que aún no fue loteado</t>
  </si>
  <si>
    <t>Loteamento</t>
  </si>
  <si>
    <t>Loteamento urbano.</t>
  </si>
  <si>
    <t>Loteamiento urbano</t>
  </si>
  <si>
    <t>Parcela</t>
  </si>
  <si>
    <t>Parcela urbana.</t>
  </si>
  <si>
    <t>Parcela urbana</t>
  </si>
  <si>
    <t>Lote</t>
  </si>
  <si>
    <t>Lote urbano.</t>
  </si>
  <si>
    <t>Lote urbano</t>
  </si>
  <si>
    <t>Prediais</t>
  </si>
  <si>
    <t>Construídas</t>
  </si>
  <si>
    <t>Prédio.</t>
  </si>
  <si>
    <t>Edificio.</t>
  </si>
  <si>
    <t>Bloco edificado.</t>
  </si>
  <si>
    <t>Block edificado</t>
  </si>
  <si>
    <t>Edifício</t>
  </si>
  <si>
    <t>Edifício.</t>
  </si>
  <si>
    <t>Edificio</t>
  </si>
  <si>
    <t>Casa</t>
  </si>
  <si>
    <t>Casa.</t>
  </si>
  <si>
    <t>HIS</t>
  </si>
  <si>
    <t>Habitação de Interesse Social.</t>
  </si>
  <si>
    <t>Habitación de Interes Social</t>
  </si>
  <si>
    <t>Galpão</t>
  </si>
  <si>
    <t>é.dentro.de some Lote</t>
  </si>
  <si>
    <t>Galpão.</t>
  </si>
  <si>
    <t>Galpón</t>
  </si>
  <si>
    <t>Edícula</t>
  </si>
  <si>
    <t>Edícula.</t>
  </si>
  <si>
    <t>Funcionais</t>
  </si>
  <si>
    <t>Organizativas</t>
  </si>
  <si>
    <t>Unidade</t>
  </si>
  <si>
    <t>é.dentro.de some Prédio</t>
  </si>
  <si>
    <t>Unidade.</t>
  </si>
  <si>
    <t>Unidad</t>
  </si>
  <si>
    <t>Setor.Urbano</t>
  </si>
  <si>
    <t>Setor.</t>
  </si>
  <si>
    <t>Sector</t>
  </si>
  <si>
    <t>Divisão</t>
  </si>
  <si>
    <t>Divisão.</t>
  </si>
  <si>
    <t>División</t>
  </si>
  <si>
    <t>Departamento</t>
  </si>
  <si>
    <t>Distribuição</t>
  </si>
  <si>
    <t>Ambiente</t>
  </si>
  <si>
    <t>Ambiente.</t>
  </si>
  <si>
    <t>Núcleo.de.Circulação</t>
  </si>
  <si>
    <t>Núcleo de Circulação.</t>
  </si>
  <si>
    <t>Nucleo de circulación</t>
  </si>
  <si>
    <t>Saúde</t>
  </si>
  <si>
    <t>Hospital.Federal</t>
  </si>
  <si>
    <t>Hospital Nacional.</t>
  </si>
  <si>
    <t>Hospital gerenciado por el gobierno Nacional</t>
  </si>
  <si>
    <t>Hospital.Estadual</t>
  </si>
  <si>
    <t>Hospital Estadual.</t>
  </si>
  <si>
    <t>Hospital gerenciado por un gobierno de la esfera Provincial</t>
  </si>
  <si>
    <t>Hospital.Municipal</t>
  </si>
  <si>
    <t>Hospital 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</si>
  <si>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</si>
  <si>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</si>
  <si>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</si>
  <si>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</si>
  <si>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</si>
  <si>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</si>
  <si>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</si>
  <si>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Educacionais</t>
  </si>
  <si>
    <t>Universidade.Federal</t>
  </si>
  <si>
    <t>Universidade Federal.</t>
  </si>
  <si>
    <t>Universidad Federal</t>
  </si>
  <si>
    <t>Universidade.Estadual</t>
  </si>
  <si>
    <t>Universidade Estadual.</t>
  </si>
  <si>
    <t>Universidad gerenciada por un gobierno de la esfera Provincial</t>
  </si>
  <si>
    <t>Escola.Estadual</t>
  </si>
  <si>
    <t>Escola Estadual.</t>
  </si>
  <si>
    <t>Escuela gerenciada por un gobierno de la esfera Provincial</t>
  </si>
  <si>
    <t>Escola.Municipal</t>
  </si>
  <si>
    <t>Escola Municipal.</t>
  </si>
  <si>
    <t>Escuela gerenciada por un gobierno de la esfera Municipal</t>
  </si>
  <si>
    <t>Colégio.de.Aplicação</t>
  </si>
  <si>
    <t>Os colégios de aplicação são instituições de ensino vinculadas a universidades, com a missão de integrar teoria e prática na formação de alunos e professores.</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</si>
  <si>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</si>
  <si>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</si>
  <si>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</si>
  <si>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</si>
  <si>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</si>
  <si>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</si>
  <si>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</si>
  <si>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</si>
  <si>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</si>
  <si>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</si>
  <si>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</si>
  <si>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</si>
  <si>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</si>
  <si>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</si>
  <si>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</si>
  <si>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</si>
  <si>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</si>
  <si>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</si>
  <si>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</si>
  <si>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</si>
  <si>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</si>
  <si>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</si>
  <si>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Ferroviários</t>
  </si>
  <si>
    <t>Trens</t>
  </si>
  <si>
    <t>Locomotiva</t>
  </si>
  <si>
    <t>Veículo pesado para rodar sobre trilhos que puxa ou empurra vagões ferroviários. Podem ser elétricas, diesel-elétricas ou a vapor.</t>
  </si>
  <si>
    <t>Un vehículo ferroviario pesado que tira o empuja vagones de ferrocarril. Pueden ser eléctricos, diésel-eléctricos o de vapor.</t>
  </si>
  <si>
    <t>Vagão.Carga</t>
  </si>
  <si>
    <t>Veículo pesado para rodar sobre trilhos para transportar mercadorias (grãos, minérios, combustíveis, contêineres).</t>
  </si>
  <si>
    <t>Vehículo pesado para circular sobre raíles para transportar mercancías (granos, minerales, combustibles, contenedores).</t>
  </si>
  <si>
    <t>Vagão.Passageiro</t>
  </si>
  <si>
    <t>Veículo pesado para rodar sobre trilhos para transportar pessoas, podem ser equipados com banheiros e instalações especiais.</t>
  </si>
  <si>
    <t>Los vehículos pesados para circular sobre raíles para transportar personas, pueden equiparse con aseos e instalaciones especiales.</t>
  </si>
  <si>
    <t>Vagão.Dormitório</t>
  </si>
  <si>
    <t>Veículo pesado para rodar sobre trilhos para transportar pessoas preparado com instalações para dormir.</t>
  </si>
  <si>
    <t>Vehículo ferroviario pesado para transportar personas preparadas con instalaciones para dormir.</t>
  </si>
  <si>
    <t>Vagão.Metro</t>
  </si>
  <si>
    <t>Veículo pesado para rodar sobre trilhos para transportar pessoas em entornos urbanos.</t>
  </si>
  <si>
    <t>Vehículo pesado para circular sobre raíles para el transporte de personas en entornos urbanos.</t>
  </si>
  <si>
    <t>Vagão.Monotrilho</t>
  </si>
  <si>
    <t>Vagão.VLT</t>
  </si>
  <si>
    <t>Veículo Leve sobre Trilhos (VLT). Sistema de vagões articulados e bidirecionais para transportar pessoas no nível de entornos urbanos.</t>
  </si>
  <si>
    <t>Veículo Liviano sobre Trilhos (VLT). Sistema de vagones articulados y bidireccionales para transportar personas em superficie de entornos urbanos.</t>
  </si>
  <si>
    <t>Trem.de.Alta.Velocidade</t>
  </si>
  <si>
    <t>Trem Bala ou de alta velocidade. Transita em velocidades que podem chegar a 300 km/h.</t>
  </si>
  <si>
    <t>Tren bala o de alta velocidad. Viaja a velocidades que pueden alcanzar los 300 km/h.</t>
  </si>
  <si>
    <t>Trem.Bala</t>
  </si>
  <si>
    <t>MagLev</t>
  </si>
  <si>
    <t xml:space="preserve">Trem de levitação magnética ou Maglev. Transita numa linha elevada sobre o chão que se propulsiona pelas forças atrativas e repulsivas do magnetismo usando supercondutores. </t>
  </si>
  <si>
    <t>Tren de levitación magnética o Maglev. Viaja en una línea elevada sobre el suelo que es impulsada por las fuerzas de atracción y repulsión del magnetismo utilizando superconductores.</t>
  </si>
  <si>
    <t>Terrestres</t>
  </si>
  <si>
    <t>Veículos.Maquinária</t>
  </si>
  <si>
    <t>Trator</t>
  </si>
  <si>
    <t>Veículo de obra tipo trator.</t>
  </si>
  <si>
    <t>Vehículo de construcción tipo tractor.</t>
  </si>
  <si>
    <t xml:space="preserve">Escavadeira.Hidráulica </t>
  </si>
  <si>
    <t>Veículo de obra tipo escavadeira hidráulica.</t>
  </si>
  <si>
    <t>Vehículo de construcción tipo excavadora hidráulica.</t>
  </si>
  <si>
    <t>Retroescavadeira</t>
  </si>
  <si>
    <t>Veículo de obra tipo retroescavadeira.</t>
  </si>
  <si>
    <t>Vehículo de trabajo tipo retroexcavadora.</t>
  </si>
  <si>
    <t>Motoniveladora</t>
  </si>
  <si>
    <t>Veículo de obra tipo motoniveladora.</t>
  </si>
  <si>
    <t>Vehículo de trabajo tipo motoniveladora.</t>
  </si>
  <si>
    <t>Empilhadeira</t>
  </si>
  <si>
    <t>Veículo de obra tipo empilhadera para movimentação e empilhamento de paletes.</t>
  </si>
  <si>
    <t>Vehículo de construcción tipo carretilla elevadora para manipulación y apilamiento de palets.</t>
  </si>
  <si>
    <t>Munk</t>
  </si>
  <si>
    <t>Veículo de obra tipo caminão com guindaste incorporado.</t>
  </si>
  <si>
    <t>Vehículo de construcción tipo camión con grúa incorporada.</t>
  </si>
  <si>
    <t>Guindastes</t>
  </si>
  <si>
    <t>Guindaste.Telescópico</t>
  </si>
  <si>
    <t>Veículo de obra tipo caminão com sistema de içamento telescópico com alcance horizontal e vertical incorporado.</t>
  </si>
  <si>
    <t>Vehículo de construcción tipo camión con sistema de elevación telescópico con alcance horizontal y vertical incorporado.</t>
  </si>
  <si>
    <t>Guindaste.Móvel</t>
  </si>
  <si>
    <t>Estrutura de operação tipo guindaste movimentado sobre trilhos.</t>
  </si>
  <si>
    <t>Estructura de operación tipo grúa movida sobre rieles.</t>
  </si>
  <si>
    <t>Guindaste.Torre</t>
  </si>
  <si>
    <t>Estrutura de operação tipo guindaste torre alta que pode operar por rotação e translação.</t>
  </si>
  <si>
    <t>Estructura de operación tipo grúa torre alta que puede operar por rotación y desplazamiento.</t>
  </si>
  <si>
    <t>Guindaste.Lança</t>
  </si>
  <si>
    <t>Estrutura de operação tipo guindaste de pequeno porte que pode operar por rotação e translação.</t>
  </si>
  <si>
    <t>Estructura de operación tipo grúa pequeña que puede operar por rotación y desplazamiento.</t>
  </si>
  <si>
    <t>Guindaste.Ponte</t>
  </si>
  <si>
    <t>Estrutura de operação tipo guindaste em formato de pórtico.</t>
  </si>
  <si>
    <t>Estructura de operación tipo grúa en formato pórtico.</t>
  </si>
  <si>
    <t>Veículos.Pesados</t>
  </si>
  <si>
    <t>Caminhão.Baú</t>
  </si>
  <si>
    <t>Veículo de carga de produtos com capacidade elevada com caixa fechada.</t>
  </si>
  <si>
    <t>Vehículo de carga de productos de alta capacidad con carrocería cerrada.</t>
  </si>
  <si>
    <t>Caminhão.Tanque</t>
  </si>
  <si>
    <t>Veículo de carga com capacidade elevada para transportar fluídos ou combustíveis.</t>
  </si>
  <si>
    <t>Vehículo de carga con una alta capacidad para transportar fluidos o combustibles.</t>
  </si>
  <si>
    <t>Caminhão.Caçamba</t>
  </si>
  <si>
    <t>Veículo de carga com capacidade elevada para transportar e descarregar materiais a granel, como areia, brita, terra, entulho ou cascalho. A caçamba pode ser basculante.</t>
  </si>
  <si>
    <t>Vehículo de carga con alta capacidad para transportar y descargar materiales a granel como arena, grava, tierra, escombros o grava. El cubo se puede volcar.</t>
  </si>
  <si>
    <t>Caminhão.BiTrem</t>
  </si>
  <si>
    <t>Veículo de carga com capacidade elevada com dois reboques (ou semirreboques) acoplados ao caminhão-trator.</t>
  </si>
  <si>
    <t>Vehículo de carga de alta capacidad con dos remolques (o semirremolques) unidos al camión tractor.</t>
  </si>
  <si>
    <t>Caminhão.Carroceria</t>
  </si>
  <si>
    <t>Veículo de carga com estrutura aberta ou semiaberta na parte traseira.</t>
  </si>
  <si>
    <t>Vehículo de carga con estructura abierta o semiabierta en la parte trasera.</t>
  </si>
  <si>
    <t>Caminhão.Graneleiro</t>
  </si>
  <si>
    <t>Veículo de carga utilizado para transporte de grãos.</t>
  </si>
  <si>
    <t>Vehículo de carga utilizado para transportar granos.</t>
  </si>
  <si>
    <t>Caminhão.Frigorífico</t>
  </si>
  <si>
    <t>Veículo de carga utilizado para transportar cargas que precisam ser mantidas em temperaturas controladas. Essencial para garantir a cadeia do frio.</t>
  </si>
  <si>
    <t>Vehículo de carga utilizado para transportar carga que necesita mantenerse a temperaturas controladas. Imprescindible para asegurar la cadena de frío.</t>
  </si>
  <si>
    <t>Caminhão.Trator</t>
  </si>
  <si>
    <t>Veículo com cabine e motor para tracionar semirreboques formando um conjunto articulado.</t>
  </si>
  <si>
    <t>Vehículo con cabina y motor para traccionar semirremolques formando un conjunto articulado.</t>
  </si>
  <si>
    <t>Ônibus</t>
  </si>
  <si>
    <t>Veículo de transporte coletivo com mais de 20 passageiros.</t>
  </si>
  <si>
    <t>Vehículo de transporte público con más de 20 pasajeros.</t>
  </si>
  <si>
    <t>Ônibus.BRT</t>
  </si>
  <si>
    <t>Veículo de transporte coletivo tipo Sistema Bus Rapid Transit (BRT). Sistema de ônibus urbano de alta capacidad que opera en carriles exclusivos.</t>
  </si>
  <si>
    <t>Vehículo de transporte público del sistema Bus Rapid Transit (BRT). Sistema de autobuses urbanos de alta capacidad que opera sobre rieles exclusivos.</t>
  </si>
  <si>
    <t>Microônibus</t>
  </si>
  <si>
    <t>Veículo de transporte coletivo com até 20 passageiros.</t>
  </si>
  <si>
    <t>Vehículo de transporte público con capacidad para 20 pasajeros.</t>
  </si>
  <si>
    <t>Reboque</t>
  </si>
  <si>
    <t>Veículo não motorizado acoplado a outro.</t>
  </si>
  <si>
    <t>Vehículo no motorizado acoplado a otro.</t>
  </si>
  <si>
    <t>Semirreboque</t>
  </si>
  <si>
    <t>Veículo.Misto</t>
  </si>
  <si>
    <t>Veículo que transporta cargas e passageiros simultaneamente.</t>
  </si>
  <si>
    <t>Vehículo que transporta carga y pasajeros simultáneamente.</t>
  </si>
  <si>
    <t>Veículo.Especial</t>
  </si>
  <si>
    <t>Veículos adaptados para funções específicas como ambulância, carro de bombeiro, transporte escolar, etc.</t>
  </si>
  <si>
    <t>Vehículos adaptados para funciones específicas como ambulancia, camión de bomberos, transporte escolar, etc.</t>
  </si>
  <si>
    <t>Veículos.Leves</t>
  </si>
  <si>
    <t>Camioneta</t>
  </si>
  <si>
    <t>Com peso bruto total (PBT) de até 3.500 kg são classificados como leves. Similar ao automóvel, mas com compartimento de carga.</t>
  </si>
  <si>
    <t>Similar al coche, pero con un compartimento de carga.</t>
  </si>
  <si>
    <t>Caminhonete</t>
  </si>
  <si>
    <t>Com peso bruto total (PBT) de até 3.500 kg são classificados como leves. Veículo misto com cabine e caçamba.</t>
  </si>
  <si>
    <t>Vehículo mixto con cabina y cubo.</t>
  </si>
  <si>
    <t>Automóvel</t>
  </si>
  <si>
    <t>Com peso bruto total (PBT) de até 3.500 kg são classificados como leves.  Veículo leve para transporte de até 5 passageiros.</t>
  </si>
  <si>
    <t>Vehículo ligero para transportar hasta 5 pasajeros.</t>
  </si>
  <si>
    <t>Motocicleta</t>
  </si>
  <si>
    <t>Veículo aberto e motorizado de duas rodas.</t>
  </si>
  <si>
    <t>Vehículo abierto y motorizado de dos ruedas.</t>
  </si>
  <si>
    <t>Motoneta</t>
  </si>
  <si>
    <t>Quadriciclo</t>
  </si>
  <si>
    <t>Veículo aberto e motorizado de quatro rodas.</t>
  </si>
  <si>
    <t>Vehículo abierto y motorizado de cuatro ruedas.</t>
  </si>
  <si>
    <t>Triciclo</t>
  </si>
  <si>
    <t>Veículo aberto e motorizado de três rodas.</t>
  </si>
  <si>
    <t>Vehículo abierto y motorizado de tres ruedas.</t>
  </si>
  <si>
    <t>Bicicleta</t>
  </si>
  <si>
    <t>Veículo aberto de duas rodas alinhadas, movido pelo esforço do próprio usuário por meio de pedais.</t>
  </si>
  <si>
    <t>Un vehículo abierto con dos ruedas alineadas, movido por el propio esfuerzo del usuario mediante pedales.</t>
  </si>
  <si>
    <t>Aquáticos</t>
  </si>
  <si>
    <t>Navios</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</si>
  <si>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</si>
  <si>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</si>
  <si>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</si>
  <si>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</si>
  <si>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</si>
  <si>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</si>
  <si>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</si>
  <si>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</si>
  <si>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</si>
  <si>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</si>
  <si>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</si>
  <si>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</si>
  <si>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</si>
  <si>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</si>
  <si>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</si>
  <si>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</si>
  <si>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</si>
  <si>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</si>
  <si>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</si>
  <si>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</si>
  <si>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</si>
  <si>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</si>
  <si>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</si>
  <si>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</si>
  <si>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</si>
  <si>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</si>
  <si>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</si>
  <si>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</si>
  <si>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</si>
  <si>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</si>
  <si>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</si>
  <si>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</si>
  <si>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</si>
  <si>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</si>
  <si>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</si>
  <si>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</si>
  <si>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</si>
  <si>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</si>
  <si>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</si>
  <si>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</si>
  <si>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</si>
  <si>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</si>
  <si>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</si>
  <si>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</si>
  <si>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</si>
  <si>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</si>
  <si>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</si>
  <si>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</si>
  <si>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</si>
  <si>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</si>
  <si>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</si>
  <si>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Embarcações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</si>
  <si>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</si>
  <si>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</si>
  <si>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</si>
  <si>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</si>
  <si>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</si>
  <si>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</si>
  <si>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</si>
  <si>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</si>
  <si>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</si>
  <si>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</si>
  <si>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</si>
  <si>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</si>
  <si>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</si>
  <si>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</si>
  <si>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</si>
  <si>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</si>
  <si>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</si>
  <si>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</si>
  <si>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</si>
  <si>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</si>
  <si>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</si>
  <si>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</si>
  <si>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</si>
  <si>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</si>
  <si>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</si>
  <si>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</si>
  <si>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</si>
  <si>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Aéreos</t>
  </si>
  <si>
    <t>Aviões</t>
  </si>
  <si>
    <t>Avião.de.Fuselagem.Larga</t>
  </si>
  <si>
    <t>Avião com dois corredores internos, usados em voos internacionais e de longa distância. Tipo Boeing ou AirBus.</t>
  </si>
  <si>
    <t>Avión con dos pasillos internos, utilizado en vuelos internacionales y de larga distancia. Como Boeing o Airbus.</t>
  </si>
  <si>
    <t>Avião.de.Fuselagem.Estreita</t>
  </si>
  <si>
    <t>Avião com um corredor interno, usado em voo internacionais e de longa distância. Tipo Boeing ou AirBus.</t>
  </si>
  <si>
    <t>Avión con pasillo interno, utilizado en vuelos internacionales y de larga distancia. Como Boeing o Airbus.</t>
  </si>
  <si>
    <t>Jet.Executivo</t>
  </si>
  <si>
    <t>Jet executivo tipo Learjet.</t>
  </si>
  <si>
    <t>Jet ejecutivo tipo Learjet.</t>
  </si>
  <si>
    <t>Avioneta</t>
  </si>
  <si>
    <t>Avião de pequeno porte tipo avioneta turbohélice Cessna.</t>
  </si>
  <si>
    <t>Avión pequeño tipo Cessna turbohélice.</t>
  </si>
  <si>
    <t>Helicópteros</t>
  </si>
  <si>
    <t>Helicoptero.Pistão</t>
  </si>
  <si>
    <t>Helicóptero de pequeno porte.</t>
  </si>
  <si>
    <t>Helicóptero pequeño.</t>
  </si>
  <si>
    <t>Helicoptero.Turbina</t>
  </si>
  <si>
    <t>Helicóptero de grande porte.</t>
  </si>
  <si>
    <t>Helicóptero grande.</t>
  </si>
  <si>
    <t>Vants</t>
  </si>
  <si>
    <t>Drone</t>
  </si>
  <si>
    <t>Drone ou UAS veículo aéreo não tripulado.</t>
  </si>
  <si>
    <t>Vehículo aéreo no tripulado dron o UAS.</t>
  </si>
  <si>
    <t>Vant</t>
  </si>
  <si>
    <t>UAS</t>
  </si>
  <si>
    <t>Estações.Rodoviárias</t>
  </si>
  <si>
    <t>Central.Rodoviário</t>
  </si>
  <si>
    <t xml:space="preserve">Estação terminal de ônibus interurbanos. </t>
  </si>
  <si>
    <t>Terminal de autobuses interurbanos.</t>
  </si>
  <si>
    <t>Terminal.Rodoviário</t>
  </si>
  <si>
    <t>Estação.Rodoviária</t>
  </si>
  <si>
    <t xml:space="preserve">Estação de ônibus. </t>
  </si>
  <si>
    <t>Estación de autobús.</t>
  </si>
  <si>
    <t>Ponto.de.Ônibus</t>
  </si>
  <si>
    <t xml:space="preserve">Ponto de ônibus urbano. </t>
  </si>
  <si>
    <t>Parada de autobús urbano.</t>
  </si>
  <si>
    <t>Parada.de.Ônibus</t>
  </si>
  <si>
    <t xml:space="preserve">Parada de ônibus urbano. </t>
  </si>
  <si>
    <t>Vias</t>
  </si>
  <si>
    <t>Estrada.Vicinal</t>
  </si>
  <si>
    <t>Vias locais, em geral municipais, não pavimentadas de uma pista e de padrão técnico modesto.</t>
  </si>
  <si>
    <t>Carreteras locales, generalmente municipales, sin pavimentar con un carril y de modesto nivel técnico.</t>
  </si>
  <si>
    <t>Rodovia.Vicinal</t>
  </si>
  <si>
    <t>Vias locais, em geral municipais, pavimentadas de uma pista e de padrão técnico modesto.</t>
  </si>
  <si>
    <t>Carreteras locales, generalmente municipales, pavimentadas con un solo carril y de modesto nivel técnico.</t>
  </si>
  <si>
    <t>Viela.Urbana</t>
  </si>
  <si>
    <t>Vias urbana pavimentadas de uma pista com largura de 6 a 9 metros.</t>
  </si>
  <si>
    <t>Vías urbanas pavimentadas de un carril con un ancho de 6 a 9 metros.</t>
  </si>
  <si>
    <t>Rua.Local.Urbana</t>
  </si>
  <si>
    <t xml:space="preserve">Vias urbana pavimentadas de uma pista com largura de 9 a 12 metros. </t>
  </si>
  <si>
    <t>Vías urbanas pavimentadas de un carril con un ancho de 9 a 12 metros.</t>
  </si>
  <si>
    <t>Rua.Coletora.Urbana</t>
  </si>
  <si>
    <t>Vias urbana pavimentadas de uma ou duas pista com larguras de 12 a 18  metros.</t>
  </si>
  <si>
    <t>Vías urbanas pavimentadas de uno o dos carriles con anchos de 12 a 18 metros.</t>
  </si>
  <si>
    <t>Avenida.Arterial</t>
  </si>
  <si>
    <t>Vias urbanas pavimentadas de grande fluxo de veículos e transporte público com largura de 20 a 30 metros.</t>
  </si>
  <si>
    <t>Vías urbanas pavimentadas con un gran flujo de vehículos y transporte público con un ancho de 20 a 30 metros.</t>
  </si>
  <si>
    <t>Avenida.Expressa</t>
  </si>
  <si>
    <t>Vias urbanas de alta velocidade com separação de faixas de 30 a 60 metros.</t>
  </si>
  <si>
    <t>Vías urbanas de alta velocidad con separación de carriles de 30 a 60 metros.</t>
  </si>
  <si>
    <t>Corredor.BRT</t>
  </si>
  <si>
    <t>Via urbana exclusiva para operação do BRT.</t>
  </si>
  <si>
    <t>Vía urbana exclusiva para operación del BRT.</t>
  </si>
  <si>
    <t>Faixas</t>
  </si>
  <si>
    <t>Faixa.de.Rolamento</t>
  </si>
  <si>
    <t>Faixa utilizada por veiculos.</t>
  </si>
  <si>
    <t>Carril utilizado por vehículos.</t>
  </si>
  <si>
    <t>Calçada</t>
  </si>
  <si>
    <t>Parte da via pública destinada ao trânsito de pedestres posicionada ao lado das faixas de rolamento. Para o projeto pode ser consultado o Caderno Calçadas Cariocas e a Norma NBR 9050, que trata da acessibilidade em espaços urbanos.</t>
  </si>
  <si>
    <t>Parte de la vía pública destinada al tráfico peatonal colocada junto a los carriles. Para el proyecto se puede consultar el Cuaderno de Aceras Carioca y la Norma NBR 9050, que trata sobre la accesibilidad en espacios urbanos.</t>
  </si>
  <si>
    <t>Ciclofaixa</t>
  </si>
  <si>
    <t>Faixa para ciclistas integrada à faixa de rolamento e delimitapa por faixa pintada no asfalto. É menos segura que a cliclovia.</t>
  </si>
  <si>
    <t>Carril para ciclistas integrado en el carril y delimitado por un carril pintado sobre el asfalto. Es menos seguro que la ciclovia.</t>
  </si>
  <si>
    <t>Ciclovia</t>
  </si>
  <si>
    <t>Via exclusiva para circulação de bicicletas, separada fisicamente das faixas de veículos motorizados.</t>
  </si>
  <si>
    <t>Carril exclusivo para la circulación de bicicletas, separado físicamente de los carriles para vehículos motorizados.</t>
  </si>
  <si>
    <t>Meio.Fio</t>
  </si>
  <si>
    <t>Elemento que separa a pista de rolamento dos veículos do passeio de pedestres com altura inferior a 35 cm.</t>
  </si>
  <si>
    <t>Elemento que separa la calzada de los vehículos de acera peatonal con una altura inferior a 35 cm.</t>
  </si>
  <si>
    <t>Contenção.Perfil</t>
  </si>
  <si>
    <t>Perfi L padrão ABNT, engastado na estrutura, com a função de proteção lateral da pista rodoviária.</t>
  </si>
  <si>
    <t>Perfil estándar ABNT, empotrado en la estructura, con la función de protección lateral del carril de carretera.</t>
  </si>
  <si>
    <t>Contenção.Cortina</t>
  </si>
  <si>
    <t>Elemento com altura superior a 1,5 m, engastado na superestrutura que funciona para evitar a queda do veículo da ponte ou viaduto sobre vias metroviárias e ferroviárias.</t>
  </si>
  <si>
    <t>Elemento con una altura superior a 1,5 m, empotrado en la superestructura que funciona para evitar que el vehículo caiga del puente o viaducto sobre las vías del metro y del ferrocarril.</t>
  </si>
  <si>
    <t>Contenção.Guardacorpo</t>
  </si>
  <si>
    <t>Elemento contínuo ou vazado de proteção do pedestre na borda do passeio.</t>
  </si>
  <si>
    <t>Elemento continuo o hueco de protección peatonal en el borde de la acera.</t>
  </si>
  <si>
    <t>Contenção.GuardaRail</t>
  </si>
  <si>
    <t>Elemento contínuo de proteção lateral na borda da estrada de alta velocidade.</t>
  </si>
  <si>
    <t>Elemento de protección lateral continuo en el borde de la carretera de alta velocidad.</t>
  </si>
  <si>
    <t>Obras.de.Arte.Especial</t>
  </si>
  <si>
    <t>Ponte</t>
  </si>
  <si>
    <t>Estrutura sujeita a ação de carga em movimento, com posicionamento variável, aqui chamada de carga móvel, utilizada para transpor um obstáculo natural (rio, córrego, vale etc.).</t>
  </si>
  <si>
    <t>Estructura sometida a la acción de la carga en movimiento, con posicionamiento variable, aquí llamada carga móvil, utilizada para superar un obstáculo natural (río, arroyo, valle, etc.).</t>
  </si>
  <si>
    <t>Viaduto</t>
  </si>
  <si>
    <t>Estrutura elevada para que os veículos possam transpor um obstáculo artificial como uma avenida, rodovia etc.</t>
  </si>
  <si>
    <t>Estructura elevada para que los vehículos puedan superar un obstáculo artificial como una avenida, autopista, etc.</t>
  </si>
  <si>
    <t>Passarela.Urbana</t>
  </si>
  <si>
    <t>Estrutura elevada e longilínea, destinada a que os pedestres possam transpor obstáculos naturais e/ou artificiais. Exclusivamente para pedestres e/ou ciclistas.</t>
  </si>
  <si>
    <t>Estructura elevada y alargada, destinada a que los peatones superen obstáculos naturales y/o artificiales. Exclusivo para peatones y/o ciclistas.</t>
  </si>
  <si>
    <t>Túnel.Terrestre</t>
  </si>
  <si>
    <t>Passagem subterrânea que permite o deslocamento de pessoas, veículos ou trens através de obstáculos naturais ou urbanos.</t>
  </si>
  <si>
    <t>Paso subterráneo que permite que las personas, los vehículos o los trenes se muevan a través de obstáculos naturales o urbanos.</t>
  </si>
  <si>
    <t>Túnel.Acuático</t>
  </si>
  <si>
    <t>Passagem subfluvial ou marítima que permite o deslocamento de pessoas, veículos ou trens.</t>
  </si>
  <si>
    <t>Paso subfluvial o marítimo que permita el movimiento de personas, vehículos o trenes.</t>
  </si>
  <si>
    <t>Edifício.Garagem</t>
  </si>
  <si>
    <t>Edificações com qualquer planta, de vários andares, com rampas de acesso ou elevadores destinados ao estacionamento de veículos leves, para circulação em baixa velocidade.</t>
  </si>
  <si>
    <t>Edificios de cualquier planta, de varias plantas, con rampas de acceso o ascensores destinados al estacionamiento de vehículos ligeros, para la circulación a baja velocidad.</t>
  </si>
  <si>
    <t>OAE.Partes</t>
  </si>
  <si>
    <t>OAE.Aparelho.Apóio</t>
  </si>
  <si>
    <t>Parte de uma Obra de Arte Especial: Tipo de elemento estrutural geralmente utilizado para transmitir as cargas do tabuleiro para o pilone.</t>
  </si>
  <si>
    <t>Parte de una obra de arte especial: Un tipo de elemento estructural generalmente utilizado para transmitir las cargas desde la plataforma hasta el pilón.</t>
  </si>
  <si>
    <t>OAE.Estaca</t>
  </si>
  <si>
    <t>Parte de uma Obra de Arte Especial: Estacas de fundação da ponte.</t>
  </si>
  <si>
    <t>Parte de una obra de arte especial: pilotes de cimentación de puentes.</t>
  </si>
  <si>
    <t>OAE.Fundação</t>
  </si>
  <si>
    <t>Parte de uma Obra de Arte Especial: Blocos de fundação da ponte.</t>
  </si>
  <si>
    <t>Parte de una obra de arte especial: bloques de cimentación de puentes.</t>
  </si>
  <si>
    <t>OAE.Encontro</t>
  </si>
  <si>
    <t xml:space="preserve">Parte de uma Obra de Arte Especial: Estrutura de encontro entre a rede viaria e as cabeceiras da ponte. </t>
  </si>
  <si>
    <t>Parte de una obra de arte especial: Estructura donde la red de carreteras se encuentra con las cabezas de los puentes.</t>
  </si>
  <si>
    <t>OAE.Pilone</t>
  </si>
  <si>
    <t>Parte de uma Obra de Arte Especial: Pilares de sustentação do tabuleiro também denominados Cais.</t>
  </si>
  <si>
    <t>Parte de una obra de arte especial: pilares que sostienen la cubierta también llamada muelle.</t>
  </si>
  <si>
    <t>OAE.Arco</t>
  </si>
  <si>
    <t>Parte de uma Obra de Arte Especial: Estrutura de concreto em arco para sustentação da ponte.</t>
  </si>
  <si>
    <t>Parte de una obra de arte especial: estructura de hormigón arqueada para soportar el puente.</t>
  </si>
  <si>
    <t>OAE.Torre</t>
  </si>
  <si>
    <t>Parte de uma Obra de Arte Especial: Estrutura vertical de concreto acima do tabuleiro para sustentação dos cabos da ponte.</t>
  </si>
  <si>
    <t>Parte de una obra de arte especial: Estructura vertical de hormigón sobre el tablero para soportar los cables del puente.</t>
  </si>
  <si>
    <t>OAE.Mastro</t>
  </si>
  <si>
    <t>Parte de uma Obra de Arte Especial: Estrutura vertical metálica acima do tabuleiro para sustentação dos cabos da ponte.</t>
  </si>
  <si>
    <t>Parte de una obra de arte especial: Estructura metálica vertical sobre el tablero para soportar los cables del puente.</t>
  </si>
  <si>
    <t>OAE.Tabuleiro</t>
  </si>
  <si>
    <t>Parte de uma Obra de Arte Especial: Segmentos do tabuleiro da ponte. os segmentoss podem ser separados por juntas de construção ou de dilatação.</t>
  </si>
  <si>
    <t>Parte de una obra de arte especial: Segmentos del tablero del puente. Los segmentos se pueden separar mediante juntas de construcción o de dilatación.</t>
  </si>
  <si>
    <t>OAE.Estai</t>
  </si>
  <si>
    <t>Parte de uma Obra de Arte Especial: Cabos de sustentação de uma ponte estaiada.</t>
  </si>
  <si>
    <t>Parte de una obra de arte especial: Cables de soporte de un puente atirantado.</t>
  </si>
  <si>
    <t>OAE.Longarina.de.Bordo</t>
  </si>
  <si>
    <t>Parte de uma Obra de Arte Especial: Vigas principais no sentido longitudinal no bordo da ponte.</t>
  </si>
  <si>
    <t>Parte de una obra de arte especial: vigas principales en dirección longitudinal en el borde del puente.</t>
  </si>
  <si>
    <t>OAE.Longarina.Interna</t>
  </si>
  <si>
    <t>Parte de uma Obra de Arte Especial: Vigas principais no sentido longitudinal internas da ponte.</t>
  </si>
  <si>
    <t>Parte de una obra de arte especial: vigas principales en la dirección longitudinal dentro del puente.</t>
  </si>
  <si>
    <t>OAE.Transversina</t>
  </si>
  <si>
    <t>Parte de uma Obra de Arte Especial: Vigas no sentido transversal da ponte.</t>
  </si>
  <si>
    <t>Parte de una obra de arte especial: vigas en la dirección transversal del puente.</t>
  </si>
  <si>
    <t>OAE.Contraventamento</t>
  </si>
  <si>
    <t>Parte de uma Obra de Arte Especial: Contraventamento da ponte.</t>
  </si>
  <si>
    <t>Parte de una obra de arte especial: el arriostramiento del puente.</t>
  </si>
  <si>
    <t>OAE.Diafragma</t>
  </si>
  <si>
    <t>Parte de uma Obra de Arte Especial: Paredes no sentido transversal da ponte.</t>
  </si>
  <si>
    <t>Parte de una obra de arte especial: Muros en la dirección transversal del puente.</t>
  </si>
  <si>
    <t>OAE.Treliça</t>
  </si>
  <si>
    <t>Parte de uma Obra de Arte Especial: Treliças da ponte.</t>
  </si>
  <si>
    <t>Parte de una obra de arte especial: cerchas de puentes.</t>
  </si>
  <si>
    <t>OAE.Defesa</t>
  </si>
  <si>
    <t>Parte de uma Obra de Arte Especial: Elemento de defesa estrutural da obra de Arte Especial.</t>
  </si>
  <si>
    <t>Parte de una Obra de Arte Especial: Elemento de defensa estructural de la obra de Arte Especial.</t>
  </si>
  <si>
    <t>OAE.Rolamento</t>
  </si>
  <si>
    <t>Parte de uma Obra de Arte Especial: Camada de asfalto da faixa de rolamento do tabuleiro.</t>
  </si>
  <si>
    <t>Parte de una obra de arte especial: Capa de asfalto de la pista de la carretera de la tabla.</t>
  </si>
  <si>
    <t>OAE.Leito</t>
  </si>
  <si>
    <t>Parte de uma Obra de Arte Especial: Camada de contrapiso da faixa de rolamento do tabuleiro.</t>
  </si>
  <si>
    <t>Parte de una obra de arte especial: Capa de subsuelo de la calzada del tablero.</t>
  </si>
  <si>
    <t>OAE.Junta</t>
  </si>
  <si>
    <t>Parte de uma Obra de Arte Especial: Junta de dilatação viária do tabuleiro.</t>
  </si>
  <si>
    <t>Parte de una obra de arte especial: Junta de expansión de carretera de la plataforma.</t>
  </si>
  <si>
    <t>OAE.Drenagem</t>
  </si>
  <si>
    <t>Parte de uma Obra de Arte Especial: Elemento de drenagem d'água na ponte.</t>
  </si>
  <si>
    <t>Parte de una obra de arte especial: elemento de drenaje de agua en el puente.</t>
  </si>
  <si>
    <t>OAE.Sinalização</t>
  </si>
  <si>
    <t>Parte de uma Obra de Arte Especial: Elemento de sinalização tipo placas de informação.</t>
  </si>
  <si>
    <t>Parte de una obra de arte especial: placas de información tipo elemento de señalización.</t>
  </si>
  <si>
    <t>OAE.Iluminação</t>
  </si>
  <si>
    <t>Parte de uma Obra de Arte Especial: Elemento de iluminação tipo poste de luz.</t>
  </si>
  <si>
    <t>Parte de una obra de arte especial: elemento de iluminación similar a una farola.</t>
  </si>
  <si>
    <t>Ferrovias</t>
  </si>
  <si>
    <t>Ferrovia.AV</t>
  </si>
  <si>
    <t xml:space="preserve">Sistema de ferrovia projetada para transitar em alta velocidade. </t>
  </si>
  <si>
    <t>Sistema ferroviario diseñado para viajar a alta velocidad.</t>
  </si>
  <si>
    <t>Ferrovia.Radial</t>
  </si>
  <si>
    <t>Ferrovia que parte de uma cidade capital em direção aos extremos do país.</t>
  </si>
  <si>
    <t>Ferrocarril que parte de una ciudad capital hacia los extremos del país.</t>
  </si>
  <si>
    <t>Ferrovia.NS</t>
  </si>
  <si>
    <t>Ferrovia que cruza um país no sentido Norte-Sul.</t>
  </si>
  <si>
    <t>Un ferrocarril que cruza un país en dirección Norte-Sur.</t>
  </si>
  <si>
    <t>Ferrovia.EW</t>
  </si>
  <si>
    <t>Ferrovia que cruza um país no sentido Leste-Oeste.</t>
  </si>
  <si>
    <t>Un ferrocarril que cruza un país en dirección Este-Oeste.</t>
  </si>
  <si>
    <t>Ferrovia.Diagonal</t>
  </si>
  <si>
    <t>Ferrovia que cruza um país com orientação nordeste-sudoeste ou noroeste-sudeste.</t>
  </si>
  <si>
    <t>Un ferrocarril que cruza un país con orientación noreste-suroeste o noroeste-sureste.</t>
  </si>
  <si>
    <t>Ferrovia.Ligação</t>
  </si>
  <si>
    <t>Ferrovia que conecta ferrovias entre si ou a localidades específicas.</t>
  </si>
  <si>
    <t>Un ferrocarril que conecta los ferrocarriles entre sí o con localidades específicas.</t>
  </si>
  <si>
    <t>Metrovia</t>
  </si>
  <si>
    <t>Ferrovia urbana. Geralmente subterrânea, mas pode ter trechos no nível urbano.</t>
  </si>
  <si>
    <t>Ferrocarril urbano. Generalmente bajo tierra, pero puede tener tramos a nivel urbano.</t>
  </si>
  <si>
    <t>Metrovia.VLT</t>
  </si>
  <si>
    <t xml:space="preserve">Ferrovia urbana para VLT. Opera na superfície urbana e cumpre requisitos de acessibilidade. </t>
  </si>
  <si>
    <t xml:space="preserve">Ferrocarril urbano para VLT. Opera en la superficie urbana cumpliendo requisitos de accesibilidad. </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</si>
  <si>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</si>
  <si>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</si>
  <si>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</si>
  <si>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Túnel.Ferroviário</t>
  </si>
  <si>
    <t>Túnel para passagem de ferrovia.</t>
  </si>
  <si>
    <t>Túnel ferroviario.</t>
  </si>
  <si>
    <t>Ferrovias.Estações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</si>
  <si>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</si>
  <si>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</si>
  <si>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</si>
  <si>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Estação.Terminal</t>
  </si>
  <si>
    <t>Estação terminal da linha.</t>
  </si>
  <si>
    <t>Estación terminal de la línea.</t>
  </si>
  <si>
    <t>Estação.de.Transferência</t>
  </si>
  <si>
    <t>Estação de transferência do mesmo modal.</t>
  </si>
  <si>
    <t>Estación de transferencia de pasajeros del mismo modal.</t>
  </si>
  <si>
    <t>Estação.Intermodal</t>
  </si>
  <si>
    <t>Estação de transferência multimodal.</t>
  </si>
  <si>
    <t>Estación de transferencia de pasajeros multimodal.</t>
  </si>
  <si>
    <t>Estação.de.Trem</t>
  </si>
  <si>
    <t>Estação de trem.</t>
  </si>
  <si>
    <t>Estación de tren.</t>
  </si>
  <si>
    <t>Estação.de.Metro</t>
  </si>
  <si>
    <t>Estação de metro.</t>
  </si>
  <si>
    <t>Estación de metro.</t>
  </si>
  <si>
    <t>Estação.de.VLT</t>
  </si>
  <si>
    <t>Estação de VLT.</t>
  </si>
  <si>
    <t>Estación de VLT.</t>
  </si>
  <si>
    <t>Estação.de.Monotrilho</t>
  </si>
  <si>
    <t>Estação de monotrilho.</t>
  </si>
  <si>
    <t>Estación de monotrilho.</t>
  </si>
  <si>
    <t>Ferrovias.Trilhos</t>
  </si>
  <si>
    <t>Trilho.de.Bitola.Métrica</t>
  </si>
  <si>
    <t xml:space="preserve">Trilho ferroviário projetado com a distância interna entre trilhos de 1000 mm. </t>
  </si>
  <si>
    <t>Rieles ferroviarios diseñados con distancia interna entre rieles de 1000 mm.</t>
  </si>
  <si>
    <t>Trilho.de.Bitola.Internacional</t>
  </si>
  <si>
    <t xml:space="preserve">Trilho ferroviário projetado com a distância interna entre trilhos de 1435 mm. </t>
  </si>
  <si>
    <t>Rieles ferroviarios diseñados con distancia interna entre rieles de 1435 mm.</t>
  </si>
  <si>
    <t>Trilho.de.Bitola.Irlandesa</t>
  </si>
  <si>
    <t xml:space="preserve">Trilho ferroviário projetado com a distância interna entre trilhos de 1600 mm. </t>
  </si>
  <si>
    <t>Rieles ferroviarios diseñados con distancia interna entre rieles de 1600 mm.</t>
  </si>
  <si>
    <t>Trilho.de.Bitola.Mista</t>
  </si>
  <si>
    <t xml:space="preserve">Trilho ferroviário projetado com bitola Internacional e Irlandesa. </t>
  </si>
  <si>
    <t>Rieles ferroviarios diseñados con ancho internacional e irlandés.</t>
  </si>
  <si>
    <t>Trilho</t>
  </si>
  <si>
    <t>O componente básico da ferrovia sobre o qual os trens circulam.</t>
  </si>
  <si>
    <t>El componente básico del ferrocarril por el que circulan los trenes.</t>
  </si>
  <si>
    <t>Trilho.Lâmina</t>
  </si>
  <si>
    <t>Pode se referir à borda cortante ou perfil do trilho, usado em contextos técnicos.</t>
  </si>
  <si>
    <t>Puede referirse al filo o perfil del riel, utilizado en contextos técnicos.</t>
  </si>
  <si>
    <t>Trilho.de.Contenção</t>
  </si>
  <si>
    <t>Trilho adicional colocado ao lado do trilho principal em curvas fechadas para evitar descarrilamento.</t>
  </si>
  <si>
    <t>Rieles adicionales colocados junto al riel principal en giros bruscos para evitar descarrilamientos.</t>
  </si>
  <si>
    <t>Trilho.de.Segurança</t>
  </si>
  <si>
    <t>Similar ao checkrail, protege contra descarrilamentos, especialmente em pontes e cruzamentos.</t>
  </si>
  <si>
    <t>Al igual que el control de velocidad, protege contra descarrilamientos, especialmente en puentes y cruces.</t>
  </si>
  <si>
    <t>Trilho.Dentado</t>
  </si>
  <si>
    <t>Usado em ferrovias de cremalheira, onde locomotivas sobem inclinações íngremes com engrenagens.</t>
  </si>
  <si>
    <t>Se utiliza en ferrocarriles de cremallera, donde las locomotoras suben pendientes pronunciadas con engranajes.</t>
  </si>
  <si>
    <t>Trilho.Fixo</t>
  </si>
  <si>
    <t>Parte do trilho que permanece fixa em aparelhos de mudança de via (AMV), contra a qual o trilho móvel se apoia.</t>
  </si>
  <si>
    <t>Parte del carril que permanece fijo en los desvíos, contra el que descansa el carril móvil.</t>
  </si>
  <si>
    <t>Trilho.AMV</t>
  </si>
  <si>
    <t>Trecho que permite ao trem mudar de trilho, como em cruzamentos ou desvios.</t>
  </si>
  <si>
    <t>Una sección que permite que el tren cambie de vía, como en cruces o desvíos.</t>
  </si>
  <si>
    <t>Trilho.Bloqueador</t>
  </si>
  <si>
    <t>Equipamento que impede o movimento de trens em determinadas condições.</t>
  </si>
  <si>
    <t>Equipos que impiden la circulación de trenes bajo ciertas condiciones.</t>
  </si>
  <si>
    <t>Trilho.Descarrilador</t>
  </si>
  <si>
    <t>Dispositivo de segurança que força o trem a sair dos trilhos em caso de emergência.</t>
  </si>
  <si>
    <t>Dispositivo de seguridad que obliga al tren a salirse de las vías en caso de emergencia.</t>
  </si>
  <si>
    <t>Trilho.Cruz</t>
  </si>
  <si>
    <t>Peça metálica onde os trilhos se cruzam em aparelhos de mudança de via.</t>
  </si>
  <si>
    <t>Pieza metálica donde los rieles se cruzan en los desvíos.</t>
  </si>
  <si>
    <t>Trilho.Lâmina.Desviadora</t>
  </si>
  <si>
    <t>Parte móvel de um Aparelho de Mudança de Via (AMV) que direciona o trem para diferentes trilhos.</t>
  </si>
  <si>
    <t>Parte móvil de un Aparato de Mudanza de Vía (AMV) que dirige el tren hacia diferentes ramales de vías.</t>
  </si>
  <si>
    <t>Trilho.Dormente</t>
  </si>
  <si>
    <t>Peça transversal que sustenta os trilhos e distribui a carga ao lastro.</t>
  </si>
  <si>
    <t>Pieza transversal que soporta los rieles y distribuye la carga al balasto.</t>
  </si>
  <si>
    <t>Trilho.Regulador.de.Velocidade</t>
  </si>
  <si>
    <t>Equipamento que controla a velocidade dos trens, geralmente via sinalização.</t>
  </si>
  <si>
    <t>Equipos que controlan la velocidad de los trenes, generalmente a través de la señalización.</t>
  </si>
  <si>
    <t>Trilho.Batente.Via</t>
  </si>
  <si>
    <t>Ponto final de um trecho ferroviário, onde termina o traçado.</t>
  </si>
  <si>
    <t>Punto final de un tramo ferroviario, donde termina la ruta.</t>
  </si>
  <si>
    <t>Trilho.Batente.Veícular</t>
  </si>
  <si>
    <t>Dispositivo físico que impede o movimento além de um ponto seguro.</t>
  </si>
  <si>
    <t>Un dispositivo físico que impide el movimiento más allá de un punto seguro.</t>
  </si>
  <si>
    <t>Ferrovias.Partes</t>
  </si>
  <si>
    <t>Ferrovia.Componente</t>
  </si>
  <si>
    <t>Elementos individuais que compõem a via férrea, como trilhos e dormentes.</t>
  </si>
  <si>
    <t>Elementos individuales que componen el ferrocarril, como rieles y durmientes.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</si>
  <si>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</si>
  <si>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</si>
  <si>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</si>
  <si>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Ferrovia.Berma</t>
  </si>
  <si>
    <t>Área lateral à ferrovia, onde ficam equipamentos, sinalização e infraestrutura. Faixa de serviço.</t>
  </si>
  <si>
    <t>Zona junto a la vía férrea, donde se ubican los equipos, la señalización y la infraestructura. Faja de servício.</t>
  </si>
  <si>
    <t>Ferrovia.Aerea</t>
  </si>
  <si>
    <t>Partes aéreas da ferrovia, como sinalizadores, eletrificação dos fios ferroviários, etc.</t>
  </si>
  <si>
    <t>Partes aéreas del ferrocarril, como señalizadores, electrificación de cables ferroviarios, etc.</t>
  </si>
  <si>
    <t>Ferrovia.Superestrutura</t>
  </si>
  <si>
    <t>Elementos como postes, sinais, caixas de controle ao lado dos trilhos.</t>
  </si>
  <si>
    <t>Elementos como postes, señales, cajas de control junto a los rieles.</t>
  </si>
  <si>
    <t>Ferrovia.Subestrutura</t>
  </si>
  <si>
    <t>Base da ferrovia: inclui o leito, lastro e fundações que sustentam os trilhos.</t>
  </si>
  <si>
    <t>Base de ferrocarril: incluye la cama, el balasto y los cimientos que soportan las vías.</t>
  </si>
  <si>
    <t>Ferrovia.Simples</t>
  </si>
  <si>
    <t>Trecho reto e contínuo da ferrovia, sem aparelhos de mudança de via.</t>
  </si>
  <si>
    <t>Tramo recto y continuo del ferrocarril, sin desvíos ni desvíos.</t>
  </si>
  <si>
    <t>Ferrovia.Completa</t>
  </si>
  <si>
    <t>Conjunto completo de trilhos, dormentes, fixações e base.</t>
  </si>
  <si>
    <t>Juego completo de rieles, durmientes, fijaciones y base.</t>
  </si>
  <si>
    <t>Ferrovia.Dilatação</t>
  </si>
  <si>
    <t>Trecho com juntas especiais para acomodar a expansão térmica dos trilhos.</t>
  </si>
  <si>
    <t>Sección con juntas especiales para acomodar la expansión térmica de los rieles.</t>
  </si>
  <si>
    <t>Vias.de.Navegação</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</si>
  <si>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</si>
  <si>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</si>
  <si>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</si>
  <si>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</si>
  <si>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</si>
  <si>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</si>
  <si>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</si>
  <si>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</si>
  <si>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</si>
  <si>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</si>
  <si>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</si>
  <si>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</si>
  <si>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</si>
  <si>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</si>
  <si>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</si>
  <si>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</si>
  <si>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</si>
  <si>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</si>
  <si>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</si>
  <si>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</si>
  <si>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</si>
  <si>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</si>
  <si>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</si>
  <si>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</si>
  <si>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</si>
  <si>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</si>
  <si>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</si>
  <si>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</si>
  <si>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</si>
  <si>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</si>
  <si>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Amarrações</t>
  </si>
  <si>
    <t>Dispositivo.de.Amarração</t>
  </si>
  <si>
    <t>Dispositivo de amarração é um elemento construído ativo ou passivo cuja função principal é participar da amarração.</t>
  </si>
  <si>
    <t>Un dispositivo de amarre es un elemento construido activo o pasivo cuya función principal es participar en el amarre.</t>
  </si>
  <si>
    <t>Guincho.de.Amarração</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</si>
  <si>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</si>
  <si>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</si>
  <si>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Cabeço.de.Amarração</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</si>
  <si>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</si>
  <si>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</si>
  <si>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</si>
  <si>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</si>
  <si>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</si>
  <si>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</si>
  <si>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</si>
  <si>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</si>
  <si>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Amarra.de.Vácuo</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</si>
  <si>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</si>
  <si>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</si>
  <si>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</si>
  <si>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</si>
  <si>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</si>
  <si>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</si>
  <si>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</si>
  <si>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</si>
  <si>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Níveis.Portuários</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</si>
  <si>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</si>
  <si>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</si>
  <si>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</si>
  <si>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</si>
  <si>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</si>
  <si>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</si>
  <si>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</si>
  <si>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</si>
  <si>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</si>
  <si>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</si>
  <si>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</si>
  <si>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</si>
  <si>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</si>
  <si>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</si>
  <si>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</si>
  <si>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Nível.de.Piso</t>
  </si>
  <si>
    <t>Nivel que representa o piso de trabalho do cais, onde se encontram os trilhos de guindastes e as pessoas trabalhando.</t>
  </si>
  <si>
    <t>Nivel que representa la superficie de trabajo de elevación del muelle para su colocación.</t>
  </si>
  <si>
    <t>Nível.Hidrográfico</t>
  </si>
  <si>
    <t>Nivel de referência fornecido por levantamento hidrográfico do porto.</t>
  </si>
  <si>
    <t>Nivel de referencia obtenido por levantamiento hidrográfico del puerto.</t>
  </si>
  <si>
    <t>Portos</t>
  </si>
  <si>
    <t>Porto.de.Aguas.Profundas</t>
  </si>
  <si>
    <t>Complexo/instalação para receber navios de grande calado. Construído em área costeira com acesso direto ao oceano, sem necessidade de canais artificiais ou dragagens frequentes.</t>
  </si>
  <si>
    <t>Complejo/instalación para actividades marinas y marítimas, que incluye carga, personas y almacenamiento.</t>
  </si>
  <si>
    <t>Porto.Marítimo</t>
  </si>
  <si>
    <t>Complexo/instalação para atividades marítimas, que inclui carga, pessoas e armazenagem.</t>
  </si>
  <si>
    <t>Base.Naval</t>
  </si>
  <si>
    <t>Complejo/instalación para actividades de uso exclusivo das Forças Armadas. Base utilizada pela Marinha.</t>
  </si>
  <si>
    <t>Porto.Fluvial</t>
  </si>
  <si>
    <t>Complexo/instalação para atividades fluviais, que inclui carga, pessoas e armazenagem.</t>
  </si>
  <si>
    <t>Complejo/instalación para actividades fluviales, que incluye carga, personas y almacenamiento.</t>
  </si>
  <si>
    <t>Portos.Defesas</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</si>
  <si>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</si>
  <si>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</si>
  <si>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</si>
  <si>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</si>
  <si>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</si>
  <si>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</si>
  <si>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</si>
  <si>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</si>
  <si>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</si>
  <si>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</si>
  <si>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</si>
  <si>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</si>
  <si>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Portos.Docas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</si>
  <si>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</si>
  <si>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</si>
  <si>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</si>
  <si>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</si>
  <si>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</si>
  <si>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</si>
  <si>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Portos.Partes</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</si>
  <si>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</si>
  <si>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</si>
  <si>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</si>
  <si>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</si>
  <si>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</si>
  <si>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</si>
  <si>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</si>
  <si>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</si>
  <si>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</si>
  <si>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</si>
  <si>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</si>
  <si>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</si>
  <si>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</si>
  <si>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</si>
  <si>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</si>
  <si>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</si>
  <si>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</si>
  <si>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</si>
  <si>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</si>
  <si>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</si>
  <si>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</si>
  <si>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</si>
  <si>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</si>
  <si>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</si>
  <si>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</si>
  <si>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Instalação usada para levantar e abaixar barcos, navios e outras embarcações entre trechos de água.</t>
  </si>
  <si>
    <t>Instalación utilizada para subir y bajar botes, barcos y otras embarcaciones entre tramos de agua.</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</si>
  <si>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</si>
  <si>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</si>
  <si>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</si>
  <si>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</si>
  <si>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</si>
  <si>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</si>
  <si>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</si>
  <si>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</si>
  <si>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</si>
  <si>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</si>
  <si>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</si>
  <si>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</si>
  <si>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</si>
  <si>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</si>
  <si>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</si>
  <si>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</si>
  <si>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</si>
  <si>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</si>
  <si>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</si>
  <si>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</si>
  <si>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</si>
  <si>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Contenedor.de.Carga</t>
  </si>
  <si>
    <t>Estrutura retangular metálica padronizada usada principalmente para o transporte de mercadorias.</t>
  </si>
  <si>
    <t>Estructura rectangular metálica estandarizada utilizada principalmente para el transporte de mercancías.</t>
  </si>
  <si>
    <t>Portos.Zonas</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</si>
  <si>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</si>
  <si>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</si>
  <si>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</si>
  <si>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</si>
  <si>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</si>
  <si>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</si>
  <si>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</si>
  <si>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</si>
  <si>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</si>
  <si>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</si>
  <si>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</si>
  <si>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</si>
  <si>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</si>
  <si>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</si>
  <si>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</si>
  <si>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Zona.de.Estocagem</t>
  </si>
  <si>
    <t>Espaço coberto tipo galpão ou armazen para armazenamento de carga.</t>
  </si>
  <si>
    <t>Espacio cubierto tipo galpón o almacén para almacenamiento de carga.</t>
  </si>
  <si>
    <t>Zona.de.Pátio</t>
  </si>
  <si>
    <t>Espaço externo de armazenamento de carga.</t>
  </si>
  <si>
    <t>Espacio descubierto tipo patio para almacenamiento de carga.</t>
  </si>
  <si>
    <t>Zona.de.Operação</t>
  </si>
  <si>
    <t>Parte espacial da região que representa uma divisão funcional projetada para operação.</t>
  </si>
  <si>
    <t>Parte espacial de la región que representa una división funcional diseñada para la operación.</t>
  </si>
  <si>
    <t>Zona.de.Fabricação</t>
  </si>
  <si>
    <t>Parte espacial da região que forma uma subdivisão de instalação para fins de fabricação.</t>
  </si>
  <si>
    <t>Parte espacial de la región que forma una subdivisión de la instalación con fines de fabricación.</t>
  </si>
  <si>
    <t>Zona.de.Transbordo</t>
  </si>
  <si>
    <t>Parte espacial da região que representa uma área livre usada para a transferência e movimentação de embarcações.</t>
  </si>
  <si>
    <t>Parte espacial de la región que representa un área libre utilizada para la transferencia y el movimiento de buques.</t>
  </si>
  <si>
    <t>Aeródromos</t>
  </si>
  <si>
    <t>Aeroporto.Internacional</t>
  </si>
  <si>
    <t>Aeroporto Internacional deve ter infraestrutura para voos internacionais, com alfândega, imigração e controle sanitário.</t>
  </si>
  <si>
    <t>Aeroporto.Regional</t>
  </si>
  <si>
    <t>Aeroporto Regional servem áreas menores do território, conectando cidades médias e pequenas a grandes centros.</t>
  </si>
  <si>
    <t>Aeroporto.Doméstico</t>
  </si>
  <si>
    <t>Aeroporto.Militar</t>
  </si>
  <si>
    <t>Aeroclub</t>
  </si>
  <si>
    <t>Centro de formação e treinamento de pilotos civis, com fins práticos ou recreativos. Precisa ser autorizado pela Agência Nacional de Aviação Civil (ANAC) para operar legalmente.</t>
  </si>
  <si>
    <t>Pista.de.Pouso.e.Decolagem</t>
  </si>
  <si>
    <t>A pista de pouso e decolagem compreende a área retangular, definida em terra, preparada para pousos e decolagens de aeronaves. Regulamento Brasileiro de Aviação Civil (RBAC).</t>
  </si>
  <si>
    <t>Pista.Auxiliar</t>
  </si>
  <si>
    <t>Pistas auxiliares permitem deslocamentos de aeronaves antes de decolar ou depois de pousar e agilizar o seu tráfego em solo.</t>
  </si>
  <si>
    <t>Heliporto</t>
  </si>
  <si>
    <t>Um Heliporto deve estar preparado para operar helicópteros com infraestrutura de pista de pouso, hangares, abastecimento, sala de embarque, controle de tráfego aéreo, manutenção, segurança e logística.</t>
  </si>
  <si>
    <t>Heliponto</t>
  </si>
  <si>
    <t>Área destinada exclusivamente ao pouso e decolagem de helicópteros.</t>
  </si>
  <si>
    <t>Redes.de.Fluídos</t>
  </si>
  <si>
    <t>Redes.Fornecedoras</t>
  </si>
  <si>
    <t>Rede.de.Agua</t>
  </si>
  <si>
    <t>Sistema de rede de fornecimento de água potável.</t>
  </si>
  <si>
    <t>Suministro de agua potable.</t>
  </si>
  <si>
    <t>Rede.de.Substâncias</t>
  </si>
  <si>
    <t>Sistema de rede de fornecimento de substâncias (combustíveis, por exemplo).</t>
  </si>
  <si>
    <t>Suministro de sustancias.</t>
  </si>
  <si>
    <t>Rede.de.Combustíveis</t>
  </si>
  <si>
    <t>Sistema de rede de fornecimento de combustíveis.</t>
  </si>
  <si>
    <t>Suministro de combustibles.</t>
  </si>
  <si>
    <t>Rede.de.Gás</t>
  </si>
  <si>
    <t>Sistema de rede de fornecimento de gás.</t>
  </si>
  <si>
    <t>Suministro de gas.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</si>
  <si>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</si>
  <si>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</si>
  <si>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</si>
  <si>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</si>
  <si>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</si>
  <si>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</si>
  <si>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</si>
  <si>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</si>
  <si>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</si>
  <si>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</si>
  <si>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</si>
  <si>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</si>
  <si>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</si>
  <si>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</si>
  <si>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</si>
  <si>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</si>
  <si>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</si>
  <si>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</si>
  <si>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</si>
  <si>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</si>
  <si>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</si>
  <si>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</si>
  <si>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</si>
  <si>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Línea eléctrica de transmisión de Alta Tensión con más de 69 kV.</t>
  </si>
  <si>
    <t>Torre.de.Transmissão</t>
  </si>
  <si>
    <t>Estrutura metálica de suporte da linha elétrica de transmissão de Alta Tensão com mais de 69 kV.</t>
  </si>
  <si>
    <t>Estructura metálica de soporte de la línea eléctrica de transmisión de Alta Tensión con más de 69 kV.</t>
  </si>
  <si>
    <t>Redes.de.Distribuição</t>
  </si>
  <si>
    <t>Rede.de.MT.Nua</t>
  </si>
  <si>
    <t>Estrutura física dos circuitos de distribuição de EE. Postes, suportes com isoladores e condutores nus de alumínio ou cobre sobre isoladores de pino ou bastão em cruzetas de concreto.</t>
  </si>
  <si>
    <t>Estructura física de los circuitos de distribución de EE. Postes, soportes con aislantes y conductores desnudos de aluminio o cobre sobre aisladores de pasador o varilla sobre crucetas de hormigón.</t>
  </si>
  <si>
    <t>Rede.de.MT.Multiplex</t>
  </si>
  <si>
    <t>Estrutura física dos circuitos de distribuição de EE. Postes, suportes com isoladores e condutores de alumínio cobertos por uma camada de isolamento, agrupados em feixes.</t>
  </si>
  <si>
    <t>Estructura física de los circuitos de distribución de EE. Postes, soportes con aislantes y conductores de aluminio recubiertos por una capa de aislamiento, agrupados en paquetes.</t>
  </si>
  <si>
    <t>Rede.de.MT.Compacta</t>
  </si>
  <si>
    <t>Estrutura física dos circuitos de distribuição de EE compactas. Postes, suportes com isoladores e condutores de alumínio cobertos por uma camada de isolamento, agrupados em feixes.</t>
  </si>
  <si>
    <t>Estructura física de los circuitos de distribución de EE compactos. Postes, soportes con aislantes y conductores de aluminio recubiertos por una capa de aislamiento, agrupados en paquetes.</t>
  </si>
  <si>
    <t>Poste.de.Concreto.Circular</t>
  </si>
  <si>
    <t>Consultar NBR 8451. Poste de concreto de seção circular para conduzir rede elétrica aérea de Média Tensão.</t>
  </si>
  <si>
    <t>Véase NBR 8451. Poste de hormigón de sección circular para conducir la red eléctrica aérea de media tensión.</t>
  </si>
  <si>
    <t>Poste.de.Concreto.DT</t>
  </si>
  <si>
    <t>Consultar NBR 8451. Poste de concreto de seção Duplo Tê (DT) para conduzir rede elétrica aérea de Média Tensão.</t>
  </si>
  <si>
    <t>Véase NBR 8451. Poste de hormigón de sección en T doble (DT) para conducir la red eléctrica aérea de media tensión.</t>
  </si>
  <si>
    <t>Rede.de.MT.Subterrânea</t>
  </si>
  <si>
    <t>Rede elétrica subterrânea de Média Tensão  entre 1 kV e 69 kV.</t>
  </si>
  <si>
    <t>Red eléctrica subterránea de Media Tensión entre 1 kV y 69 kV.</t>
  </si>
  <si>
    <t>Rede.de.BT.Aérea</t>
  </si>
  <si>
    <t>Rede elétrica aérea de Baixa Tensão até 1.000 volts (1Kv).</t>
  </si>
  <si>
    <t>Red eléctrica aérea de baja tensión de hasta 1.000 voltios (1Kv).</t>
  </si>
  <si>
    <t>Rede.de.BT.Subterrânea</t>
  </si>
  <si>
    <t>Rede elétrica subterrânea de Baixa Tensão até 1.000 volts (1Kv).</t>
  </si>
  <si>
    <t>Red eléctrica subterránea de baja tensión hasta 1.000 voltios (1Kv).</t>
  </si>
  <si>
    <t>Conexões.de.EE</t>
  </si>
  <si>
    <t>Ponto.de.Entrega</t>
  </si>
  <si>
    <t>Consultar Norma NBR 5410. Ponto de conexão do sistema elétrico da empresa distribuidora de eletricidade com a instalação elétrica da(s) unidade(s) consumidora(s) e que delimita as responsabilidades da distribuidora, definidas pela autoridade reguladora.</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</si>
  <si>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</si>
  <si>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Ponto.de.Entrada</t>
  </si>
  <si>
    <t>Consultar Norma NBR 5410. Ponto em que uma linha externa penetra na edificação.</t>
  </si>
  <si>
    <t>Consulte la norma NBR 5410. Punto en el que una línea externa penetra en el edificio.</t>
  </si>
  <si>
    <t>Esquema.TN</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</si>
  <si>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</si>
  <si>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</si>
  <si>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Esquema.TT</t>
  </si>
  <si>
    <t>Consultar Norma NBR 5410. Ponto de alimentação diretamente aterrado, estando as massas da instalação ligadas a eletrodo(s) de aterramento eletricamente distinto(s) do eletrodo de aterramento da alimentação</t>
  </si>
  <si>
    <t>Consulte la norma NBR 5410. Punto de suministro conectado a tierra directamente, con las tierras de instalación conectadas a los electrodos de puesta a tierra eléctricamente distintos del electrodo de puesta a tierra del suministro</t>
  </si>
  <si>
    <t>Esquema.TI</t>
  </si>
  <si>
    <t xml:space="preserve">Consultar Norma NBR 5410. Todas as partes vivas são isoladas da terra ou um ponto da alimentação é aterrado através de impedância. As massas da instalação são aterradas. </t>
  </si>
  <si>
    <t>Consulte la norma NBR 5410. Todas las partes vivas están aisladas de la tierra o un punto de alimentación está conectado a tierra mediante impedancia. Las masas de la instalación están conectadas a tierra.</t>
  </si>
  <si>
    <t>Redes.Iluminação</t>
  </si>
  <si>
    <t>Redes.de.Iluminação</t>
  </si>
  <si>
    <t>Rede.Pública.de.Iluminação</t>
  </si>
  <si>
    <t>Rede elétrica de iluminação pública urbana.</t>
  </si>
  <si>
    <t>Red eléctrica de alumbrado público urbano.</t>
  </si>
  <si>
    <t>Rede.Pública.de.Sinalização</t>
  </si>
  <si>
    <t>Rede elétrica de sinalização pública urbana (Sinais de trânsito e totems).</t>
  </si>
  <si>
    <t>Red eléctrica de señalización pública urbana (señales de tráfico y tótems).</t>
  </si>
  <si>
    <t>Redes.de.Telecom</t>
  </si>
  <si>
    <t>Redes.de.Fibra.Ótica</t>
  </si>
  <si>
    <t>Rede.Fibra.Ótica.Aérea</t>
  </si>
  <si>
    <t>Rede de Fibra Ótica aérea.</t>
  </si>
  <si>
    <t>Red Aérea de Fibra Óptica.</t>
  </si>
  <si>
    <t>Rede.Fibra.Ótica.Subterrânea</t>
  </si>
  <si>
    <t>Rede de telefonia subterrânea.</t>
  </si>
  <si>
    <t>Red telefónica subterránea.</t>
  </si>
  <si>
    <t>Redes.de.Dados</t>
  </si>
  <si>
    <t>Rede.de.Dados.Aérea</t>
  </si>
  <si>
    <t>Rede dados lógica aérea.</t>
  </si>
  <si>
    <t>Lógica de sobrecarga de datos de red.</t>
  </si>
  <si>
    <t>Rede.de.Dados.Subterrânea</t>
  </si>
  <si>
    <t>Rede dados lógica subterrânea.</t>
  </si>
  <si>
    <t>Lógica subterránea de datos de red.</t>
  </si>
  <si>
    <t>Rede.de.Dados.Ponto.de.Acesso</t>
  </si>
  <si>
    <t>Rede Internet Móvel aérea.</t>
  </si>
  <si>
    <t>Red de Internet móvil aérea.</t>
  </si>
  <si>
    <t>Redes.de.Net</t>
  </si>
  <si>
    <t>Rede.Net.Fixa.Aerea</t>
  </si>
  <si>
    <t>Rede Internet Fixa aérea.</t>
  </si>
  <si>
    <t>Red de Internet fija aérea.</t>
  </si>
  <si>
    <t>Rede.Net.Fixa.Subterrânea</t>
  </si>
  <si>
    <t>Rede Internet Fixa subterrânea.</t>
  </si>
  <si>
    <t>Red de Internet fija subterránea.</t>
  </si>
  <si>
    <t>Redes.de.Telefonia</t>
  </si>
  <si>
    <t>Rede.Telefonia.Aerea</t>
  </si>
  <si>
    <t>Rede de telefonia aérea.</t>
  </si>
  <si>
    <t>Red de telefonía aérea.</t>
  </si>
  <si>
    <t>Rede.Telefonia.Subterrânea</t>
  </si>
  <si>
    <t>"OST_SiteProperty , OST_SitePropertyLineSegment"</t>
  </si>
  <si>
    <t>"IfcVirtualElement"</t>
  </si>
  <si>
    <t>"OST_Walls"</t>
  </si>
  <si>
    <t>"IfcMaterial"</t>
  </si>
  <si>
    <t>"IfcVehicle"</t>
  </si>
  <si>
    <t>"IfcGeographicElement"</t>
  </si>
  <si>
    <t>"3E.02.12"</t>
  </si>
  <si>
    <t>"IfcSwitchingDeviceSTARTER"</t>
  </si>
  <si>
    <t>"OST_LightingFixtures , OST_ElectricalConnector"</t>
  </si>
  <si>
    <t>"IfcFurniture, IfcFurnitureFILECABINET"</t>
  </si>
  <si>
    <t xml:space="preserve">"OST_Furniture , OST_Casework" </t>
  </si>
  <si>
    <t>"IfcAlarm"</t>
  </si>
  <si>
    <t>"IfcLamp , IfcLightFixture"</t>
  </si>
  <si>
    <t>"OST_ElectricalFixtures , OST_ElectricalConnector , OST_ElectricalPowerSource"</t>
  </si>
  <si>
    <t>"IfcDistributionBoard"</t>
  </si>
  <si>
    <t>"IfcLightFixture"</t>
  </si>
  <si>
    <t>"OST_LightingDevices"</t>
  </si>
  <si>
    <t>"OST_PipeFitting"</t>
  </si>
  <si>
    <t>"3E.42"</t>
  </si>
  <si>
    <t>"IfcOutlet"</t>
  </si>
  <si>
    <t>"OST_PipeSegments"</t>
  </si>
  <si>
    <t>"IfcPipeSegmentFLEXIBLESEGMENT, IfcPipeSegmentRIGIDSEGMENT"</t>
  </si>
  <si>
    <t>"IfcValve"</t>
  </si>
  <si>
    <t>"OST_Stairs"</t>
  </si>
  <si>
    <t>"IfcStair"</t>
  </si>
  <si>
    <t>"IfcWall"</t>
  </si>
  <si>
    <t>"IfcBuildingStorey"</t>
  </si>
  <si>
    <t>"OST_StructuralFramming"</t>
  </si>
  <si>
    <t>"OST_StructuralColumns , OST_StructuralFraming"</t>
  </si>
  <si>
    <t>"IfcColumn , IfcBeam"</t>
  </si>
  <si>
    <t>"IfcBeam"</t>
  </si>
  <si>
    <t>"OST_Curtain_Systems , OST_CurtainWallPanels ,  OST_CurtainWallMullions"</t>
  </si>
  <si>
    <t>"IfcShadingDeviceSHUTTER"</t>
  </si>
  <si>
    <t>"IfcCovering"</t>
  </si>
  <si>
    <t>"OST_Floors , OST_Roofs"</t>
  </si>
  <si>
    <t>"OST_FloorsSubstrate , OST_Parts"</t>
  </si>
  <si>
    <t>"IfcCableSegment , IfcCableFitting"</t>
  </si>
  <si>
    <t>"IfcCableCarrierSegment , IfcCableCarrierFitting"</t>
  </si>
  <si>
    <t>"IfcPipeSegment , IfcPipeFitting"</t>
  </si>
  <si>
    <t>"OST_PipeSegment , OST_PipeFitting"</t>
  </si>
  <si>
    <t>"OST_Conduit , OST_ConduitFitting , OST_CableTray , OST_CableTrayFitting"</t>
  </si>
  <si>
    <t>DUT</t>
  </si>
  <si>
    <t>duto de AVAC</t>
  </si>
  <si>
    <t>"Elementos de sistemas, tubulações e dutos"</t>
  </si>
  <si>
    <t>"IfcDuctSegment , IfcDuctFitting , IfcDuctSilencer"</t>
  </si>
  <si>
    <t>"OST_DuctFitting , OST_DuctInsulations, OST_DuctCurves , OST_FlexDuctCurves , OST_DuctTerminal"</t>
  </si>
  <si>
    <t>"OST_PipeSegment , OST_PipeFitting , OST_PipeConnections , OST_PipeCurves , OST_PipeAccessory , OST_PipeSchedules"</t>
  </si>
  <si>
    <t>"OST_ElectricalFixtures , OST_ElectricalConnector , OST_ElectricalPowerSource , OST_ElectricalEquipment"</t>
  </si>
  <si>
    <t>"OST_FireAlarmDevices , OST_ElectricalFixtures"</t>
  </si>
  <si>
    <t>SAU</t>
  </si>
  <si>
    <t>equipamento de saúde</t>
  </si>
  <si>
    <t>"OST_MedicalEquipment , OST_NurseCallDevices"</t>
  </si>
  <si>
    <t>"IfcMedicalDevice"</t>
  </si>
  <si>
    <t>"OST_Ceilings"</t>
  </si>
  <si>
    <t>"IfcColumn"</t>
  </si>
  <si>
    <t>"OST_Rebar"</t>
  </si>
  <si>
    <t>"IfcReinforcingBar"</t>
  </si>
  <si>
    <t>"OST_Materials , OST_PipeMaterials"</t>
  </si>
  <si>
    <t>"OST_StructuralTruss , OST_HorizontalBracing , OST_VerticalBracing"</t>
  </si>
  <si>
    <t>"IfcElementAssemblyTRUSS , IfcMemberBRACE"</t>
  </si>
  <si>
    <t>"OST_StructuralFoundation"</t>
  </si>
  <si>
    <t>"OST_LightingDevices , OST_LightingFixtures, OST_SecurityDevices"</t>
  </si>
  <si>
    <t>código.abnt</t>
  </si>
  <si>
    <t>"CIR"</t>
  </si>
  <si>
    <t>"DUA"</t>
  </si>
  <si>
    <t>"DUP"</t>
  </si>
  <si>
    <t>"EML"</t>
  </si>
  <si>
    <t>"EMU"</t>
  </si>
  <si>
    <t>"LIN"</t>
  </si>
  <si>
    <t>"OVA"</t>
  </si>
  <si>
    <t>"OVS"</t>
  </si>
  <si>
    <t>"PRF"</t>
  </si>
  <si>
    <t>"QUA"</t>
  </si>
  <si>
    <t>"RET"</t>
  </si>
  <si>
    <t>"ABA"</t>
  </si>
  <si>
    <t>"ACI"</t>
  </si>
  <si>
    <t>"ACU"</t>
  </si>
  <si>
    <t>"ADU"</t>
  </si>
  <si>
    <t>"AFQ"</t>
  </si>
  <si>
    <t>"AFR"</t>
  </si>
  <si>
    <t>"ALA"</t>
  </si>
  <si>
    <t>"AQU"</t>
  </si>
  <si>
    <t>"AUT"</t>
  </si>
  <si>
    <t>"APO"</t>
  </si>
  <si>
    <t>"BAS"</t>
  </si>
  <si>
    <t>"BLI"</t>
  </si>
  <si>
    <t>"CEG"</t>
  </si>
  <si>
    <t>"CNT"</t>
  </si>
  <si>
    <t>"COV"</t>
  </si>
  <si>
    <t>"CRI"</t>
  </si>
  <si>
    <t>"DEC"</t>
  </si>
  <si>
    <t>"DEZ"</t>
  </si>
  <si>
    <t>"DIL"</t>
  </si>
  <si>
    <t>"DEX"</t>
  </si>
  <si>
    <t>"DPE"</t>
  </si>
  <si>
    <t>"DYW"</t>
  </si>
  <si>
    <t>"EMB"</t>
  </si>
  <si>
    <t>"EME"</t>
  </si>
  <si>
    <t>"FUR"</t>
  </si>
  <si>
    <t>"GUI"</t>
  </si>
  <si>
    <t>"H2O"</t>
  </si>
  <si>
    <t>"IES"</t>
  </si>
  <si>
    <t>"IGE"</t>
  </si>
  <si>
    <t>"ISO"</t>
  </si>
  <si>
    <t>"MAN"</t>
  </si>
  <si>
    <t>"MEN"</t>
  </si>
  <si>
    <t>"COM"</t>
  </si>
  <si>
    <t>"MST"</t>
  </si>
  <si>
    <t>"ORI"</t>
  </si>
  <si>
    <t>"ORN"</t>
  </si>
  <si>
    <t>"PCF"</t>
  </si>
  <si>
    <t>"PED"</t>
  </si>
  <si>
    <t>"PEN"</t>
  </si>
  <si>
    <t>"PIV"</t>
  </si>
  <si>
    <t>"PLF"</t>
  </si>
  <si>
    <t>"PNE"</t>
  </si>
  <si>
    <t>"SCC"</t>
  </si>
  <si>
    <t>"SEC"</t>
  </si>
  <si>
    <t>"SEG"</t>
  </si>
  <si>
    <t>"SOL"</t>
  </si>
  <si>
    <t>"SPO"</t>
  </si>
  <si>
    <t>"SUS"</t>
  </si>
  <si>
    <t>"VEN"</t>
  </si>
  <si>
    <t>"VEV"</t>
  </si>
  <si>
    <t>"VIV"</t>
  </si>
  <si>
    <t>"VSO"</t>
  </si>
  <si>
    <t>"ALT"</t>
  </si>
  <si>
    <t>"BXA"</t>
  </si>
  <si>
    <t>"EXT"</t>
  </si>
  <si>
    <t>"FRO"</t>
  </si>
  <si>
    <t>"HOR"</t>
  </si>
  <si>
    <t>"IEX"</t>
  </si>
  <si>
    <t>"IFR"</t>
  </si>
  <si>
    <t>"ILH"</t>
  </si>
  <si>
    <t>"INT"</t>
  </si>
  <si>
    <t>"LAT"</t>
  </si>
  <si>
    <t>"LYO"</t>
  </si>
  <si>
    <t>"MOD"</t>
  </si>
  <si>
    <t>"NOR"</t>
  </si>
  <si>
    <t>"PAD"</t>
  </si>
  <si>
    <t>"PON"</t>
  </si>
  <si>
    <t>"PRO"</t>
  </si>
  <si>
    <t>"REF"</t>
  </si>
  <si>
    <t>"SIR"</t>
  </si>
  <si>
    <t>"SUP"</t>
  </si>
  <si>
    <t>"IfcCoveringSKIRTINGBOARD"</t>
  </si>
  <si>
    <t>"IfcCoveringCLADDING"</t>
  </si>
  <si>
    <t>FER</t>
  </si>
  <si>
    <t>ferragem</t>
  </si>
  <si>
    <t>Elementos de Arquitetura</t>
  </si>
  <si>
    <t>"OST_SecurityDevices , OST_Sprinklers"</t>
  </si>
  <si>
    <t>"IfcDiscreteAccessory"</t>
  </si>
  <si>
    <t>"OST_SecurityDevices"</t>
  </si>
  <si>
    <t>ZOA</t>
  </si>
  <si>
    <t>ZOE</t>
  </si>
  <si>
    <t>"OST_ZoneEquipment"</t>
  </si>
  <si>
    <t>"OST_MEPSystemZone"</t>
  </si>
  <si>
    <t>"OST_MEPZone"</t>
  </si>
  <si>
    <t>ZOS</t>
  </si>
  <si>
    <t>"IfcPile"</t>
  </si>
  <si>
    <t>"IfcCaissonFoundation , IfcDeepFoundation , IfcFooting"</t>
  </si>
  <si>
    <t>"OST_StructuralColumns , OST_Columns"</t>
  </si>
  <si>
    <t>parâmetro</t>
  </si>
  <si>
    <t>"OST_Ceilings , OST_CeilingsSubstrate , OST_Parts"</t>
  </si>
  <si>
    <t>parâmetro.numérico</t>
  </si>
  <si>
    <t>é.pertencente.a</t>
  </si>
  <si>
    <t>Escadas Rampas e Elevadores</t>
  </si>
  <si>
    <t>RAM</t>
  </si>
  <si>
    <t>rampa</t>
  </si>
  <si>
    <t>ASC</t>
  </si>
  <si>
    <t>elevador</t>
  </si>
  <si>
    <t>GCO</t>
  </si>
  <si>
    <t>guardacorpo</t>
  </si>
  <si>
    <t>CMA</t>
  </si>
  <si>
    <t>corrimão</t>
  </si>
  <si>
    <t>C22</t>
  </si>
  <si>
    <t>"Escadas Rampas e Elevadores"</t>
  </si>
  <si>
    <t>Guardacorpos</t>
  </si>
  <si>
    <t>Guardacorpo</t>
  </si>
  <si>
    <t>Guardacorpo.Balaústre</t>
  </si>
  <si>
    <t>Guardacorpo.Balaústre.Corte</t>
  </si>
  <si>
    <t>Guardacorpo.Corrimão</t>
  </si>
  <si>
    <t>Guardacorpo.Corrimão.Corte</t>
  </si>
  <si>
    <t>Guardacorpo.Trilho.Superior</t>
  </si>
  <si>
    <t>Guardacorpo.Trilho.Superior.Corte</t>
  </si>
  <si>
    <t>Guardacorpo.Path.Extensão</t>
  </si>
  <si>
    <t>Guardacorpo.Path</t>
  </si>
  <si>
    <t>Guardacorpo.Suporte</t>
  </si>
  <si>
    <t>Guardacorpo.Terminação</t>
  </si>
  <si>
    <t>SPK</t>
  </si>
  <si>
    <t>"OST_Sprinklers"</t>
  </si>
  <si>
    <t>sprinkler</t>
  </si>
  <si>
    <t>"OST_VerticalCirculation"</t>
  </si>
  <si>
    <t>"IfcTransportElementELEVATOR"</t>
  </si>
  <si>
    <t>"OST_Railings"</t>
  </si>
  <si>
    <t>"IfcRailing"</t>
  </si>
  <si>
    <t>"OST_Ramps"</t>
  </si>
  <si>
    <t>"IfcRamp"</t>
  </si>
  <si>
    <t>"1D.21.11"</t>
  </si>
  <si>
    <t>"1D.21.31.14"</t>
  </si>
  <si>
    <t>"1D.21.31.17"</t>
  </si>
  <si>
    <t>"1D.21.31.21"</t>
  </si>
  <si>
    <t>"1D.21.31.24.11"</t>
  </si>
  <si>
    <t>"1D.21.31.11.11"</t>
  </si>
  <si>
    <t>"1D.21.31.17.21"</t>
  </si>
  <si>
    <t>"1D.21.21"</t>
  </si>
  <si>
    <t>SOM</t>
  </si>
  <si>
    <t>"1D.21.31.99.11"</t>
  </si>
  <si>
    <t>"Projeto de arquitetura"</t>
  </si>
  <si>
    <t>"Projeto de som e acústica"</t>
  </si>
  <si>
    <t>"Projeto de AVAC"</t>
  </si>
  <si>
    <t>"Projeto de elétrica"</t>
  </si>
  <si>
    <t>"Projeto de estruturas"</t>
  </si>
  <si>
    <t>"Projeto de gases"</t>
  </si>
  <si>
    <t>"Projeto de hidráulica"</t>
  </si>
  <si>
    <t>"Projeto de luminotécnica"</t>
  </si>
  <si>
    <t>"Projeto de incêndio"</t>
  </si>
  <si>
    <t>"Projeto de mecânica"</t>
  </si>
  <si>
    <t>"Projeto de paisagismo"</t>
  </si>
  <si>
    <t>"Projeto de águas pluviais"</t>
  </si>
  <si>
    <t>GEO</t>
  </si>
  <si>
    <t>"Projeto de geotécnica e topografia"</t>
  </si>
  <si>
    <t>"1D.21.31"</t>
  </si>
  <si>
    <t>Projeto de arquitetura</t>
  </si>
  <si>
    <t>Projeto de som e acústica</t>
  </si>
  <si>
    <t>Projeto de AVAC</t>
  </si>
  <si>
    <t>Projeto de elétrica</t>
  </si>
  <si>
    <t>Projeto de estruturas</t>
  </si>
  <si>
    <t>Projeto de gases</t>
  </si>
  <si>
    <t>Projeto de geotécnica e topografia</t>
  </si>
  <si>
    <t>Projeto de hidráulica</t>
  </si>
  <si>
    <t>Projeto de luminotécnica</t>
  </si>
  <si>
    <t>Projeto de mecânica</t>
  </si>
  <si>
    <t>Projeto de paisagismo</t>
  </si>
  <si>
    <t>Projeto de águas pluviais</t>
  </si>
  <si>
    <t>Projeto de incêncio</t>
  </si>
  <si>
    <t>DVS</t>
  </si>
  <si>
    <t>núcleo de parede</t>
  </si>
  <si>
    <t>reboco</t>
  </si>
  <si>
    <t>emboço</t>
  </si>
  <si>
    <t>REB</t>
  </si>
  <si>
    <t>EBO</t>
  </si>
  <si>
    <t>NCL</t>
  </si>
  <si>
    <t>"OST_WallCoreLayer , OST_Parts"</t>
  </si>
  <si>
    <t>"OST_WallsSubstrate , OST_Parts"</t>
  </si>
  <si>
    <t>"IfcCoveringTOPPING"</t>
  </si>
  <si>
    <t>divisa do lote</t>
  </si>
  <si>
    <t>"Elementos estruturais armaduras"</t>
  </si>
  <si>
    <t>"Carimbo"</t>
  </si>
  <si>
    <t>"Folha"</t>
  </si>
  <si>
    <t>"Legenda"</t>
  </si>
  <si>
    <t>"Prancha"</t>
  </si>
  <si>
    <t>"Símbolo Geral"</t>
  </si>
  <si>
    <t>"Eixo Estrutural"</t>
  </si>
  <si>
    <t>"Andar Pavimento"</t>
  </si>
  <si>
    <t>"Andar Mezanino"</t>
  </si>
  <si>
    <t>"Andar Subsolo"</t>
  </si>
  <si>
    <t>"Andar Térreo"</t>
  </si>
  <si>
    <t>"Andar Tipo"</t>
  </si>
  <si>
    <t>"Andar Técnico"</t>
  </si>
  <si>
    <t>"1° Andar"</t>
  </si>
  <si>
    <t>"2° Andar"</t>
  </si>
  <si>
    <t>"3° Andar"</t>
  </si>
  <si>
    <t>"4° Andar"</t>
  </si>
  <si>
    <t>"5° Andar"</t>
  </si>
  <si>
    <t>"6° Andar"</t>
  </si>
  <si>
    <t>"7° Andar"</t>
  </si>
  <si>
    <t>"1° Andar Técnico"</t>
  </si>
  <si>
    <t>"2° Andar Técnico"</t>
  </si>
  <si>
    <t>"3° Andar Técnico"</t>
  </si>
  <si>
    <t>"4° Andar Técnico"</t>
  </si>
  <si>
    <t>"5° Andar Técnico"</t>
  </si>
  <si>
    <t>"6° Andar Técnico"</t>
  </si>
  <si>
    <t>"7° Andar Técnico"</t>
  </si>
  <si>
    <t>"Ambiente"</t>
  </si>
  <si>
    <t>"Area"</t>
  </si>
  <si>
    <t>"Espaço"</t>
  </si>
  <si>
    <t>"Zona Ambiental"</t>
  </si>
  <si>
    <t>"Alvenaria Estrutural"</t>
  </si>
  <si>
    <t>"Cinta"</t>
  </si>
  <si>
    <t>"Coluna"</t>
  </si>
  <si>
    <t>"Escada"</t>
  </si>
  <si>
    <t>"Estaca"</t>
  </si>
  <si>
    <t>"Fundação"</t>
  </si>
  <si>
    <t>"Junta"</t>
  </si>
  <si>
    <t>"Laje"</t>
  </si>
  <si>
    <t>"Pilar"</t>
  </si>
  <si>
    <t>"Ponte"</t>
  </si>
  <si>
    <t>"Treliça Espacial"</t>
  </si>
  <si>
    <t>"Treliça Plana"</t>
  </si>
  <si>
    <t>"Viga"</t>
  </si>
  <si>
    <t>"Alvenaria Arquitetura"</t>
  </si>
  <si>
    <t>"Boxes"</t>
  </si>
  <si>
    <t>"Brise"</t>
  </si>
  <si>
    <t>"Cobogô"</t>
  </si>
  <si>
    <t>"Cobertura"</t>
  </si>
  <si>
    <t>"Contrapiso"</t>
  </si>
  <si>
    <t>"Divisória"</t>
  </si>
  <si>
    <t>"Emboço"</t>
  </si>
  <si>
    <t>"Fachada"</t>
  </si>
  <si>
    <t>"Forro"</t>
  </si>
  <si>
    <t>"Grade"</t>
  </si>
  <si>
    <t>"Janela"</t>
  </si>
  <si>
    <t>"Núcleo Da Parede"</t>
  </si>
  <si>
    <t>"Piso Acabado"</t>
  </si>
  <si>
    <t>"Placa Ou Painel"</t>
  </si>
  <si>
    <t>"Porta"</t>
  </si>
  <si>
    <t>"Reboco"</t>
  </si>
  <si>
    <t>"Rodapé"</t>
  </si>
  <si>
    <t>"Rodamédio"</t>
  </si>
  <si>
    <t>"Sanca"</t>
  </si>
  <si>
    <t>"Teto"</t>
  </si>
  <si>
    <t>"Veneziana"</t>
  </si>
  <si>
    <t>"Bancada"</t>
  </si>
  <si>
    <t>"Elevador"</t>
  </si>
  <si>
    <t>"Corrimão"</t>
  </si>
  <si>
    <t>"Guardacorpo"</t>
  </si>
  <si>
    <t>"Rampa"</t>
  </si>
  <si>
    <t>"Bidet"</t>
  </si>
  <si>
    <t>"Chuveiro"</t>
  </si>
  <si>
    <t>"Cuba"</t>
  </si>
  <si>
    <t>"Ducha"</t>
  </si>
  <si>
    <t>"Dispositivo"</t>
  </si>
  <si>
    <t>"Equipamento Sanitário"</t>
  </si>
  <si>
    <t>"Ferragem"</t>
  </si>
  <si>
    <t>"Lavatório"</t>
  </si>
  <si>
    <t>"Mictório"</t>
  </si>
  <si>
    <t>"Misturador"</t>
  </si>
  <si>
    <t>"Sanitário"</t>
  </si>
  <si>
    <t>"Tanque"</t>
  </si>
  <si>
    <t>"Vaso Sanitário"</t>
  </si>
  <si>
    <t>"Sprinkler"</t>
  </si>
  <si>
    <t>"Vegetação"</t>
  </si>
  <si>
    <t>"Veículo"</t>
  </si>
  <si>
    <t>"Armário"</t>
  </si>
  <si>
    <t>"Cama"</t>
  </si>
  <si>
    <t>"Cadeira"</t>
  </si>
  <si>
    <t>"Mesa"</t>
  </si>
  <si>
    <t>"Mobília Geral"</t>
  </si>
  <si>
    <t>"Sofá"</t>
  </si>
  <si>
    <t>"Alarme"</t>
  </si>
  <si>
    <t>"Campainha"</t>
  </si>
  <si>
    <t>"Conexão"</t>
  </si>
  <si>
    <t>"Conduite"</t>
  </si>
  <si>
    <t>"Calha"</t>
  </si>
  <si>
    <t>"Luminária"</t>
  </si>
  <si>
    <t>"Interruptor"</t>
  </si>
  <si>
    <t>"Tomada"</t>
  </si>
  <si>
    <t>"Tubulação"</t>
  </si>
  <si>
    <t>"Válvula"</t>
  </si>
  <si>
    <t>"Circular"</t>
  </si>
  <si>
    <t>"Dupla Assimétrica"</t>
  </si>
  <si>
    <t>"Dupla Simétrica"</t>
  </si>
  <si>
    <t>"Lineal"</t>
  </si>
  <si>
    <t>"Oval Assimétrico"</t>
  </si>
  <si>
    <t>"Oval Simétrico"</t>
  </si>
  <si>
    <t>"Perfil"</t>
  </si>
  <si>
    <t>"Quadrada"</t>
  </si>
  <si>
    <t>"Retangular"</t>
  </si>
  <si>
    <t>"Proteção Antibala"</t>
  </si>
  <si>
    <t>"Para Ácidos"</t>
  </si>
  <si>
    <t>"Acústico"</t>
  </si>
  <si>
    <t>"Para Adulto"</t>
  </si>
  <si>
    <t>"Água Fria"</t>
  </si>
  <si>
    <t>"Alambrado"</t>
  </si>
  <si>
    <t>"Água Quente"</t>
  </si>
  <si>
    <t>"Automático"</t>
  </si>
  <si>
    <t>"De Apóio"</t>
  </si>
  <si>
    <t>"Basculante"</t>
  </si>
  <si>
    <t>"Blindado"</t>
  </si>
  <si>
    <t>"Cega"</t>
  </si>
  <si>
    <t>"De Canto"</t>
  </si>
  <si>
    <t>"Convencional"</t>
  </si>
  <si>
    <t>"Para Criança"</t>
  </si>
  <si>
    <t>"Decorativa"</t>
  </si>
  <si>
    <t>"Deslizante"</t>
  </si>
  <si>
    <t>"Dilatação"</t>
  </si>
  <si>
    <t>"Densidade X"</t>
  </si>
  <si>
    <t>"De Pé"</t>
  </si>
  <si>
    <t>"Drywall"</t>
  </si>
  <si>
    <t>"Embutir"</t>
  </si>
  <si>
    <t>"Emergência"</t>
  </si>
  <si>
    <t>"Furada"</t>
  </si>
  <si>
    <t>"Guilhotina"</t>
  </si>
  <si>
    <t>"Para Água"</t>
  </si>
  <si>
    <t>"Iluminação Especial"</t>
  </si>
  <si>
    <t>"Iluminação Geral"</t>
  </si>
  <si>
    <t>"Isolado"</t>
  </si>
  <si>
    <t>"Manual"</t>
  </si>
  <si>
    <t>"Mensula"</t>
  </si>
  <si>
    <t>"Monocomando"</t>
  </si>
  <si>
    <t>"Mestra"</t>
  </si>
  <si>
    <t>"Acessório"</t>
  </si>
  <si>
    <t>"Ornamental"</t>
  </si>
  <si>
    <t>"Porta Corta Fogo"</t>
  </si>
  <si>
    <t>"Tráfego Pedestre"</t>
  </si>
  <si>
    <t>"Pendente"</t>
  </si>
  <si>
    <t>"Pivotante"</t>
  </si>
  <si>
    <t>"Tipo Plafon"</t>
  </si>
  <si>
    <t>"Pessoa Necessidade Especial"</t>
  </si>
  <si>
    <t>"Seccional"</t>
  </si>
  <si>
    <t>"Seca"</t>
  </si>
  <si>
    <t>"Segurança"</t>
  </si>
  <si>
    <t>"Solar"</t>
  </si>
  <si>
    <t>"Sobrepor"</t>
  </si>
  <si>
    <t>"Suspenso"</t>
  </si>
  <si>
    <t>"Ventilado"</t>
  </si>
  <si>
    <t>"Vaivem"</t>
  </si>
  <si>
    <t>"Visor"</t>
  </si>
  <si>
    <t>"Alta"</t>
  </si>
  <si>
    <t>"Baixa"</t>
  </si>
  <si>
    <t>"Exterior"</t>
  </si>
  <si>
    <t>"Frontal"</t>
  </si>
  <si>
    <t>"Horizontal"</t>
  </si>
  <si>
    <t>"Interior-Exterior"</t>
  </si>
  <si>
    <t>"Inferior"</t>
  </si>
  <si>
    <t>"Ilha "</t>
  </si>
  <si>
    <t>"Interior"</t>
  </si>
  <si>
    <t>"Lateral"</t>
  </si>
  <si>
    <t>"Layout"</t>
  </si>
  <si>
    <t>"Modulado"</t>
  </si>
  <si>
    <t>"Normal"</t>
  </si>
  <si>
    <t>"Padronizado"</t>
  </si>
  <si>
    <t>"Ponta "</t>
  </si>
  <si>
    <t>"Projeção"</t>
  </si>
  <si>
    <t>"Referência"</t>
  </si>
  <si>
    <t>"Simetria"</t>
  </si>
  <si>
    <t>"Superior"</t>
  </si>
  <si>
    <t>"Ardósia"</t>
  </si>
  <si>
    <t>"Azulejo"</t>
  </si>
  <si>
    <t>"Porcelanato"</t>
  </si>
  <si>
    <t>"Cerâmico"</t>
  </si>
  <si>
    <t>"Cimentado"</t>
  </si>
  <si>
    <t>"Concreto"</t>
  </si>
  <si>
    <t>"Eucatex Ou Painel Naval"</t>
  </si>
  <si>
    <t>"Gesso"</t>
  </si>
  <si>
    <t>"Pedra Granilite"</t>
  </si>
  <si>
    <t>"Pedra Granito"</t>
  </si>
  <si>
    <t>"Laminado"</t>
  </si>
  <si>
    <t>"Ladrilho Hidráulico"</t>
  </si>
  <si>
    <t>"Madeira"</t>
  </si>
  <si>
    <t>"Pedra Marmore"</t>
  </si>
  <si>
    <t>"Metálico"</t>
  </si>
  <si>
    <t>"Pastilhas"</t>
  </si>
  <si>
    <t>"Pedra"</t>
  </si>
  <si>
    <t>"Pintura"</t>
  </si>
  <si>
    <t>"Parquet"</t>
  </si>
  <si>
    <t>"Pedra Artificial Silestone"</t>
  </si>
  <si>
    <t>"Tábuas"</t>
  </si>
  <si>
    <t>"Tacos"</t>
  </si>
  <si>
    <t>"Terra Compactada"</t>
  </si>
  <si>
    <t>"Vidro"</t>
  </si>
  <si>
    <t>"Vinílico"</t>
  </si>
  <si>
    <t>"Acesso Aos Departamentos"</t>
  </si>
  <si>
    <t>"Acesso Principal Ao Conjunto"</t>
  </si>
  <si>
    <t>"Acesso Principal"</t>
  </si>
  <si>
    <t>"Núcleo Elevador"</t>
  </si>
  <si>
    <t>"Poço Ventilação"</t>
  </si>
  <si>
    <t>"Biologia Molecular"</t>
  </si>
  <si>
    <t>"Química Em Pó"</t>
  </si>
  <si>
    <t>"Com 1 Painel"</t>
  </si>
  <si>
    <t>"Com 2 Paineis"</t>
  </si>
  <si>
    <t>"Com 3 Paineis"</t>
  </si>
  <si>
    <t>"Com 4 Paineis"</t>
  </si>
  <si>
    <t>"Com 5 Paineis"</t>
  </si>
  <si>
    <t>"Com 6 Paineis"</t>
  </si>
  <si>
    <t>"Com 1 Pia"</t>
  </si>
  <si>
    <t>"Com 2 Pias"</t>
  </si>
  <si>
    <t>"Com 3 Pias"</t>
  </si>
  <si>
    <t>"Com 4 Pias"</t>
  </si>
  <si>
    <t>"Usa Modular Igual A 1"</t>
  </si>
  <si>
    <t>"Usa Modular Igual A 2"</t>
  </si>
  <si>
    <t>"Usa Modular Igual A 3"</t>
  </si>
  <si>
    <t>"Usa Modular Igual A 4"</t>
  </si>
  <si>
    <t>"Usa Modular Igual A 5"</t>
  </si>
  <si>
    <t>"Usa Modular Igual A 6"</t>
  </si>
  <si>
    <t>"Bloco Ab"</t>
  </si>
  <si>
    <t>"Bloco Abc"</t>
  </si>
  <si>
    <t>"Órgão de Ensino Superior"</t>
  </si>
  <si>
    <t>"Projeto de Arquitetura"</t>
  </si>
  <si>
    <t>"Projeto de Avac"</t>
  </si>
  <si>
    <t>"Projeto de Elétrica"</t>
  </si>
  <si>
    <t>"Projeto de Estruturas"</t>
  </si>
  <si>
    <t>"Projeto de Gases"</t>
  </si>
  <si>
    <t>"Projeto de Hidráulica"</t>
  </si>
  <si>
    <t>"Projeto de Luminotécnica"</t>
  </si>
  <si>
    <t>"Projeto de Incêndio"</t>
  </si>
  <si>
    <t>"Projeto de Mecânica"</t>
  </si>
  <si>
    <t>"Projeto de Paisagismo"</t>
  </si>
  <si>
    <t>"Projeto de Águas Pluviais"</t>
  </si>
  <si>
    <t>"Andar de Cobertura"</t>
  </si>
  <si>
    <t>"Zona de Equipamentos"</t>
  </si>
  <si>
    <t>"Zona de Sistemas"</t>
  </si>
  <si>
    <t>"Junta de Dilatação"</t>
  </si>
  <si>
    <t>"Banzo de Treliça"</t>
  </si>
  <si>
    <t>"Diagonal de Treliça"</t>
  </si>
  <si>
    <t>"Montante de Treliça"</t>
  </si>
  <si>
    <t>"Barra de Estribo"</t>
  </si>
  <si>
    <t>"Barra de Vergalhão"</t>
  </si>
  <si>
    <t>"Piso de Calçada"</t>
  </si>
  <si>
    <t>"Equipamento de Incêndio"</t>
  </si>
  <si>
    <t>"Pia de Água"</t>
  </si>
  <si>
    <t>"Extintor de Incêndio"</t>
  </si>
  <si>
    <t>"Equipamento de Mobiliário"</t>
  </si>
  <si>
    <t>"Duto de Avac"</t>
  </si>
  <si>
    <t>"Quadro de Força"</t>
  </si>
  <si>
    <t>"Quadro de Luz"</t>
  </si>
  <si>
    <t>"Equipamento de Saúde"</t>
  </si>
  <si>
    <t>"Em Forma de L"</t>
  </si>
  <si>
    <t>"Em Forma de U"</t>
  </si>
  <si>
    <t>"Metálica de Alumínio"</t>
  </si>
  <si>
    <t>"Verde de Gramado"</t>
  </si>
  <si>
    <t>"Antecâmara de Entrada "</t>
  </si>
  <si>
    <t>"Antecâmara de Saída"</t>
  </si>
  <si>
    <t>"Sala de Ensáios"</t>
  </si>
  <si>
    <t>"Sala de Recepção"</t>
  </si>
  <si>
    <t>"Sala de Espera"</t>
  </si>
  <si>
    <t>"Sala de Aulas"</t>
  </si>
  <si>
    <t>"Sala de Pesquisa"</t>
  </si>
  <si>
    <t>"Sala de Trabalho"</t>
  </si>
  <si>
    <t>"Sala de Vigilância"</t>
  </si>
  <si>
    <t>"Símbolo de Corte"</t>
  </si>
  <si>
    <t>"Símbolo de Chamada de Detalhe"</t>
  </si>
  <si>
    <t>"Símbolo de Norte"</t>
  </si>
  <si>
    <t>"Revisões de Carimbo"</t>
  </si>
  <si>
    <t>"Símbolo de Etiqueta (Tag)"</t>
  </si>
  <si>
    <t>"Tabelas de Quantitativos"</t>
  </si>
  <si>
    <t>"Elemento de Anotação Textual"</t>
  </si>
  <si>
    <t>"Símbolo de Vista de Elevação"</t>
  </si>
  <si>
    <t>"Prancha de Desenho de Tamanho A0"</t>
  </si>
  <si>
    <t>"Prancha de Desenho de Tamanho A1"</t>
  </si>
  <si>
    <t>"Prancha de Desenho de Tamanho A2"</t>
  </si>
  <si>
    <t>"Folha de Desenho de Tamanho A3"</t>
  </si>
  <si>
    <t>"Folha de Desenho de Tamanho A4"</t>
  </si>
  <si>
    <t>"Projeto de Geotécnica e Topografia"</t>
  </si>
  <si>
    <t>"Projeto de Som e Acústica"</t>
  </si>
  <si>
    <t>"Água Fria e Quente"</t>
  </si>
  <si>
    <t>"Visor e Ventilado"</t>
  </si>
  <si>
    <t>"Divisa do Lote"</t>
  </si>
  <si>
    <t>"Andar Piloti do CT"</t>
  </si>
  <si>
    <t>000 Translate Classe 5</t>
  </si>
  <si>
    <t>Explanation</t>
  </si>
  <si>
    <t>Prof. José Luis Menegotto - DEG/POLI/UFRJ</t>
  </si>
  <si>
    <t>Idioma</t>
  </si>
  <si>
    <t>pt</t>
  </si>
  <si>
    <t>es</t>
  </si>
  <si>
    <t>en</t>
  </si>
  <si>
    <t>"-"</t>
  </si>
  <si>
    <t>descrição</t>
  </si>
  <si>
    <t>"Valor Módular"</t>
  </si>
  <si>
    <t>Aeroporto Militar. utilizados exclusivamente pelas Forças Armadas para fins estratégicos, treinamento, transporte de tropas e equipamentos.</t>
  </si>
  <si>
    <t>Aeroporto Doméstico atendem apenas voos dentro do território nacional.</t>
  </si>
  <si>
    <t>"Bloco A do Centro de Tecnologia da UFRJ"</t>
  </si>
  <si>
    <t>"Bloco ABC do Centro de Tecnologia da UFRJ"</t>
  </si>
  <si>
    <t>"Bloco AB do Centro de Tecnologia da UFRJ"</t>
  </si>
  <si>
    <t>"Bloco B do Centro de Tecnologia da UFRJ"</t>
  </si>
  <si>
    <t>"Bloco C do Centro de Tecnologia da UFRJ"</t>
  </si>
  <si>
    <t>"Bloco D do Centro de Tecnologia da UFRJ"</t>
  </si>
  <si>
    <t>"Bloco E do Centro de Tecnologia da UFRJ"</t>
  </si>
  <si>
    <t>"Bloco F do Centro de Tecnologia da UFRJ"</t>
  </si>
  <si>
    <t>"Bloco G do Centro de Tecnologia da UFRJ"</t>
  </si>
  <si>
    <t>"Bloco H do Centro de Tecnologia da UFRJ"</t>
  </si>
  <si>
    <t>"Bloco I do Centro de Tecnologia da UFRJ"</t>
  </si>
  <si>
    <t>"Bloco J do Centro de Tecnologia da UFRJ"</t>
  </si>
  <si>
    <t>"Bloco K do Centro de Tecnologia da UFRJ"</t>
  </si>
  <si>
    <t>"Bloco L do Centro de Tecnologia da UFRJ"</t>
  </si>
  <si>
    <t>"Bloco M do Centro de Tecnologia da UFRJ"</t>
  </si>
  <si>
    <t>"Bloco N do Centro de Tecnologia da UFRJ"</t>
  </si>
  <si>
    <t>"Bloco O do Centro de Tecnologia da UFRJ"</t>
  </si>
  <si>
    <t>"Bloco P do Centro de Tecnologia da UFRJ"</t>
  </si>
  <si>
    <t>"Bloco Q do Centro de Tecnologia da UFRJ"</t>
  </si>
  <si>
    <t>"Campus Cidade Universitária da UFRJ"</t>
  </si>
  <si>
    <t>"Campus Macaé da UFRJ"</t>
  </si>
  <si>
    <t>"Campus Praia Vemelha da UFRJ"</t>
  </si>
  <si>
    <t>"Campus Centro da UFRJ"</t>
  </si>
  <si>
    <t>Conceitos</t>
  </si>
  <si>
    <t>Iniciais</t>
  </si>
  <si>
    <t>Espaciais</t>
  </si>
  <si>
    <t>Luminotécnicos</t>
  </si>
  <si>
    <t>Região Geográfica do Brasil. do Brasil há 5 Regiões Geográficas principais.</t>
  </si>
  <si>
    <t>Região.Intermediária</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</si>
  <si>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</si>
  <si>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Região.Imediata</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</si>
  <si>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</si>
  <si>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</si>
  <si>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</si>
  <si>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</si>
  <si>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</si>
  <si>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</si>
  <si>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</si>
  <si>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</si>
  <si>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</si>
  <si>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</si>
  <si>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</si>
  <si>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</si>
  <si>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</si>
  <si>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</si>
  <si>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</si>
  <si>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</si>
  <si>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</si>
  <si>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</si>
  <si>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</si>
  <si>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</si>
  <si>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</si>
  <si>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</si>
  <si>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</si>
  <si>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 OST_Areas ]</t>
  </si>
  <si>
    <t>Topográficos</t>
  </si>
  <si>
    <t>De.Planejamento</t>
  </si>
  <si>
    <t>[ OST_Floors ]</t>
  </si>
  <si>
    <t>Arquitetônicos</t>
  </si>
  <si>
    <t>[ IfcSpace ]</t>
  </si>
  <si>
    <t>[ IfcBuildingElementProxy ]</t>
  </si>
  <si>
    <t>Institucionais</t>
  </si>
  <si>
    <t>Serviços.Públicos</t>
  </si>
  <si>
    <t>[ OST_SpecialityEquipment ]</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</si>
  <si>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</si>
  <si>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</si>
  <si>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</si>
  <si>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</si>
  <si>
    <t>[ null ]</t>
  </si>
  <si>
    <t>De.Transportes</t>
  </si>
  <si>
    <t>[ OST_Entourage ]</t>
  </si>
  <si>
    <t>Infraestruturais</t>
  </si>
  <si>
    <t>Rodoviários</t>
  </si>
  <si>
    <t>[ IfcRailing ]</t>
  </si>
  <si>
    <t>[ OST_Signage ]</t>
  </si>
  <si>
    <t>[ IfcLightFixture ]</t>
  </si>
  <si>
    <t>[ OST_LightingDevices ]</t>
  </si>
  <si>
    <t>Hidroviários</t>
  </si>
  <si>
    <t>[ IfcBuildingStorey ]</t>
  </si>
  <si>
    <t>Aeroportuários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</si>
  <si>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</si>
  <si>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</si>
  <si>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El aeropuerto nacional solo sirve vuelos dentro del territorio nacional.</t>
  </si>
  <si>
    <t>Aeropuerto Militar. utilizado exclusivamente por las Fuerzas Armadas con fines estratégicos, entrenamiento, transporte de tropas y equipo.</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</si>
  <si>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</si>
  <si>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</si>
  <si>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</si>
  <si>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</si>
  <si>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Zona destinada exclusivamente al aterrizaje y despegue de helicópteros.</t>
  </si>
  <si>
    <t>Redes.Urbanas</t>
  </si>
  <si>
    <t>[ IfcDistributionSystemTELEPHONE ]</t>
  </si>
  <si>
    <t>Materialidades</t>
  </si>
  <si>
    <t>De.Tubulações</t>
  </si>
  <si>
    <t>Unidade.Habitação</t>
  </si>
  <si>
    <t>Código</t>
  </si>
  <si>
    <t>Código.N1</t>
  </si>
  <si>
    <t>Código.N2</t>
  </si>
  <si>
    <t>Código.N3</t>
  </si>
  <si>
    <t>00Tipo</t>
  </si>
  <si>
    <t>Código utilizado para identificação.</t>
  </si>
  <si>
    <t>[ OST_Walls ]</t>
  </si>
  <si>
    <t>[ OST_Ceilings ]</t>
  </si>
  <si>
    <t>[ OST_Doors ]</t>
  </si>
  <si>
    <t>[ OST_Windows ]</t>
  </si>
  <si>
    <t>[ OST_Mass  ]</t>
  </si>
  <si>
    <t>[ OST_MassForm ]</t>
  </si>
  <si>
    <t>[ OST_Massing ]</t>
  </si>
  <si>
    <t>[ OST_MassZone ]</t>
  </si>
  <si>
    <t>[ OST_MassCutter ]</t>
  </si>
  <si>
    <t>[ OST_MassFaceSplitter ]</t>
  </si>
  <si>
    <t>[ OST_MassingCutOutlines ]</t>
  </si>
  <si>
    <t>[ OST_MassingProjectionOutlines ]</t>
  </si>
  <si>
    <t>[ OST_MassFloor ]</t>
  </si>
  <si>
    <t>[ OST_MassFloorsAll ]</t>
  </si>
  <si>
    <t>[ OST_MassExteriorWall ]</t>
  </si>
  <si>
    <t>[ OST_MassExteriorWallUnderground ]</t>
  </si>
  <si>
    <t>[ OST_MassGlazing ]</t>
  </si>
  <si>
    <t>[ OST_MassGlazingAll ]</t>
  </si>
  <si>
    <t>[ OST_MassInteriorWall ]</t>
  </si>
  <si>
    <t>[ OST_MassWallsAll ]</t>
  </si>
  <si>
    <t>[ OST_MassOpening ]</t>
  </si>
  <si>
    <t>[ OST_MassSlab ]</t>
  </si>
  <si>
    <t>[ OST_MassRoof ]</t>
  </si>
  <si>
    <t>[ OST_MassShade ]</t>
  </si>
  <si>
    <t>[ OST_MassSkylights ]</t>
  </si>
  <si>
    <t>[ OST_Grids ]</t>
  </si>
  <si>
    <t>[ OST_Elev ]</t>
  </si>
  <si>
    <t>[ OST_ElevationMarks ]</t>
  </si>
  <si>
    <t>[ OST_MEPAncillaryFraming ]</t>
  </si>
  <si>
    <t>[ OST_IOSOpening ]</t>
  </si>
  <si>
    <t>[ OST_ShaftOpening ]</t>
  </si>
  <si>
    <t>[ OST_StairsRailing ]</t>
  </si>
  <si>
    <t>[ OST_StairsRailingAboveCut ]</t>
  </si>
  <si>
    <t>[ OST_StairsRailingBaluster ]</t>
  </si>
  <si>
    <t>[ OST_StairsRailingRail ]</t>
  </si>
  <si>
    <t>[ OST_Railings ]</t>
  </si>
  <si>
    <t>[ OST_RailingBalusterRail ]</t>
  </si>
  <si>
    <t>[ OST_RailingBalusterRailCut ]</t>
  </si>
  <si>
    <t>[ OST_RailingHandRail ]</t>
  </si>
  <si>
    <t>[ OST_RailingHandRailAboveCut ]</t>
  </si>
  <si>
    <t>[ OST_RailingTopRail ]</t>
  </si>
  <si>
    <t>[ OST_RailingTopRailAboveCut ]</t>
  </si>
  <si>
    <t>[ OST_RailingRailPathExtensionLines ]</t>
  </si>
  <si>
    <t>[ OST_RailingRailPathLines ]</t>
  </si>
  <si>
    <t>[ OST_RailingSupport ]</t>
  </si>
  <si>
    <t>[ OST_RailingTermination ]</t>
  </si>
  <si>
    <t>[ OST_RailingSystem ]</t>
  </si>
  <si>
    <t>[ OST_RailingSystemBaluster ]</t>
  </si>
  <si>
    <t>[ OST_RailingSystemHandRail ]</t>
  </si>
  <si>
    <t>[ OST_RailingSystemHandRailBracket ]</t>
  </si>
  <si>
    <t>[ OST_RailingSystemHardware ]</t>
  </si>
  <si>
    <t>[ OST_RailingSystemPanel ]</t>
  </si>
  <si>
    <t>[ OST_RailingSystemPost ]</t>
  </si>
  <si>
    <t>[ OST_RailingSystemRail ]</t>
  </si>
  <si>
    <t>[ OST_RailingSystemTopRail ]</t>
  </si>
  <si>
    <t>[ OST_RailingSystemSegment ]</t>
  </si>
  <si>
    <t>[ OST_RailingSystemTermination ]</t>
  </si>
  <si>
    <t>[ OST_RailingSystemTransition ]</t>
  </si>
  <si>
    <t>[ OST_FireAlarmDevices ]</t>
  </si>
  <si>
    <t>[ OST_FireProtection ]</t>
  </si>
  <si>
    <t>[ OST_SecurityDevices ]</t>
  </si>
  <si>
    <t>[ OST_Sprinklers ]</t>
  </si>
  <si>
    <t>[ OST_Curtain_Systems ]</t>
  </si>
  <si>
    <t>[ OST_ElectricalEquipment ]</t>
  </si>
  <si>
    <t>[ OST_AudioVisualDevices ]</t>
  </si>
  <si>
    <t>[ OST_MedicalEquipment ]</t>
  </si>
  <si>
    <t>[ OST_NurseCallDevices ]</t>
  </si>
  <si>
    <t>[ OST_MechanicalEquipment ]</t>
  </si>
  <si>
    <t>[ OST_FurnitureSystems ]</t>
  </si>
  <si>
    <t>[ OST_Furniture ]</t>
  </si>
  <si>
    <t>[ ST_Casework ]</t>
  </si>
  <si>
    <t>[ OST_Roofs ]</t>
  </si>
  <si>
    <t>[ OST_Fascia ]</t>
  </si>
  <si>
    <t>[ OST_RoofSoffit ]</t>
  </si>
  <si>
    <t>[ OST_Gutter ]</t>
  </si>
  <si>
    <t>[ OST_RoofOpening ]</t>
  </si>
  <si>
    <t>[ OST_RoofsInteriorEdges ]</t>
  </si>
  <si>
    <t>[ OST_RoofsProjection ]</t>
  </si>
  <si>
    <t>[ OST_RoofsStructure ]</t>
  </si>
  <si>
    <t>[ OST_RoofsSubstrate ]</t>
  </si>
  <si>
    <t>[ OST_LightingFixtures ]</t>
  </si>
  <si>
    <t>[ OST_LightingFixtureSource ]</t>
  </si>
  <si>
    <t>[ OST_LightLine ]</t>
  </si>
  <si>
    <t>[ OST_Lights ]</t>
  </si>
  <si>
    <t>[ OST_Cornices ]</t>
  </si>
  <si>
    <t>[ OST_EdgeSlab ]</t>
  </si>
  <si>
    <t>[ OST_Reveals ]</t>
  </si>
  <si>
    <t>[ OST_VerticalCirculation ]</t>
  </si>
  <si>
    <t>[ OST_Ramps ]</t>
  </si>
  <si>
    <t>[ OST_RampsIncomplete ]</t>
  </si>
  <si>
    <t>[ OST_RampsStringer ]</t>
  </si>
  <si>
    <t>[ OST_RampsStringerAboveCut ]</t>
  </si>
  <si>
    <t>[ OST_RampsUpArrow ]</t>
  </si>
  <si>
    <t>[ OST_RampsDownArrow ]</t>
  </si>
  <si>
    <t>[ OST_RampsUpText ]</t>
  </si>
  <si>
    <t>[ OST_RampsDownText ]</t>
  </si>
  <si>
    <t>[ OST_RampsAboveCut ]</t>
  </si>
  <si>
    <t>[ OST_Stairs ]</t>
  </si>
  <si>
    <t>[ OST_MultistoryStairs ]</t>
  </si>
  <si>
    <t>[ OST_StairsCutMarks ]</t>
  </si>
  <si>
    <t>[ OST_StairsCutMarksAboveCut ]</t>
  </si>
  <si>
    <t>[ OST_StairsLandings ]</t>
  </si>
  <si>
    <t>[ OST_StairsNosingLines ]</t>
  </si>
  <si>
    <t>[ OST_StairsNosingLinesAboveCut ]</t>
  </si>
  <si>
    <t>[ OST_StairsOutlines ]</t>
  </si>
  <si>
    <t>[ OST_StairsOutlinesAboveCut ]</t>
  </si>
  <si>
    <t>[ OST_StairsPaths ]</t>
  </si>
  <si>
    <t>[ OST_StairsPathsAboveCut ]</t>
  </si>
  <si>
    <t>[ OST_StairsRiserLines ]</t>
  </si>
  <si>
    <t>[ OST_StairsRiserLinesAboveCut ]</t>
  </si>
  <si>
    <t>[ OST_StairsRuns ]</t>
  </si>
  <si>
    <t>[ OST_StairsSketchBoundaryLines ]</t>
  </si>
  <si>
    <t>[ OST_StairsSketchLandingCenterLines ]</t>
  </si>
  <si>
    <t>[ OST_StairsSketchPathLines ]</t>
  </si>
  <si>
    <t>[ OST_StairsSketchRiserLines ]</t>
  </si>
  <si>
    <t>[ OST_StairsSketchRunLines ]</t>
  </si>
  <si>
    <t>[ OST_StairsSupports ]</t>
  </si>
  <si>
    <t>[ OST_StairsStringerCarriage ]</t>
  </si>
  <si>
    <t>[ OST_StairsSupportsAboveCut ]</t>
  </si>
  <si>
    <t>[ OST_StairsTrisers ]</t>
  </si>
  <si>
    <t>[ OST_StairsTriserNumbers ]</t>
  </si>
  <si>
    <t>[ OST_StairsUpArrows ]</t>
  </si>
  <si>
    <t>[ OST_StairsUpText ]</t>
  </si>
  <si>
    <t>[ OST_StairsDownArrows ]</t>
  </si>
  <si>
    <t>[ OST_StairsDownText ]</t>
  </si>
  <si>
    <t>[ OST_ElectricalConnector ]</t>
  </si>
  <si>
    <t>[ IfcSlab ]</t>
  </si>
  <si>
    <t>[ IfcCovering ]</t>
  </si>
  <si>
    <t>[ IfcDoor ]</t>
  </si>
  <si>
    <t>[ IfcWindow ]</t>
  </si>
  <si>
    <t>[ IfcGrid ]</t>
  </si>
  <si>
    <t>[ IfcGridIRREGULAR ]</t>
  </si>
  <si>
    <t>[ IfcGridRADIAL ]</t>
  </si>
  <si>
    <t>[ IfcGridRECTANGULAR ]</t>
  </si>
  <si>
    <t>[ IfcGridTRIANGULAR ]</t>
  </si>
  <si>
    <t>[ IfcExternalSpatialElement ]</t>
  </si>
  <si>
    <t>[ IfcExternalSpatialElementEXTERNAL ]</t>
  </si>
  <si>
    <t>[ IfcExternalSpatialElementEXTERNAL_FIRE ]</t>
  </si>
  <si>
    <t>[ IfcExternalSpatialElementEXTERNAL_WATER ]</t>
  </si>
  <si>
    <t>[ IfcSpaceEXTERNAL ]</t>
  </si>
  <si>
    <t>[ IfcSpacePARKING ]</t>
  </si>
  <si>
    <t>[ IfcSpaceGFA ]</t>
  </si>
  <si>
    <t>[ IfcSpaceBERTH ]</t>
  </si>
  <si>
    <t>[ IfcSpaceINTERNAL ]</t>
  </si>
  <si>
    <t>[ IfcSpaceSPACE ]</t>
  </si>
  <si>
    <t>[ IfcSpatialZone ]</t>
  </si>
  <si>
    <t>[ IfcSpatialZoneCONSTRUCTION ]</t>
  </si>
  <si>
    <t>[ IfcSpatialZoneINTERFERENCE ]</t>
  </si>
  <si>
    <t>[ IfcSpatialZoneOCCUPANCY ]</t>
  </si>
  <si>
    <t>[ IfcSpatialZoneRESERVATION ]</t>
  </si>
  <si>
    <t>[ IfcSpatialZoneTRANSPORT ]</t>
  </si>
  <si>
    <t>[ IfcSpatialZoneTHERMAL ]</t>
  </si>
  <si>
    <t>[ IfcSpatialZoneLIGHTING ]</t>
  </si>
  <si>
    <t>[ IfcSpatialZoneVENTILATION ]</t>
  </si>
  <si>
    <t>[ IfcSpatialZoneFIRESAFETY ]</t>
  </si>
  <si>
    <t>[ IfcSpatialZoneSECURITY ]</t>
  </si>
  <si>
    <t>[ IfcWall ]</t>
  </si>
  <si>
    <t>[ IfcCoveringMEMBRANE ]</t>
  </si>
  <si>
    <t>[ IfcCoveringINSULATION ]</t>
  </si>
  <si>
    <t>[ IfcCoveringTOPPING ]</t>
  </si>
  <si>
    <t>[ IfcFastener ]</t>
  </si>
  <si>
    <t>[ IfcCoveringFLOORING ]</t>
  </si>
  <si>
    <t>[ IfcCoveringSKIRTINGBOARD ]</t>
  </si>
  <si>
    <t>[ IfcCoveringCLADDING ]</t>
  </si>
  <si>
    <t>[ IfcCoveringCOPING ]</t>
  </si>
  <si>
    <t>[ IfcCoveringCEILING ]</t>
  </si>
  <si>
    <t>[ IfcDiscreteAccessory ]</t>
  </si>
  <si>
    <t>[ IfcWindowLIGHTDOME ]</t>
  </si>
  <si>
    <t>[ IfcWindowSKYLIGHT ]</t>
  </si>
  <si>
    <t>[ IfcOpeningElement ]</t>
  </si>
  <si>
    <t>[ IfcOpeningElementOPENING ]</t>
  </si>
  <si>
    <t>[ IfcShadingDeviceJALOUSIE ]</t>
  </si>
  <si>
    <t>[ IfcShadingDeviceAWNING ]</t>
  </si>
  <si>
    <t>[ IfcShadingDeviceSHUTTER ]</t>
  </si>
  <si>
    <t>[ IfcRailingBALUSTRADE ]</t>
  </si>
  <si>
    <t>[ IfcRailingHANDRAIL ]</t>
  </si>
  <si>
    <t>[ IfcAlarm ]</t>
  </si>
  <si>
    <t>[ IfcAlarmBELL ]</t>
  </si>
  <si>
    <t>[ IfcAlarmBREAKGLASSBUTTON ]</t>
  </si>
  <si>
    <t>[ IfcAlarmLIGHT ]</t>
  </si>
  <si>
    <t>[ IfcAlarmMANUALPULLBOX ]</t>
  </si>
  <si>
    <t>[ IfcAlarmRAILWAYCROCODILE ]</t>
  </si>
  <si>
    <t>[ IfcAlarmRAILWAYDETONATOR ]</t>
  </si>
  <si>
    <t>[ IfcAlarmSIREN ]</t>
  </si>
  <si>
    <t>[ IfcAlarmWHISTLE ]</t>
  </si>
  <si>
    <t>[ IfcFireSuppressionTerminal ]</t>
  </si>
  <si>
    <t>[ IfcFireSuppressionTerminalBREECHINGINLET ]</t>
  </si>
  <si>
    <t>[ IfcFireSuppressionTerminalHOSEREEL ]</t>
  </si>
  <si>
    <t>[ IfcFireSuppressionTerminalFIREMONITOR ]</t>
  </si>
  <si>
    <t>[ IfcFireSuppressionTerminalFIREHYDRANT ]</t>
  </si>
  <si>
    <t>[ IfcFireSuppressionTerminalSPRINKLER ]</t>
  </si>
  <si>
    <t>[ IfcFireSuppressionTerminalSPRINKLERDEFLECTOR ]</t>
  </si>
  <si>
    <t>[ IfcProtectiveDevice ]</t>
  </si>
  <si>
    <t>[ IfcProtectiveDeviceTrippingUnit ]</t>
  </si>
  <si>
    <t>[ IfcProtectiveDeviceANTI_ARCING_DEVICE ]</t>
  </si>
  <si>
    <t>[ IfcProtectiveDeviceCIRCUITBREAKER ]</t>
  </si>
  <si>
    <t>[ IfcProtectiveDeviceEARTHINGSWITCH ]</t>
  </si>
  <si>
    <t>[ IfcProtectiveDeviceFUSEDISCONNECTOR ]</t>
  </si>
  <si>
    <t>[ IfcProtectiveDeviceEARTHLEAKAGECIRCUITBREAKER ]</t>
  </si>
  <si>
    <t>[ IfcProtectiveDeviceRESIDUALCURRENTCIRCUITBREAKER ]</t>
  </si>
  <si>
    <t>[ IfcProtectiveDeviceRESIDUALCURRENTSWITCH ]</t>
  </si>
  <si>
    <t>[ IfcProtectiveDeviceTrippingUnitRESIDUALCURRENT ]</t>
  </si>
  <si>
    <t>[ IfcProtectiveDeviceSPARKGAP ]</t>
  </si>
  <si>
    <t>[ IfcProtectiveDeviceVARISTOR ]</t>
  </si>
  <si>
    <t>[ IfcProtectiveDeviceVOLTAGELIMITER ]</t>
  </si>
  <si>
    <t>[ IfcProtectiveDeviceTrippingUnitELECTROMAGNETIC ]</t>
  </si>
  <si>
    <t>[ IfcProtectiveDeviceTrippingUnitELECTRONIC ]</t>
  </si>
  <si>
    <t>[ IfcProtectiveDeviceTrippingUnitTHERMAL ]</t>
  </si>
  <si>
    <t>[ IfcRailingFENCE ]</t>
  </si>
  <si>
    <t>[ IfcSanitaryTerminal ]</t>
  </si>
  <si>
    <t>[ IfcSanitaryTerminalBATH ]</t>
  </si>
  <si>
    <t>[ IfcSanitaryTerminalSANITARYFOUNTAIN ]</t>
  </si>
  <si>
    <t>[ IfcSanitaryTerminalBIDET ]</t>
  </si>
  <si>
    <t>[ IfcSanitaryTerminalSHOWER ]</t>
  </si>
  <si>
    <t>[ IfcSanitaryTerminalWASHHANDBASIN ]</t>
  </si>
  <si>
    <t>[ IfcSanitaryTerminalURINAL ]</t>
  </si>
  <si>
    <t>[ IfcSanitaryTerminalSINK ]</t>
  </si>
  <si>
    <t>[ IfcSanitaryTerminalTOILETPAN ]</t>
  </si>
  <si>
    <t>[ IfcSanitaryTerminalWCSEAT ]</t>
  </si>
  <si>
    <t>[ IfcSanitaryTerminalCISTERN ]</t>
  </si>
  <si>
    <t>[ IfcSpaceHeater ]</t>
  </si>
  <si>
    <t>[ IfcSpaceHeaterCONVECTOR ]</t>
  </si>
  <si>
    <t>[ IfcSpaceHeaterRADIATOR ]</t>
  </si>
  <si>
    <t>[ IfcElectricAppliance   ]</t>
  </si>
  <si>
    <t>[ IfcElectricAppliance FREESTANDINGWATERHEATER ]</t>
  </si>
  <si>
    <t>[ IfcElectricAppliance FREESTANDINGELECTRICHEATER ]</t>
  </si>
  <si>
    <t>[ IfcElectricAppliance FREESTANDINGWATERCOOLER ]</t>
  </si>
  <si>
    <t>[ IfcElectricAppliance FREESTANDINGFAN ]</t>
  </si>
  <si>
    <t>[ IfcElectricAppliance HANDDRYER ]</t>
  </si>
  <si>
    <t>[ IfcElectricAppliance ELECTRICCOOKER ]</t>
  </si>
  <si>
    <t>[ IfcElectricAppliance MICROWAVE ]</t>
  </si>
  <si>
    <t>[ IfcElectricAppliance FREEZER ]</t>
  </si>
  <si>
    <t>[ IfcElectricAppliance FRIDGE_FREEZER ]</t>
  </si>
  <si>
    <t>[ IfcElectricAppliance DISHWASHER ]</t>
  </si>
  <si>
    <t>[ IfcElectricAppliance KITCHENMACHINE ]</t>
  </si>
  <si>
    <t>[ IfcElectricAppliance REFRIGERATOR ]</t>
  </si>
  <si>
    <t>[ IfcElectricAppliance WASHINGMACHINE ]</t>
  </si>
  <si>
    <t>[ IfcElectricAppliance TUMBLEDRYER ]</t>
  </si>
  <si>
    <t>[ IfcElectricAppliance PHOTOCOPIER ]</t>
  </si>
  <si>
    <t>[ IfcElectricAppliance VENDINGMACHINE ]</t>
  </si>
  <si>
    <t>[ IfcAudioVisualAppliance  ]</t>
  </si>
  <si>
    <t>[ IfcAudioVisualAppliance AMPLIFIER ]</t>
  </si>
  <si>
    <t>[ IfcAudioVisualAppliance CAMERA ]</t>
  </si>
  <si>
    <t>[ IfcAudioVisualAppliance COMMUNICATIONTERMINAL ]</t>
  </si>
  <si>
    <t>[ IfcAudioVisualAppliance DISPLAY ]</t>
  </si>
  <si>
    <t>[ IfcAudioVisualAppliance MICROPHONE ]</t>
  </si>
  <si>
    <t>[ IfcAudioVisualAppliance PLAYER ]</t>
  </si>
  <si>
    <t>[ IfcAudioVisualAppliance PROJECTOR ]</t>
  </si>
  <si>
    <t>[ IfcAudioVisualAppliance RECEIVER ]</t>
  </si>
  <si>
    <t>[ IfcAudioVisualAppliance RECORDINGEQUIPMENT ]</t>
  </si>
  <si>
    <t>[ IfcAudioVisualAppliance SPEAKER ]</t>
  </si>
  <si>
    <t>[ IfcAudioVisualAppliance SWITCHER ]</t>
  </si>
  <si>
    <t>[ IfcAudioVisualAppliance TELEPHONE ]</t>
  </si>
  <si>
    <t>[ IfcAudioVisualAppliance TUNER ]</t>
  </si>
  <si>
    <t>[ IfcMedicalDevice ]</t>
  </si>
  <si>
    <t>[ IfcMedicalDeviceAIRSTATION ]</t>
  </si>
  <si>
    <t>[ IfcMedicalDeviceFEEDAIRUNIT ]</t>
  </si>
  <si>
    <t>[ IfcMedicalDeviceVACUUMSTATION ]</t>
  </si>
  <si>
    <t>[ IfcMedicalDeviceOXYGENGENERATOR ]</t>
  </si>
  <si>
    <t>[ IfcMedicalDeviceOXYGENPLANT ]</t>
  </si>
  <si>
    <t>[ IfcCommunicationsAppliance  ]</t>
  </si>
  <si>
    <t>[ IfcCommunicationsAppliance ANTENNA ]</t>
  </si>
  <si>
    <t>[ IfcCommunicationsAppliance AUTOMATON ]</t>
  </si>
  <si>
    <t>[ IfcCommunicationsAppliance COMPUTER ]</t>
  </si>
  <si>
    <t>[ IfcCommunicationsAppliance FAX ]</t>
  </si>
  <si>
    <t>[ IfcCommunicationsAppliance GATEWAY ]</t>
  </si>
  <si>
    <t>[ IfcCommunicationsAppliance INTELLIGENTPERIPHERAL ]</t>
  </si>
  <si>
    <t>[ IfcCommunicationsAppliance IPNETWORKEQUIPMENT ]</t>
  </si>
  <si>
    <t>[ IfcCommunicationsAppliance LINESIDEELECTRONICUNIT ]</t>
  </si>
  <si>
    <t>[ IfcCommunicationsAppliance MODEM ]</t>
  </si>
  <si>
    <t>[ IfcCommunicationsAppliance NETWORKAppliance  ]</t>
  </si>
  <si>
    <t>[ IfcCommunicationsAppliance NETWORKBRIDGE ]</t>
  </si>
  <si>
    <t>[ IfcCommunicationsAppliance NETWORKHUB ]</t>
  </si>
  <si>
    <t>[ IfcCommunicationsAppliance OPTICALLINETERMINAL ]</t>
  </si>
  <si>
    <t>[ IfcCommunicationsAppliance OPTICALNETWORKUNIT ]</t>
  </si>
  <si>
    <t>[ IfcCommunicationsAppliance PRINTER ]</t>
  </si>
  <si>
    <t>[ IfcCommunicationsAppliance RADIOBLOCKCENTER ]</t>
  </si>
  <si>
    <t>[ IfcCommunicationsAppliance REPEATER ]</t>
  </si>
  <si>
    <t>[ IfcCommunicationsAppliance ROUTER ]</t>
  </si>
  <si>
    <t>[ IfcCommunicationsAppliance SCANNER ]</t>
  </si>
  <si>
    <t>[ IfcCommunicationsAppliance TELECOMMAND ]</t>
  </si>
  <si>
    <t>[ IfcCommunicationsAppliance TELEPHONYEXCHANGE ]</t>
  </si>
  <si>
    <t>[ IfcCommunicationsAppliance TRANSITIONCOMPONENT ]</t>
  </si>
  <si>
    <t>[ IfcCommunicationsAppliance TRANSPONDER ]</t>
  </si>
  <si>
    <t>[ IfcCommunicationsAppliance TRANSPORTEQUIPMENT ]</t>
  </si>
  <si>
    <t>[ Mobile Telecommunications Appliance  ]</t>
  </si>
  <si>
    <t>[ Mobile Telecommunications Appliance ACCESSPOINT ]</t>
  </si>
  <si>
    <t>[ Mobile Telecommunications Appliance BASEBANDUNIT ]</t>
  </si>
  <si>
    <t>[ Mobile Telecommunications Appliance BASETRANSCEIVE ]</t>
  </si>
  <si>
    <t>[ Mobile Telecommunications Appliance E_UTRAN_NODE_B ]</t>
  </si>
  <si>
    <t>[ Mobile Telecommunications Appliance GATEWAY_GPRS_S ]</t>
  </si>
  <si>
    <t>[ Mobile Telecommunications Appliance MASTERUNIT ]</t>
  </si>
  <si>
    <t>[ Mobile Telecommunications Appliance MOBILESWITCHIN ]</t>
  </si>
  <si>
    <t>[ Mobile Telecommunications Appliance MSCSERVER ]</t>
  </si>
  <si>
    <t>[ Mobile Telecommunications Appliance PACKETCONTROLU ]</t>
  </si>
  <si>
    <t>[ Mobile Telecommunications Appliance REMOTERADIOUNI ]</t>
  </si>
  <si>
    <t>[ Mobile Telecommunications Appliance REMOTEUNIT ]</t>
  </si>
  <si>
    <t>[ Mobile Telecommunications Appliance SERVICE_GPRS_S ]</t>
  </si>
  <si>
    <t>[ Mobile Telecommunications Appliance SUBSCRIBERSERV ]</t>
  </si>
  <si>
    <t>[ IfcEngine ]</t>
  </si>
  <si>
    <t>[ IfcEngineEXTERNALCOMBUSTION ]</t>
  </si>
  <si>
    <t>[ IfcEngineINTERNALCOMBUSTION ]</t>
  </si>
  <si>
    <t>[ IfcMotorConnection ]</t>
  </si>
  <si>
    <t>[ IfcMotorConnectionBELTDRIVE ]</t>
  </si>
  <si>
    <t>[ IfcMotorConnectionCOUPLING ]</t>
  </si>
  <si>
    <t>[ IfcMotorConnectionDIRECTDRIVE ]</t>
  </si>
  <si>
    <t>[ IfcElectricMotor ]</t>
  </si>
  <si>
    <t>[ IfcElectricMotorDC ]</t>
  </si>
  <si>
    <t>[ IfcElectricMotorINDUCTION ]</t>
  </si>
  <si>
    <t>[ IfcElectricMotorPOLYPHASE ]</t>
  </si>
  <si>
    <t>[ IfcElectricMotorSYNCHRONOUS ]</t>
  </si>
  <si>
    <t>[ IfcElectricMotorRELUCTANCESYNCHRONOUS ]</t>
  </si>
  <si>
    <t>[ IfcPump ]</t>
  </si>
  <si>
    <t>[ IfcPumpCIRCULATOR ]</t>
  </si>
  <si>
    <t>[ IfcPumpENDSUCTION ]</t>
  </si>
  <si>
    <t>[ IfcPumpSPLITCASE ]</t>
  </si>
  <si>
    <t>[ IfcPumpSUBMERSIBLEPUMP ]</t>
  </si>
  <si>
    <t>[ IfcPumpSUMPPUMP ]</t>
  </si>
  <si>
    <t>[ IfcPumpVERTICALINLINE ]</t>
  </si>
  <si>
    <t>[ IfcPumpVERTICALTURBINE ]</t>
  </si>
  <si>
    <t>[ IfcSystemFurnitureElement ]</t>
  </si>
  <si>
    <t>[ IfcSystemFurnitureElementPANEL ]</t>
  </si>
  <si>
    <t>[ IfcSystemFurnitureElementSUBRACK ]</t>
  </si>
  <si>
    <t>[ IfcSystemFurnitureElementWORKSURFACE ]</t>
  </si>
  <si>
    <t>[ IfcFurniture ]</t>
  </si>
  <si>
    <t>[ IfcFurnitureBED ]</t>
  </si>
  <si>
    <t>[ IfcFurnitureCHAIR ]</t>
  </si>
  <si>
    <t>[ IfcFurnitureDESK ]</t>
  </si>
  <si>
    <t>[ IfcFurnitureSOFA ]</t>
  </si>
  <si>
    <t>[ IfcFurnitureTABLE ]</t>
  </si>
  <si>
    <t>[ IfcFurnitureFILECABINET ]</t>
  </si>
  <si>
    <t>[ IfcFurnitureTECHNICALCABINET ]</t>
  </si>
  <si>
    <t>[ IfcFurnitureSHELF ]</t>
  </si>
  <si>
    <t>[ IfcRoof ]</t>
  </si>
  <si>
    <t>[ IfcRoofBARREL_ROOF ]</t>
  </si>
  <si>
    <t>[ IfcRoofBUTTERFLY_ROOF ]</t>
  </si>
  <si>
    <t>[ IfcRoofDOME_ROOF ]</t>
  </si>
  <si>
    <t>[ IfcRoofFLAT_ROOF ]</t>
  </si>
  <si>
    <t>[ IfcRoofFREEFORM ]</t>
  </si>
  <si>
    <t>[ IfcRoofSHED_ROOF ]</t>
  </si>
  <si>
    <t>[ IfcRoofGABLE_ROOF ]</t>
  </si>
  <si>
    <t>[ IfcRoofHIP_ROOF ]</t>
  </si>
  <si>
    <t>[ IfcRoofHIPPED_GABLE_ROOF ]</t>
  </si>
  <si>
    <t>[ IfcRoofMANSARD_ROOF ]</t>
  </si>
  <si>
    <t>[ IfcRoofGAMBREL_ROOF ]</t>
  </si>
  <si>
    <t>[ IfcRoofPAVILION_ROOF ]</t>
  </si>
  <si>
    <t>[ IfcRoofRAINBOW_ROOF ]</t>
  </si>
  <si>
    <t>[ IfcLamp ]</t>
  </si>
  <si>
    <t>[ IfcLampCOMPACTFLUORESCENT ]</t>
  </si>
  <si>
    <t>[ IfcLampFLUORESCENT ]</t>
  </si>
  <si>
    <t>[ IfcLampHIGHPRESSUREMERCURY ]</t>
  </si>
  <si>
    <t>[ IfcLampHIGHPRESSURESODIUM ]</t>
  </si>
  <si>
    <t>[ IfcLampLED ]</t>
  </si>
  <si>
    <t>[ IfcLampOLED ]</t>
  </si>
  <si>
    <t>[ IfcLampHALOGEN ]</t>
  </si>
  <si>
    <t>[ IfcLampMETALHALIDE ]</t>
  </si>
  <si>
    <t>[ IfcLampTUNGSTENFILAMENT ]</t>
  </si>
  <si>
    <t>[ IfcLightFixtureDIRECTIONSOURCE ]</t>
  </si>
  <si>
    <t>[ IfcLightFixturePOINTSOURCE ]</t>
  </si>
  <si>
    <t>[ IfcLightFixtureSECURITYLIGHTING ]</t>
  </si>
  <si>
    <t>[ IfcSignal ]</t>
  </si>
  <si>
    <t>[ IfcOpeningElementRECESS ]</t>
  </si>
  <si>
    <t>[ IfcTransportElementELEVATOR ]</t>
  </si>
  <si>
    <t>[ IfcRamp ]</t>
  </si>
  <si>
    <t>[ IfcRampFlight ]</t>
  </si>
  <si>
    <t>[ IfcRampFlightSPIRAL ]</t>
  </si>
  <si>
    <t>[ IfcRampFlightSTRAIGHT ]</t>
  </si>
  <si>
    <t>[ IfcRampSPIRAL_RAMP ]</t>
  </si>
  <si>
    <t>[ IfcRampHALF_TURN_RAMP ]</t>
  </si>
  <si>
    <t>[ IfcRampTWO_QUARTER_TURN_RAMP ]</t>
  </si>
  <si>
    <t>[ IfcRampQUARTER_TURN_RAMP ]</t>
  </si>
  <si>
    <t>[ IfcRampSTRAIGHT_RUN_RAMP ]</t>
  </si>
  <si>
    <t>[ IfcRampTWO_STRAIGHT_RUN_RAMP ]</t>
  </si>
  <si>
    <t>[ IfcStair ]</t>
  </si>
  <si>
    <t>[ IfcStairFlight ]</t>
  </si>
  <si>
    <t>[ IfcStairFlightCURVED ]</t>
  </si>
  <si>
    <t>[ IfcStairFlightFREEFORM ]</t>
  </si>
  <si>
    <t>[ IfcStairFlightSPIRAL ]</t>
  </si>
  <si>
    <t>[ IfcStairFlightSTRAIGHT ]</t>
  </si>
  <si>
    <t>[ IfcStairFlightWINDER ]</t>
  </si>
  <si>
    <t>[ IfcStairLADDER ]</t>
  </si>
  <si>
    <t>[ IfcStairSPIRAL_STAIR ]</t>
  </si>
  <si>
    <t>[ IfcStairDOUBLE_RETURN_STAIR ]</t>
  </si>
  <si>
    <t>[ IfcStairHALF_TURN_STAIR ]</t>
  </si>
  <si>
    <t>[ IfcStairHALF_WINDING_STAIR ]</t>
  </si>
  <si>
    <t>[ IfcStairQUARTER_TURN_STAIR ]</t>
  </si>
  <si>
    <t>[ IfcStairQUARTER_WINDING_STAIR ]</t>
  </si>
  <si>
    <t>[ IfcStairTWO_QUARTER_TURN_STAIR ]</t>
  </si>
  <si>
    <t>[ IfcStairTWO_QUARTER_WINDING_STAIR ]</t>
  </si>
  <si>
    <t>[ IfcStairTHREE_QUARTER_TURN_STAIR ]</t>
  </si>
  <si>
    <t>[ IfcStairTHREE_QUARTER_WINDING_STAIR ]</t>
  </si>
  <si>
    <t>[ IfcStairSTRAIGHT_RUN_STAIR ]</t>
  </si>
  <si>
    <t>[ IfcStairTWO_STRAIGHT_RUN_STAIR ]</t>
  </si>
  <si>
    <t>[ IfcStairCURVED_RUN_STAIR ]</t>
  </si>
  <si>
    <t>[ IfcStairTWO_CURVED_RUN_STAIR ]</t>
  </si>
  <si>
    <t>[ IfcSensor ]</t>
  </si>
  <si>
    <t>[ IfcSensorCOSENSOR ]</t>
  </si>
  <si>
    <t>[ IfcSensorCO2SENSOR ]</t>
  </si>
  <si>
    <t>[ IfcSensorCONDUCTANCESENSOR ]</t>
  </si>
  <si>
    <t>[ IfcSensorCONTACTSENSOR ]</t>
  </si>
  <si>
    <t>[ IfcSensorEARTHQUAKESENSOR ]</t>
  </si>
  <si>
    <t>[ IfcSensorFIRESENSOR ]</t>
  </si>
  <si>
    <t>[ IfcSensorFLOWSENSOR ]</t>
  </si>
  <si>
    <t>[ IfcSensorFOREIGNOBJECTDETECTIONSENSOR ]</t>
  </si>
  <si>
    <t>[ IfcSensorFROSTSENSOR ]</t>
  </si>
  <si>
    <t>[ IfcSensorGASSENSOR ]</t>
  </si>
  <si>
    <t>[ IfcSensorHEATSENSOR ]</t>
  </si>
  <si>
    <t>[ IfcSensorHUMIDITYSENSOR ]</t>
  </si>
  <si>
    <t>[ IfcSensorIDENTIFIERSENSOR ]</t>
  </si>
  <si>
    <t>[ IfcSensorIONCONCENTRATIONSENSOR ]</t>
  </si>
  <si>
    <t>[ IfcSensorLEVELSENSOR ]</t>
  </si>
  <si>
    <t>[ IfcSensorLIGHTSENSOR ]</t>
  </si>
  <si>
    <t>[ IfcSensorMOISTURESENSOR ]</t>
  </si>
  <si>
    <t>[ IfcSensorMOVEMENTSENSOR ]</t>
  </si>
  <si>
    <t>[ IfcSensorOBSTACLESENSOR ]</t>
  </si>
  <si>
    <t>[ IfcSensorPHSENSOR ]</t>
  </si>
  <si>
    <t>[ IfcSensorPRESSURESENSOR ]</t>
  </si>
  <si>
    <t>[ IfcSensorRADIATIONSENSOR ]</t>
  </si>
  <si>
    <t>[ IfcSensorRADIOACTIVITYSENSOR ]</t>
  </si>
  <si>
    <t>[ IfcSensorRAINSENSOR ]</t>
  </si>
  <si>
    <t>[ IfcSensorSMOKESENSOR ]</t>
  </si>
  <si>
    <t>[ IfcSensorSNOWDEPTHSENSOR ]</t>
  </si>
  <si>
    <t>[ IfcSensorSOUNDSENSOR ]</t>
  </si>
  <si>
    <t>[ IfcSensorTEMPERATURESENSOR ]</t>
  </si>
  <si>
    <t>[ IfcSensorTRAINSENSOR ]</t>
  </si>
  <si>
    <t>[ IfcSensorTURNOUTCLOSURESENSOR ]</t>
  </si>
  <si>
    <t>[ IfcSensorWHEELSENSOR ]</t>
  </si>
  <si>
    <t>[ IfcSensorWINDSENSOR ]</t>
  </si>
  <si>
    <t>[ IfcOutlet ]</t>
  </si>
  <si>
    <t>[ IfcOutletPOWEROUTLET ]</t>
  </si>
  <si>
    <t>[ IfcPort ]</t>
  </si>
  <si>
    <t>[ IfcOutletCOMMUNICATIONSOUTLET ]</t>
  </si>
  <si>
    <t>[ IfcSwitchingDeviceSTARTER ]</t>
  </si>
  <si>
    <t>[ IfcSwitchingDeviceKEYPAD ]</t>
  </si>
  <si>
    <t>[ IfcSwitchingDeviceTOGGLESWITCH ]</t>
  </si>
  <si>
    <t>[ IfcSwitchingDeviceDIMMERSWITCH ]</t>
  </si>
  <si>
    <t>[ IfcSwitchingDeviceSWITCHDISCONNECTOR ]</t>
  </si>
  <si>
    <t>[ IfcSwitchingDeviceSTART_AND_STOP_EQUIPMENT ]</t>
  </si>
  <si>
    <t>[ IfcSwitchingDeviceMOMENTARYSWITCH ]</t>
  </si>
  <si>
    <t>[ IfcSwitchingDeviceEMERGENCYSTOP ]</t>
  </si>
  <si>
    <t>[ IfcSwitchingDeviceSELECTORSWITCH ]</t>
  </si>
  <si>
    <t>[ IfcSwitchingDeviceCONTACTOR ]</t>
  </si>
  <si>
    <t>[ IfcSwitchingDeviceRELAY ]</t>
  </si>
  <si>
    <t>[ IfcDistributionBoard ]</t>
  </si>
  <si>
    <t>[ IfcDistributionBoardCONSUMERUNIT ]</t>
  </si>
  <si>
    <t>[ IfcDistributionBoardDISTRIBUTIONBOARD ]</t>
  </si>
  <si>
    <t>[ IfcDistributionBoardSWITCHBOARD ]</t>
  </si>
  <si>
    <t>[ IfcDistributionBoardMOTORCONTROLCENTRE ]</t>
  </si>
  <si>
    <t>[ IfcOutletAUDIOVISUALOUTLET ]</t>
  </si>
  <si>
    <t>[ IfcOutletDATAOUTLET ]</t>
  </si>
  <si>
    <t>[ IfcOutletTELEPHONEOUTLET ]</t>
  </si>
  <si>
    <t>[ IfcDistributionBoardDISTRIBUTIONFRAME ]</t>
  </si>
  <si>
    <t>[ IfcDistributionBoardDISPATCHINGBOARD ]</t>
  </si>
  <si>
    <t>[ IfcElectricFlowStorageDevice ]</t>
  </si>
  <si>
    <t>[ IfcElectricFlowStorageDeviceBATTERY ]</t>
  </si>
  <si>
    <t>[ IfcElectricFlowStorageDeviceCAPACITOR ]</t>
  </si>
  <si>
    <t>[ IfcElectricFlowStorageDeviceCAPACITORBANK ]</t>
  </si>
  <si>
    <t>[ IfcElectricFlowStorageDeviceCOMPENSATOR ]</t>
  </si>
  <si>
    <t>[ IfcElectricFlowStorageDeviceHARMONICFILTER ]</t>
  </si>
  <si>
    <t>[ IfcElectricFlowStorageDeviceINDUCTOR ]</t>
  </si>
  <si>
    <t>[ IfcElectricFlowStorageDeviceINDUCTORBANK ]</t>
  </si>
  <si>
    <t>[ IfcElectricFlowStorageDeviceRECHARGER ]</t>
  </si>
  <si>
    <t>[ IfcElectricFlowStorageDeviceUPS ]</t>
  </si>
  <si>
    <t>[ IfcTank ]</t>
  </si>
  <si>
    <t>[ IfcTankBASIN ]</t>
  </si>
  <si>
    <t>[ IfcTankSTORAGE ]</t>
  </si>
  <si>
    <t>[ IfcTankBREAKPRESSURE ]</t>
  </si>
  <si>
    <t>[ IfcTankEXPANSION ]</t>
  </si>
  <si>
    <t>[ IfcTankFEEDANDEXPANSION ]</t>
  </si>
  <si>
    <t>[ IfcTankOILRETENTIONTRAY ]</t>
  </si>
  <si>
    <t>[ IfcTankPRESSUREVESSEL ]</t>
  </si>
  <si>
    <t>[ IfcTankVESSEL ]</t>
  </si>
  <si>
    <t>[ IfcFlowMeter ]</t>
  </si>
  <si>
    <t>[ IfcFlowMeterENERGYMETER ]</t>
  </si>
  <si>
    <t>[ IfcFlowMeterGASMETER ]</t>
  </si>
  <si>
    <t>[ IfcFlowMeterOILMETER ]</t>
  </si>
  <si>
    <t>[ IfcFlowMeterWATERMETER ]</t>
  </si>
  <si>
    <t>[ IfcSolarDevice ]</t>
  </si>
  <si>
    <t>[ IfcSolarDeviceSOLARCOLLECTOR ]</t>
  </si>
  <si>
    <t>[ IfcSolarDeviceSOLARPANEL ]</t>
  </si>
  <si>
    <t>[ 4A.07.10.01 ]</t>
  </si>
  <si>
    <t>[ 4A.01 ]</t>
  </si>
  <si>
    <t>[ OST_Levels : OST_LevelHeads ]</t>
  </si>
  <si>
    <t>[ OST_Rooms : OST_MEPSpaces ]</t>
  </si>
  <si>
    <t>[ OST_ZoneEquipment : OST_MEPSystemZone : OST_MEPZone ]</t>
  </si>
  <si>
    <t>[ OST_WallCoreLayer : OST_Parts ]</t>
  </si>
  <si>
    <t>[ OST_WallsSubstrate : OST_Parts  ]</t>
  </si>
  <si>
    <t>[ OST_WallsInsulation : OST_Parts  ]</t>
  </si>
  <si>
    <t>[ OST_FloorsSubstrate : OST_Parts  ]</t>
  </si>
  <si>
    <t>[ OST_FloorsInsulation : OST_Parts  ]</t>
  </si>
  <si>
    <t>[ OST_FloorsSubstrate : OST_WallsSubstrate : OST_CeilingsSubstrate : OST_Parts  ]</t>
  </si>
  <si>
    <t>[ OST_FloorsMembrane : OST_Parts  ]</t>
  </si>
  <si>
    <t>[ OST_FloorsFinish1 : OST_FloorsFinish2 : OST_Parts  ]</t>
  </si>
  <si>
    <t>[ OST_WallsFinish1 : OST_WallsFinish2 : OST_Parts  ]</t>
  </si>
  <si>
    <t>[ OST_CeilingsFinish1 : OST_CeilingsFinish2 : OST_Parts  ]</t>
  </si>
  <si>
    <t>[ OST_Curtain_Systems : OST_CurtainWallPanels ]</t>
  </si>
  <si>
    <t>[ OST_Curtain_Systems : OST_CurtainWallMullions ]</t>
  </si>
  <si>
    <t>[ OST_Curtain_Systems : OST_CurtainWallPanels :  OST_CurtainWallMullions ]</t>
  </si>
  <si>
    <t>[ OST_PlumbingFixtures : OST_PlumbingEquipment ]</t>
  </si>
  <si>
    <t>[ OST_CommunicationDevices : OST_DataDevices : OST_TelephoneDevices ]</t>
  </si>
  <si>
    <t>[ OST_ElectricalFixtures : OST_ElectricalConnector ]</t>
  </si>
  <si>
    <t>[ OST_LightingFixtures : OST_ElectricalConnector ]</t>
  </si>
  <si>
    <t>[ OST_ElectricalFixtures : OST_ElectricalConnector : OST_ElectricalPowerSource ]</t>
  </si>
  <si>
    <t>[ OST_DataDevices : OST_ElectricalConnector ]</t>
  </si>
  <si>
    <t>[ OST_DataDevices : OST_ElectricalConnector : OST_ElectricalPowerSource ]</t>
  </si>
  <si>
    <t>[ OST_FabricationContainment : OST_SpecialityEquipment  ]</t>
  </si>
  <si>
    <t>UFRJ</t>
  </si>
  <si>
    <t>UFRJ.CT</t>
  </si>
  <si>
    <t>Code used for identification.</t>
  </si>
  <si>
    <t>Floor defined in the early stages of the project. Level of detail, development or information 100.</t>
  </si>
  <si>
    <t>Walls defined in early stages of the project. Level of detail, development or information 100.</t>
  </si>
  <si>
    <t>A partition defined in the early stages of the project. Level of detail, development or information 100.</t>
  </si>
  <si>
    <t>Ceiling defined in the early stages of the project. Level of detail, development or information 100.</t>
  </si>
  <si>
    <t>Door. Level of detail, development or information 200.</t>
  </si>
  <si>
    <t>Window. Level of detail, development or information 200.</t>
  </si>
  <si>
    <t>Floor defined in the preliminary design or basic design stage. Level of detail, development or information 200.</t>
  </si>
  <si>
    <t>Walls defined in the preliminary design or basic design stage. Level of detail, development or information 200.</t>
  </si>
  <si>
    <t>Partition defined in the preliminary design or basic design stage. Level of detail, development or information 200.</t>
  </si>
  <si>
    <t>Ceiling defined in the preliminary design or basic design stage. Level of detail, development or information 200.</t>
  </si>
  <si>
    <t>It is the volumetric mass of the main block of the project.</t>
  </si>
  <si>
    <t>It is the volumetric mass of the secondary block of the project.</t>
  </si>
  <si>
    <t>It is the volumetric mass of an eccentric block of the main block of the project.</t>
  </si>
  <si>
    <t>Dough: shape of the dough.</t>
  </si>
  <si>
    <t>Dough: dough.</t>
  </si>
  <si>
    <t>Mass: zones.</t>
  </si>
  <si>
    <t>Mass: mass of subtraction.</t>
  </si>
  <si>
    <t>Mass: face divider.</t>
  </si>
  <si>
    <t>Dough: cutting contours.</t>
  </si>
  <si>
    <t>Dough: floor.</t>
  </si>
  <si>
    <t>Mass: all floors.</t>
  </si>
  <si>
    <t>Mass: external wall.</t>
  </si>
  <si>
    <t>Mass: external wall basements.</t>
  </si>
  <si>
    <t>Dough: glazed.</t>
  </si>
  <si>
    <t>Mass: all glazing.</t>
  </si>
  <si>
    <t>Mass: the interior walls.</t>
  </si>
  <si>
    <t>Dough: all walls.</t>
  </si>
  <si>
    <t>Dough: openings.</t>
  </si>
  <si>
    <t>Mass: slabs.</t>
  </si>
  <si>
    <t>Dough: roofs.</t>
  </si>
  <si>
    <t>Dough: brises.</t>
  </si>
  <si>
    <t>Dough: skylights.</t>
  </si>
  <si>
    <t>Floor of the building.</t>
  </si>
  <si>
    <t>Floor building type.</t>
  </si>
  <si>
    <t>Single floor of the building. Floors that are not typical and are custom-designed.</t>
  </si>
  <si>
    <t>Single floor of the building. Floors that are not typical.</t>
  </si>
  <si>
    <t>Single floor of the building. In buildings that have concert halls, it is the floor that contains the stage or projection screen.</t>
  </si>
  <si>
    <t>Single floor of the building. It identifies the floor that stands out for its double height or some characteristic that makes it unique.</t>
  </si>
  <si>
    <t>Technical floor of the building.</t>
  </si>
  <si>
    <t>Lower partial floor introduced at the ceiling height of one floor, with access only from the interior of the enclosure.</t>
  </si>
  <si>
    <t>Access floor to the building.</t>
  </si>
  <si>
    <t>Basement floor of the building.</t>
  </si>
  <si>
    <t>Horizontal plane of the building's foundation blocks.</t>
  </si>
  <si>
    <t>Horizontal plane of the foundation piles of the building.</t>
  </si>
  <si>
    <t>Template that defines the level of the upper layer of groundwater.</t>
  </si>
  <si>
    <t>Depth template. It can be used to set the upper elevation of an underground project, such as subway line or urban special installations. Used as a depth penetration limit.</t>
  </si>
  <si>
    <t>Height gauge allowed to perform safe flights with UAS (drones). Established by ANAC (National Civil Aviation Agency). Especially in regions close to airports.</t>
  </si>
  <si>
    <t>Gauge that defines the level of a natural body of water such as the sea or maximum and minimum rising levels of rivers or ponds. Reference for projects in coastal or floodable areas.</t>
  </si>
  <si>
    <t>Maximum height gauge allowed for buildings in each urban area. Established by municipal laws of land use and occupation. It cannot be overtaken by the project.</t>
  </si>
  <si>
    <t>Design axes used for column location, symmetries, bodies, etc.</t>
  </si>
  <si>
    <t>Irregularly arranged design axes used for the location of columns, symmetries, bodies, etc.</t>
  </si>
  <si>
    <t>Radially arranged design axes used for location of columns, symmetries, bodies, etc.</t>
  </si>
  <si>
    <t>Regularly arranged design axes used for column location, symmetries, bodies, etc.</t>
  </si>
  <si>
    <t>Design axes arranged in an inclined or triangular manner used to locate columns, symmetries, bodies, etc.</t>
  </si>
  <si>
    <t>Elevation of the main façade of the project. Relative to the North of the Revit project.</t>
  </si>
  <si>
    <t>Elevation of the project's back façade. Relative to the North of the Revit project.</t>
  </si>
  <si>
    <t>Elevation of the right side façade of the project. Relative to the North of the Revit project.</t>
  </si>
  <si>
    <t>Elevation of the left side façade of the project. Relative to the North of the Revit project.</t>
  </si>
  <si>
    <t>Symbology: marker of views.</t>
  </si>
  <si>
    <t>Elevation of the façade oriented to the North. Relative to the True North or Solar of the Revit project.</t>
  </si>
  <si>
    <t>Elevation of the façade oriented to the south.  Relative to the True North or Solar of the Revit project.</t>
  </si>
  <si>
    <t>Elevation of the façade oriented to the East.  Relative to the True North or Solar of the Revit project.</t>
  </si>
  <si>
    <t>Elevation of the façade oriented to the west.  Relative to the True North or Solar of the Revit project.</t>
  </si>
  <si>
    <t>The external spatial element that defines external regions at the construction site.</t>
  </si>
  <si>
    <t>Outside air space around the building.</t>
  </si>
  <si>
    <t>Space occupied by a neighboring building.</t>
  </si>
  <si>
    <t>External volume covered with water around the building.</t>
  </si>
  <si>
    <t>Space outside a facility.</t>
  </si>
  <si>
    <t>Dedicated space for use as a vehicle parking space, including access.</t>
  </si>
  <si>
    <t>Gross floor area - a specific type of space for each building floor.</t>
  </si>
  <si>
    <t>Low Biohazard Laboratory. Basic microbiology practices. No special barriers.</t>
  </si>
  <si>
    <t>Laboratory Moderate Biological Risk. Environment for primary barriers (PPE, sink, decontamination). Restricted access.</t>
  </si>
  <si>
    <t>High Biohazard Laboratory. Advanced containment environment (safety cabins, controlled ventilation, water showers). Strict access.</t>
  </si>
  <si>
    <t>Laboratory Very High Biohazard. Maximum containment environment (overalls with filtered air, chemical shower, isolated areas).</t>
  </si>
  <si>
    <t>Rooms with specialized acoustic treatment. Recording environment, anechoic chambers, reverberants, etc.</t>
  </si>
  <si>
    <t>Large theaters, cinemas, etc.</t>
  </si>
  <si>
    <t>Museum halls, exhibitions, etc.</t>
  </si>
  <si>
    <t>Environments with facilities for sports, etc.</t>
  </si>
  <si>
    <t>Male toilet type environment.</t>
  </si>
  <si>
    <t>Feminine toilet-type environment.</t>
  </si>
  <si>
    <t>Accessible sanitary environment for people with special needs (PNE).</t>
  </si>
  <si>
    <t>Undifferentiated sanitary environment.</t>
  </si>
  <si>
    <t>Administrative environments.</t>
  </si>
  <si>
    <t>Environment for production such as restaurant kitchens, workshops, etc.</t>
  </si>
  <si>
    <t>Space dedicated to the anchoring of vessels within a port or managed area.</t>
  </si>
  <si>
    <t>Space within a facility.</t>
  </si>
  <si>
    <t>Any space that does not fall into another category.</t>
  </si>
  <si>
    <t>Social residential environment - Rooms, Balconies, Reception spaces, etc.</t>
  </si>
  <si>
    <t>Intimate residential environment - Bedrooms, Dressing rooms, etc.</t>
  </si>
  <si>
    <t>Residential hygienic environment - Bathrooms, toilets, etc.</t>
  </si>
  <si>
    <t>Residential service environment - Areas, Kitchens, etc.</t>
  </si>
  <si>
    <t>Hospital consultation environment.</t>
  </si>
  <si>
    <t>Surgical hospital environment.</t>
  </si>
  <si>
    <t>Hospital triage environment.</t>
  </si>
  <si>
    <t>School environment like a general classroom.</t>
  </si>
  <si>
    <t>School environment like an art classroom (plastic, music, etc.).</t>
  </si>
  <si>
    <t>School environment science class laboratories.</t>
  </si>
  <si>
    <t>School environment, computer labs.</t>
  </si>
  <si>
    <t>Environment prepared for ticket sales.</t>
  </si>
  <si>
    <t>Entrance hall, where the audience waits before the show or during breaks in the show.</t>
  </si>
  <si>
    <t>Mandatory driving environment prepared for escape in the event of an accident.</t>
  </si>
  <si>
    <t>Environment for the preparation of artists.</t>
  </si>
  <si>
    <t>Front of the stage, close to the audience. It integrates architecturally into the scene, fulfilling aesthetic and acoustic functions, also called the stage mouth.</t>
  </si>
  <si>
    <t>Space exposed to spectators, where the actors perform. It can be elevated, flat, swivel, Italian, arena, among other formats.</t>
  </si>
  <si>
    <t>Hidden space and back to the stage, behind the artists' performance area. It can house several scenographic, technical and functional elements to the piece.</t>
  </si>
  <si>
    <t>Side spaces of the stage, used for the entry and exit of the artists.</t>
  </si>
  <si>
    <t>Space between the audience and the stage, usually below the stage, to accommodate the orchestra during a musical or dance performance.</t>
  </si>
  <si>
    <t>Space at stage level, where the audience sits with a view of the front of the stage.</t>
  </si>
  <si>
    <t>Space integrated to the audience, but at an upper level where the audience is accommodated with a frontal view of the stage.</t>
  </si>
  <si>
    <t>Space integrated into the concert hall, usually reserved and with better visibility and comfort.</t>
  </si>
  <si>
    <t>Superior spaces to accommodate the public at more affordable prices.</t>
  </si>
  <si>
    <t>A residential unit.</t>
  </si>
  <si>
    <t>It represents a built body that contains other autonomous units.</t>
  </si>
  <si>
    <t>An Organ of the Federal Administration.</t>
  </si>
  <si>
    <t>An academic division such as POLI, COPPE, IVIG, etc...</t>
  </si>
  <si>
    <t>An academic division like Environmental Engineering, Electrical, etc...</t>
  </si>
  <si>
    <t>A Department like DEG, DES, DRHIMA. etc...</t>
  </si>
  <si>
    <t>A Graduate Program such as PEU, PEA, etc...</t>
  </si>
  <si>
    <t>Spatial zone is a non-hierarchical and potentially overlapping decomposition of the project under some condition.</t>
  </si>
  <si>
    <t>Space zone is used to represent a construction zone for the manufacturing process.</t>
  </si>
  <si>
    <t>Spatial zone is used to define an interference between occurrences of Ifcspatialelement.</t>
  </si>
  <si>
    <t>Spatial zone is used to represent a particular zone of occupation.</t>
  </si>
  <si>
    <t>A spatial zone that represents some type of reserve within the project for future use.</t>
  </si>
  <si>
    <t>Spatial zone is used to represent an area primarily dedicated to the circulation of people or vehicles.</t>
  </si>
  <si>
    <t>Space zone is used to represent a thermal zone with homogeneous characteristics.</t>
  </si>
  <si>
    <t>Spatial zone is used to represent a lighting zone; a natural light zone.</t>
  </si>
  <si>
    <t>Spatial zone is used to represent a ventilation zone.</t>
  </si>
  <si>
    <t>Space zone is used to represent a fire safety zone, or compartment.</t>
  </si>
  <si>
    <t>Spatial zone is used to represent a zone for planning safety and work, accesses, etc.</t>
  </si>
  <si>
    <t>Space zone is used to represent a biosecurity zone, typically where ventilation is critical.</t>
  </si>
  <si>
    <t>Solid high performance precast concrete panel.</t>
  </si>
  <si>
    <t>Precast honeycomb prestressed concrete panel.</t>
  </si>
  <si>
    <t>Structural walls molded in situ of reinforced concrete.</t>
  </si>
  <si>
    <t>Autoclaved aerated concrete (CCA) blocks. Thermal and acoustic insulation for sealing walls.</t>
  </si>
  <si>
    <t>Structural concrete blocks.</t>
  </si>
  <si>
    <t>Concrete blocks for sealing.</t>
  </si>
  <si>
    <t>Solid plaster blocks for non-load-bearing internal walls. Speed of execution and obtaining a clean and smooth wall.</t>
  </si>
  <si>
    <t>Hollow plaster blocks for non-load-bearing internal walls. Speed of execution and obtaining a clean and smooth wall.</t>
  </si>
  <si>
    <t>Communal Ceramic Brick Blocks According to NBR 15270-1 Standard.</t>
  </si>
  <si>
    <t>Solid ceramic brick blocks for exposed masonry.</t>
  </si>
  <si>
    <t>Refractory ceramic blocks for ovens, fireplaces or exposure to fire.</t>
  </si>
  <si>
    <t>Blocks of perforated soil-cement brick pressed in hydraulic press, with vertical groove type tongue and groove, no laying mortar required. Called 'Tijolito', it was developed by Andrade Gutierrez and prof. João B. Santos de Assis from PUC Minas.</t>
  </si>
  <si>
    <t>Ceramic brick blocks drilled and grooved on the surfaces. Also called Bahian brick. According to NBR 15270-1 Standard.</t>
  </si>
  <si>
    <t>Ceramic channel J for construction of straps and finishing the edge of the slab.</t>
  </si>
  <si>
    <t>Ceramic U channel for construction of lintels and counterlintels in wall openings.</t>
  </si>
  <si>
    <t>Hollow brick block for facades or interiors. They can be rustic or glazed. The name 'Cobogó' refers to its creators Coimbra, Boeckmann and Góis.</t>
  </si>
  <si>
    <t>Glass brick block for facades or interiors.</t>
  </si>
  <si>
    <t>Mortar for laying bricks and blocks.</t>
  </si>
  <si>
    <t>Mortar to glue ceramic or porcelain tiles to walls.</t>
  </si>
  <si>
    <t>Polymeric mortar for insulation layers.</t>
  </si>
  <si>
    <t>Mortar used for radiological protection. Use on walls of radiotherapy, radiology, nuclear medicine rooms of health centers.</t>
  </si>
  <si>
    <t>Mortar to glue ceramic or porcelain pieces on floors.</t>
  </si>
  <si>
    <t>Mortar used for radiological protection. Use on floors of radiotherapy, radiology, nuclear medicine rooms of health centers.</t>
  </si>
  <si>
    <t>Mortar for plastering the wall surface.</t>
  </si>
  <si>
    <t>Mortar for final plaster of the wall.</t>
  </si>
  <si>
    <t>Mortar for the subfloors.</t>
  </si>
  <si>
    <t>Grouting mortar for filling cavities in structures.</t>
  </si>
  <si>
    <t>Adhesive specially formulated for wood.</t>
  </si>
  <si>
    <t>Adhesive specially formulated for metals.</t>
  </si>
  <si>
    <t>Adhesive specially formulated for textiles.</t>
  </si>
  <si>
    <t>Adhesive specially formulated for foams.</t>
  </si>
  <si>
    <t>Adhesive specially formulated for dishes.</t>
  </si>
  <si>
    <t>Air cavity layer on the wall for thermal purpose.</t>
  </si>
  <si>
    <t>Air cavity layer on the wall for acoustic purpose.</t>
  </si>
  <si>
    <t>Continuous membrane layer type acoustic insulating blanket.</t>
  </si>
  <si>
    <t>Continuous membrane layer type water-repellent insulating blanket.</t>
  </si>
  <si>
    <t>Continuous membrane layer type thermal insulating blanket.</t>
  </si>
  <si>
    <t>Tactile alert accessible tread layer.</t>
  </si>
  <si>
    <t>Tactile directional accessible tread layer.</t>
  </si>
  <si>
    <t>High resistance asphalt floor layer of high resistance for vehicular traffic.</t>
  </si>
  <si>
    <t>Layer of high-strength concreted floor for vehicular traffic.</t>
  </si>
  <si>
    <t>High strength plate floor layer for vehicle support.</t>
  </si>
  <si>
    <t>Draining floor layer of high-strength concrete blocks for vehicular support.</t>
  </si>
  <si>
    <t>Interlocking floor layer for pedestrian sidewalks.</t>
  </si>
  <si>
    <t>Fulget-type draining floor layer for gardens, swimming pools and outdoors.</t>
  </si>
  <si>
    <t>Draining floor layer type hollow blocks to allow grass to grow between the pieces.</t>
  </si>
  <si>
    <t>Layer of paginated flooring in ceramic pieces.</t>
  </si>
  <si>
    <t>Layer of paginated floor in porcelain tiles.</t>
  </si>
  <si>
    <t>Wooden parquet floor layer.</t>
  </si>
  <si>
    <t>Vinyl flooring layer.</t>
  </si>
  <si>
    <t>Layer of natural stone flooring, such as granites, marbles, slates, etc.</t>
  </si>
  <si>
    <t>Silestone type synthetic stone tread layer,</t>
  </si>
  <si>
    <t>Raised floor layer for offices and data centers.</t>
  </si>
  <si>
    <t>Floor layer of translucent or transparent elements such as glass blocks or special glass.</t>
  </si>
  <si>
    <t>Floor layer of SAE 1045 high-strength carbon steel grating element and structural profiles.</t>
  </si>
  <si>
    <t>Skirting board for paginated floor in porcelain tiles.</t>
  </si>
  <si>
    <t>Baseboard for wooden parquet floor.</t>
  </si>
  <si>
    <t>Baseboard for vinyl floor.</t>
  </si>
  <si>
    <t>Skirting board for natural stone flooring, such as granites, marbles, slates, etc.</t>
  </si>
  <si>
    <t>Skirting board for synthetic stone floor type Silestone,</t>
  </si>
  <si>
    <t>Coating of ceramic pieces paginated on the wall.</t>
  </si>
  <si>
    <t>Coating of porcelain tiles paginated on the wall.</t>
  </si>
  <si>
    <t>Coating formed by tile pieces for impermeable surfaces such as bathrooms or hydraulic rooms.</t>
  </si>
  <si>
    <t>Coating formed by pieces of vitreous tiles for impermeable surfaces such as bathrooms or hydraulic rooms.</t>
  </si>
  <si>
    <t>Coating designed with wooden rulers, MDF, PVC, plaster or metallic material.</t>
  </si>
  <si>
    <t>Coating designed with plates with decorative, acoustic, thermal function, etc.</t>
  </si>
  <si>
    <t>Panel designed with decorative, acoustic, thermal function, etc.</t>
  </si>
  <si>
    <t>Coating for exterior walls in ventilated or directly applied systems. Composite aluminum (ACM) with high resistance to weathering, UV rays and corrosion.</t>
  </si>
  <si>
    <t>Coating for ventilated façade formed by pieces with a photocatalytic layer that decomposes organic materials facilitating their removal by rain (hydrophilicity).</t>
  </si>
  <si>
    <t>Floor layer of textile material such as carpets.</t>
  </si>
  <si>
    <t>Solid cemented floor layer.</t>
  </si>
  <si>
    <t>Layer of green floors of natural or artificial grass.</t>
  </si>
  <si>
    <t>Coats of base paint used to prepare the wall surface by sealing porosities.</t>
  </si>
  <si>
    <t>Coats of corrosion protection paint.</t>
  </si>
  <si>
    <t>Coat 1 of finishing paint of the coating, apply after the primer coats.</t>
  </si>
  <si>
    <t>Coat 2 of paint finishing the coating, apply after coat 1.</t>
  </si>
  <si>
    <t>Coat of paint finish, apply after coat 1 or 2 as needed.</t>
  </si>
  <si>
    <t>Plaster ceiling applied over the ceiling.</t>
  </si>
  <si>
    <t>Plasterboard lining.</t>
  </si>
  <si>
    <t>Lightweight modular lining of Styrofoam plates.</t>
  </si>
  <si>
    <t>Modular lining of bio-soluble mineral wool boards, clay, perlite and organic binders with good acoustic performance and fire resistance.</t>
  </si>
  <si>
    <t>Adhesive acoustic ceiling type acoustic foam board.</t>
  </si>
  <si>
    <t>Adhesive acoustic ceiling type plate with 3D pyramidal volumes and various shapes for sound absorption.</t>
  </si>
  <si>
    <t>Adhesive acoustic ceiling type plate with various shapes for sound absorption.</t>
  </si>
  <si>
    <t>Cylindrical baffle suspended acoustic ceiling for acoustic intelligibility control.</t>
  </si>
  <si>
    <t>Linear baffle suspended acoustic ceiling for acoustic intelligibility control.</t>
  </si>
  <si>
    <t>Suspended acoustic ceiling type square cloud for control of acoustic intelligibility.</t>
  </si>
  <si>
    <t>Cylindrical cloud-type suspended acoustic ceiling for acoustic intelligibility control.</t>
  </si>
  <si>
    <t>Suspended cloud-type acoustic ceiling with different geometries to control acoustic intelligibility.</t>
  </si>
  <si>
    <t>Sheet for partition formed by core, honeycomb and sheets made from eucalyptus fibers.</t>
  </si>
  <si>
    <t>Sheet for exterior walls in ventilated or directly applied systems. Composite aluminum (ACM) with high resistance to weathering, UV rays and corrosion.</t>
  </si>
  <si>
    <t>TS Structural Laminate Sheet (solid formica) for sanitary partitions.</t>
  </si>
  <si>
    <t>Sheet for exterior walls in ventilated or directly applied systems. Produced with Portland cement core with additives and faces covered by fiberglass mesh.</t>
  </si>
  <si>
    <t>Drywall sheet for dry construction.</t>
  </si>
  <si>
    <t>Marble or granite stone sheet for sanitary partitions.</t>
  </si>
  <si>
    <t>Tempered glass sheet.</t>
  </si>
  <si>
    <t>Laminated glass sheet.</t>
  </si>
  <si>
    <t>Polarized glass sheet. Changes transparency by passing voltage. Double laminated glass and with an intermediate LCD (Liquid Crystal Display) film.</t>
  </si>
  <si>
    <t>Low emissividad glass sheet. It reflects UV rays improving its thermal resistance capacity.</t>
  </si>
  <si>
    <t>Common glass plate.</t>
  </si>
  <si>
    <t>Lead glass sheet for protection against X-rays harmful to health. It has a high capacity to shield ionizing radiation.</t>
  </si>
  <si>
    <t>Screen-printed glass sheet that combines transparent and opaque areas for light and solar control.</t>
  </si>
  <si>
    <t>Z 275 galvanised steel metal profile (275 g/m²). Minimum thickness of 0.50 mm, produced in accordance with NBR 15217 standard. Used to reinforce 90º sharp corners.</t>
  </si>
  <si>
    <t>Z 275 galvanised steel metal profile (275 g/m²). Minimum thickness of 0.50 mm, produced in accordance with NBR 15217 standard. Used to structure the DryWall partition.</t>
  </si>
  <si>
    <t>Mounting screw for partition and ceiling systems.</t>
  </si>
  <si>
    <t>Bushing.</t>
  </si>
  <si>
    <t>Metal clamp type clamp.</t>
  </si>
  <si>
    <t>Metallic bracket type fixer.</t>
  </si>
  <si>
    <t>Metallic connector.</t>
  </si>
  <si>
    <t>External handle.</t>
  </si>
  <si>
    <t>Internal puller.</t>
  </si>
  <si>
    <t>Hook type hanger.</t>
  </si>
  <si>
    <t>Anti-theft hanger.</t>
  </si>
  <si>
    <t>Locks the door at several points simultaneously. Widely used in armored doors.</t>
  </si>
  <si>
    <t>Uses biometrics. It offers a high level of safety and practicality.</t>
  </si>
  <si>
    <t>Uses magnetic card.</t>
  </si>
  <si>
    <t>Uses key like a traditional lock.</t>
  </si>
  <si>
    <t>Lever type handle with latch.</t>
  </si>
  <si>
    <t>Lever type handle without latch.</t>
  </si>
  <si>
    <t>Spherical handle.</t>
  </si>
  <si>
    <t>Bar for emergency doors.</t>
  </si>
  <si>
    <t>Bar for support in toilets used to promote accessibility according to ABNT 9050 standard.</t>
  </si>
  <si>
    <t>Support bar in shower boxes with horizontal and vertical section used to promote accessibility according to ABNT 9050 standard.</t>
  </si>
  <si>
    <t>Bar for support in sanitary box for PNE in corner used to promote accessibility according to ABNT 9050 standard.</t>
  </si>
  <si>
    <t>Bar for support in toilets with horizontal section and inclined section used to promote accessibility according to ABNT 9050 standard.</t>
  </si>
  <si>
    <t>Bar for lateral support in toilets used to promote accessibility according to ABNT 9050 standard.</t>
  </si>
  <si>
    <t>Bar for lateral support with vertical reinforcement in toilets used to promote accessibility according to ABNT 9050 standard.</t>
  </si>
  <si>
    <t>Automatic self-closing hinges in special aluminium alloy.</t>
  </si>
  <si>
    <t>Ventilation element and open-span lighting without elements. You can create a window family that contains only the Opening element.</t>
  </si>
  <si>
    <t>Fixed window type ventilation and lighting element.</t>
  </si>
  <si>
    <t>Ventilation and lighting element type Opener window.</t>
  </si>
  <si>
    <t>Ventilation and lighting element type Sliding window.</t>
  </si>
  <si>
    <t>Ventilation and lighting element type Pivot window. It rotates around a vertical axis offset from the stop, with pins attached to the top and bottom of the sheet.</t>
  </si>
  <si>
    <t>Guillotine window type ventilation and lighting element.</t>
  </si>
  <si>
    <t>Maxim-Air type Window type ventilation and lighting element. The leaf slopes outwards by means of lateral articulated arms.</t>
  </si>
  <si>
    <t>Ventilation and lighting element type Tilting window. The leaf opens half to the inside and half to the outside.</t>
  </si>
  <si>
    <t>Ventilation and lighting element type Oscillobar window tilts its upper part to the interior of the room.</t>
  </si>
  <si>
    <t>Window-type ventilation and lighting element with rails and guides that allow the movement of two or more overlapping leaves.</t>
  </si>
  <si>
    <t>Venetian window has slanted fins that allow ventilation and a little light to enter. They allow constant aeration.</t>
  </si>
  <si>
    <t>Integral Window type ventilation and lighting element.</t>
  </si>
  <si>
    <t>Ventilation and lighting element positioned on the dome-type roof.</t>
  </si>
  <si>
    <t>Ventilation and lighting element positioned on the light tunnel roof.</t>
  </si>
  <si>
    <t>Ventilation and lighting element positioned on the pyramid-type roof.</t>
  </si>
  <si>
    <t>Complementary door element: Fixed grille.</t>
  </si>
  <si>
    <t>Complementary door element: Removable grille.</t>
  </si>
  <si>
    <t>Complementary door element: Fixed display.</t>
  </si>
  <si>
    <t>Complementary door element: Tilting display.</t>
  </si>
  <si>
    <t>Complementary door element: Sliding display.</t>
  </si>
  <si>
    <t>Complementary door element: Shielded sight glass for armored door.</t>
  </si>
  <si>
    <t>Non-specific aperture.</t>
  </si>
  <si>
    <t>Opening in a slab.</t>
  </si>
  <si>
    <t>Vertical shaft passages for all installations.</t>
  </si>
  <si>
    <t>Shaft-type vertical passages exclusive for electrical installations.</t>
  </si>
  <si>
    <t>Shaft-type vertical passages exclusively for hydraulic installations.</t>
  </si>
  <si>
    <t>Shaft vertical passages unique to HVAC installations</t>
  </si>
  <si>
    <t>Unique shaft vertical passages for data network installations.</t>
  </si>
  <si>
    <t>Portal type opening without door, a door family can be created without leaf and frame elements.</t>
  </si>
  <si>
    <t>Simple door.</t>
  </si>
  <si>
    <t>Double door. Always with the leaves of the same size.</t>
  </si>
  <si>
    <t>Asymmetrical double door. For example, a 40 cm sheet and an 80 cm sheet.</t>
  </si>
  <si>
    <t>Fire door. Used in vertical exhaust circulations.</t>
  </si>
  <si>
    <t>Venetian door has inclined fins that allow ventilation and a little light to enter. They allow constant aeration.</t>
  </si>
  <si>
    <t>Sliding door.</t>
  </si>
  <si>
    <t>Pivot door. It rotates around a vertical axis offset from the stop, with pins attached to the top and bottom of the sheet.</t>
  </si>
  <si>
    <t>Hinged door. Also known as shrimp. The hinge is with central hinges.</t>
  </si>
  <si>
    <t>Flag bearer.</t>
  </si>
  <si>
    <t>Revolving Door.</t>
  </si>
  <si>
    <t>Refrigerator door. Used in cold chambers.</t>
  </si>
  <si>
    <t>Biological Door. Used in laboratories with biological control or clean rooms.</t>
  </si>
  <si>
    <t>Armored Door. Used in security systems or with X-ray or Gamma shielding in hospital environments.</t>
  </si>
  <si>
    <t>Door with rails and guides that allow the movement of two or more overlapping leaves.</t>
  </si>
  <si>
    <t>Garage Gate or Parking Lot.</t>
  </si>
  <si>
    <t>Factory Sectional Gate, Industrial Shed or Stadium.</t>
  </si>
  <si>
    <t>Opening in the ceiling that allows electrical, hydraulic or air conditioning installations to be reached.</t>
  </si>
  <si>
    <t>Opening in the roof that allows an additional exhaust outlet to be reached.</t>
  </si>
  <si>
    <t>Sealed compartment for the passage of objects installed between two rooms (e.g., a clean room and a laboratory).</t>
  </si>
  <si>
    <t>Opening for food to pass between an industrial kitchen and a restaurant.</t>
  </si>
  <si>
    <t>Shutter-type shading element with adjustable horizontal slats to admit light and air.</t>
  </si>
  <si>
    <t>Horizontal internal louver-type shading element.</t>
  </si>
  <si>
    <t>Vertical internal louver type shading element.</t>
  </si>
  <si>
    <t>Shading element type Covering of canvas or other material that extends over a door, from the top of a window.</t>
  </si>
  <si>
    <t>Brise-type shading element of movable blades to block solar radiation that falls vertically, as happens in the Southern Hemisphere on north-facing facades.</t>
  </si>
  <si>
    <t>Brise-type shading element of movable blades to block solar radiation that falls laterally, as happens in the Southern Hemisphere on East-West oriented facades.</t>
  </si>
  <si>
    <t>Brise-type shading element of fixed blades to block solar radiation that falls vertically, as happens in the Southern hemisphere on north-facing facades.</t>
  </si>
  <si>
    <t>Brise-like shading element of fixed blades to block solar radiation that falls laterally, as happens in the Southern Hemisphere on East-West oriented facades.</t>
  </si>
  <si>
    <t>Brise-type shading element of fixed perforated plates to block solar radiation that falls vertically, as happens in the Southern hemisphere on north-facing facades.</t>
  </si>
  <si>
    <t>Brise-type shading element of fixed perforated plates to block solar radiation that falls laterally, as happens in the Southern Hemisphere on East-West oriented facades.</t>
  </si>
  <si>
    <t>Shading element type Mechanical device that limits the passage of light.</t>
  </si>
  <si>
    <t>Stair railing or balconies.</t>
  </si>
  <si>
    <t>Railing of the stairs or projection balconies.</t>
  </si>
  <si>
    <t>Baluster railing.</t>
  </si>
  <si>
    <t>Handrail railing.</t>
  </si>
  <si>
    <t>Railings for stairs, ramps and balconies.</t>
  </si>
  <si>
    <t>Railings for stairs, ramps and balconies: baluster.</t>
  </si>
  <si>
    <t>Railings for stairs, ramps and balconies: handrails.</t>
  </si>
  <si>
    <t>Railings for stairs, ramps and balconies: upper handrails.</t>
  </si>
  <si>
    <t>Railings for stairs, ramps and balconies: top cut.</t>
  </si>
  <si>
    <t>Railings for stairs, ramps and balconies: handrail support.</t>
  </si>
  <si>
    <t>Railings for stairs, ramps and balconies: termination of the handrail.</t>
  </si>
  <si>
    <t>Railings for stairs, ramps and balconies: handrail system.</t>
  </si>
  <si>
    <t>Railings for stairs, ramps and balconies: baluster system.</t>
  </si>
  <si>
    <t>Railings for stairs, ramps and balconies: handrail clamp.</t>
  </si>
  <si>
    <t>Railings for stairs, ramps and balconies: handrail accessory.</t>
  </si>
  <si>
    <t>Railings for stairs, ramps and balconies: handrail panel.</t>
  </si>
  <si>
    <t>Railings for stairs, ramps and balconies: handrail post.</t>
  </si>
  <si>
    <t>Railings for stairs, ramps and balconies: railing rail.</t>
  </si>
  <si>
    <t>Railings for stairs, ramps and balconies: handrail segment.</t>
  </si>
  <si>
    <t>Railings of stairs, ramps and balconies: transition of the handrail.</t>
  </si>
  <si>
    <t>Device that signals the existence of a condition or situation of danger.</t>
  </si>
  <si>
    <t>Audible alarm.</t>
  </si>
  <si>
    <t>Alarm activation mechanism in which a protective glass needs to be broken to allow the button to be pressed.</t>
  </si>
  <si>
    <t>Visual light alarm.</t>
  </si>
  <si>
    <t>Alarm activation mechanism in which activation occurs by a pulling action.</t>
  </si>
  <si>
    <t>Electrical contact placed between the tracks (on the four-foot path) to provide warnings at the railroad site.</t>
  </si>
  <si>
    <t>A coin-sized device that is used as a high warning signal to train train drivers.</t>
  </si>
  <si>
    <t>Audible alarm produced by a siren.</t>
  </si>
  <si>
    <t>Audible alarm produced by a whistle.</t>
  </si>
  <si>
    <t>Fire suppression terminal has the purpose of providing a fluid (gas or liquid) that will suppress.</t>
  </si>
  <si>
    <t>Symmetrical pipe connection that joins two or more inlets into a single pipe.</t>
  </si>
  <si>
    <t>Support structure on which a hose can be wound.</t>
  </si>
  <si>
    <t>Fire monitor.</t>
  </si>
  <si>
    <t>A device, installed in a pipe, through which a temporary supply of water can be supplied.</t>
  </si>
  <si>
    <t>A device for spraying water from a pipe under pressure over an area.</t>
  </si>
  <si>
    <t>Device connected to a sprinkler to divert the flow of water in a propagation pattern to cover what is needed.</t>
  </si>
  <si>
    <t>Protection device interrupts an electrical circuit when an electric current declared.</t>
  </si>
  <si>
    <t>Protective device tripping unit interrupts an electrical circuit in a separate interrupting unit.</t>
  </si>
  <si>
    <t>Anti-arc device is a piece of equipment that prevents electric arcing.</t>
  </si>
  <si>
    <t>A mechanical switching device capable of making, transporting and interrupting currents under normal circulation.</t>
  </si>
  <si>
    <t>A safety device used to open or close a circuit when there is no current.</t>
  </si>
  <si>
    <t>A device that will electrically open the circuit after a period of abnormal and prolonged current flow.</t>
  </si>
  <si>
    <t>A device that opens, closes, or isolates a circuit and has short-circuit protection.</t>
  </si>
  <si>
    <t>A device that opens, closes, or isolates a circuit and has short-circuit and overload protection.</t>
  </si>
  <si>
    <t>A device that opens, closes, or isolates a circuit and has no protection against short circuit or overload.</t>
  </si>
  <si>
    <t>Trigger unit activated by residual current detection.</t>
  </si>
  <si>
    <t>A spark gap is a device used to connect a circuit to earth in the event of a fault in live circuits.</t>
  </si>
  <si>
    <t>High voltage surge protection device.</t>
  </si>
  <si>
    <t>Voltage limiter is a piece of equipment that prevents voltage overload.</t>
  </si>
  <si>
    <t>Trigger unit activated by electromagnetic action.</t>
  </si>
  <si>
    <t>Trigger unit activated by electronic action.</t>
  </si>
  <si>
    <t>Thermal-activated trigger unit.</t>
  </si>
  <si>
    <t>High interior wall molded In Loco with formwork in moldable materials.</t>
  </si>
  <si>
    <t>Low interior wall moulded In Loco with mouldable moulding moulds.</t>
  </si>
  <si>
    <t>High exterior wall molded In Loco with moldable molds.</t>
  </si>
  <si>
    <t>Low exterior wall moulded In Loco with mouldable moulding moulds.</t>
  </si>
  <si>
    <t>Tall interior walls (floor-ceiling) raised by overlapping unitary elements such as blocks or bricks.</t>
  </si>
  <si>
    <t>Low wall-like interior walls raised by overlapping unitary elements such as blocks or bricks.</t>
  </si>
  <si>
    <t>High exterior walls like boundary wall of unitary elements such as blocks or bricks.</t>
  </si>
  <si>
    <t>Low wall-like exterior walls raised by the overlapping of unitary elements such as blocks or bricks.</t>
  </si>
  <si>
    <t>DryWall type partition.</t>
  </si>
  <si>
    <t>DryWall partition reinforced with acoustic sheets and glass wool insulation.</t>
  </si>
  <si>
    <t>Glass partition.</t>
  </si>
  <si>
    <t>Plaster partition.</t>
  </si>
  <si>
    <t>Light naval type partition with plates of 1.20 x 2.10 m and thickness of 3.5 cm.</t>
  </si>
  <si>
    <t>TS structural laminate board partition for sanitary boxes.</t>
  </si>
  <si>
    <t>Granilite plate divider for sanitary boxes.</t>
  </si>
  <si>
    <t>Acoustic fixed mounted partition</t>
  </si>
  <si>
    <t>Blind fixed mounted partition</t>
  </si>
  <si>
    <t>Fixed mounted partition with display</t>
  </si>
  <si>
    <t>Sliding hinged mounted partition</t>
  </si>
  <si>
    <t>Retractable hinged mounted partition</t>
  </si>
  <si>
    <t>Folding hinged mounted partition</t>
  </si>
  <si>
    <t>Pivoting hinged mounted partition</t>
  </si>
  <si>
    <t>High strength structural steel flat bar grating.</t>
  </si>
  <si>
    <t>Galvanized steel wire grating.</t>
  </si>
  <si>
    <t>Bench support for sanitary equipment.</t>
  </si>
  <si>
    <t>Support bench for kitchen and pantry equipment.</t>
  </si>
  <si>
    <t>Bench support for bar equipment.</t>
  </si>
  <si>
    <t>Support bench for simple laboratory equipment.</t>
  </si>
  <si>
    <t>Support bench for chemistry laboratory equipment that may require special drains and installations.</t>
  </si>
  <si>
    <t>Support bench for biological laboratory equipment that may require special facilities.</t>
  </si>
  <si>
    <t>Sanitary terminal is a fixed appliance or terminal usually supplied with water and used for drinking.</t>
  </si>
  <si>
    <t>Sanitary apparatus for immersion of the human body or parts of it.</t>
  </si>
  <si>
    <t>Sanitary terminal that provides a low-pressure jet of water for a specific purpose.</t>
  </si>
  <si>
    <t>Wastewater apparatus for flushing excretory organs while seated mounted on the toilet.</t>
  </si>
  <si>
    <t>A wastewater facility or appliance that emits a jet of water to wash the human body.</t>
  </si>
  <si>
    <t>Wastewater apparatus for washing the upper parts of the body.</t>
  </si>
  <si>
    <t>Ground apparatus that receives urine and directs it to a waste outlet.</t>
  </si>
  <si>
    <t>Wastewater apparatus for receiving, retaining or disposing of domestic, culinary, laboratory appliances.</t>
  </si>
  <si>
    <t>Soil apparatus for excrement disposal.</t>
  </si>
  <si>
    <t>Obsolete hinged seat that fits on top of a toilet pan (toilet).</t>
  </si>
  <si>
    <t>Water storage unit connected to a sanitary terminal equipped with a device, operated automatically.</t>
  </si>
  <si>
    <t>Space heaters use a combination of natural radiation and/or convection.</t>
  </si>
  <si>
    <t>Heat distribution unit that operates with air circulated by gravity.</t>
  </si>
  <si>
    <t>Heat distribution unit that operates with thermal radiation.</t>
  </si>
  <si>
    <t>Electrical appliance is a device intended for consumer use that is powered by electricity.</t>
  </si>
  <si>
    <t>Small local electrical appliance for water heating.</t>
  </si>
  <si>
    <t>Electrical appliance that is occasionally used to provide heat.</t>
  </si>
  <si>
    <t>Small local electrical appliance for water cooling.</t>
  </si>
  <si>
    <t>Electrical appliance occasionally used to provide ventilation.</t>
  </si>
  <si>
    <t>Electrical device whose main function is to dry hands.</t>
  </si>
  <si>
    <t>Electrical appliance that has the main function of cooking food (including oven, stove, grill).</t>
  </si>
  <si>
    <t>Electrical appliance that has the main function of cooking food using microwave.</t>
  </si>
  <si>
    <t>Electrical device whose main function is to store food at temperatures below free.</t>
  </si>
  <si>
    <t>Electrical appliance that combines the functions of a freezer and a refrigerator.</t>
  </si>
  <si>
    <t>Device whose main function is to wash dishes.</t>
  </si>
  <si>
    <t>Specialized appliance used in commercial kitchens, such as a stand mixer.</t>
  </si>
  <si>
    <t>Electrical appliance that has the main function of storing food at low temperature.</t>
  </si>
  <si>
    <t>Appliance whose primary function is to wash clothes.</t>
  </si>
  <si>
    <t>Electrical device that has the main function of drying clothes.</t>
  </si>
  <si>
    <t>Machine that has the primary function of reproducing printed material.</t>
  </si>
  <si>
    <t>Apparatus that stores and sells goods, including food, beverages, tickets, and goods of various kinds.</t>
  </si>
  <si>
    <t>An audio-visual device is a device that displays, captures, transmits, or receives audio or video.</t>
  </si>
  <si>
    <t>A device that receives an audio signal and amplifies it to be played through speakers.</t>
  </si>
  <si>
    <t>A device that records images, either as a still photograph or as moving images.</t>
  </si>
  <si>
    <t>Communication terminal is an audio communication device that is usually installed along transportation.</t>
  </si>
  <si>
    <t>An electronic device that represents information in visual form, such as a flat screen.</t>
  </si>
  <si>
    <t>An acoustic-to-electrical transducer or sensor that converts sound into an electrical signal.</t>
  </si>
  <si>
    <t>A device that plays audio and/or video content directly or to another device, with storage media.</t>
  </si>
  <si>
    <t>Device for projecting an image onto a screen.</t>
  </si>
  <si>
    <t>A device that receives audio and/or video signals, switches sources, and amplifies signals for playback.</t>
  </si>
  <si>
    <t>Recording equipment is a device that records phone calls or other types of audio data.</t>
  </si>
  <si>
    <t>Speaker, speaker, or speaker system.</t>
  </si>
  <si>
    <t>A device that receives audio and/or video signals, switches sources, and transmits signals.</t>
  </si>
  <si>
    <t>A telecommunications device used to transmit and receive sound and, optionally, video.</t>
  </si>
  <si>
    <t>Electronic receiver that detects, demodulates, and amplifies transmitted signals.</t>
  </si>
  <si>
    <t>Medical device is connected to medical piping system and operates on medical gases.</t>
  </si>
  <si>
    <t>Device that provides purified medical air, consisting of an overhead compressor.</t>
  </si>
  <si>
    <t>Device that powers an oxygen generator, consisting of an air compressor, air handling line.</t>
  </si>
  <si>
    <t>Device that provides suction, consisting of a vacuum pump and bacterial filtration line.</t>
  </si>
  <si>
    <t>A device that generates oxygen from the air.</t>
  </si>
  <si>
    <t>Device that combines a supply air unit, oxygen generator and backup cylinders.</t>
  </si>
  <si>
    <t>Device to call nursing.</t>
  </si>
  <si>
    <t>Communications device transmits and receives electronic or digital information such as data or sound.</t>
  </si>
  <si>
    <t>Transducer designed to transmit or receive electromagnetic waves.</t>
  </si>
  <si>
    <t>Artificial device of automatic action, whose behavior is governed gradually.</t>
  </si>
  <si>
    <t>Desktop computer, laptop, tablet or other type of computer that can be moved from one place.</t>
  </si>
  <si>
    <t>Machine that has the main function of transmitting a facsimile copy of printed material.</t>
  </si>
  <si>
    <t>Gateway connects multiple network segments with different protocols at all layers (layers 1-7).</t>
  </si>
  <si>
    <t>Smart peripheral is a device that offers a variety of specialized features.</t>
  </si>
  <si>
    <t>IP network equipment is a device that provides IP data transmission channel for telecommunications subsystems.</t>
  </si>
  <si>
    <t>The electronic line unit (leu) is the interface between the beacon and the interlock on the railroad.</t>
  </si>
  <si>
    <t>A modem (modulator-demodulator) is a device that modulates an analog carrier signal to encode.</t>
  </si>
  <si>
    <t>Network device performs a dedicated function, such as firewall protection, content filtering.</t>
  </si>
  <si>
    <t>Network bridging connects multiple network segments at the data link layer (layer 2) of OSI mode.</t>
  </si>
  <si>
    <t>Network Hub connects multiple network segments at the physical layer (layer 1) of the OSI model.</t>
  </si>
  <si>
    <t>Optical line terminal is a service provider endpoint of a passive or active optical network.</t>
  </si>
  <si>
    <t>Optical network unit is a kind of optical transmission network connection equipment.</t>
  </si>
  <si>
    <t>Machine that has the main function of printing text and/or graphics on paper or other media.</t>
  </si>
  <si>
    <t>Radio block center is a computing device that specializes in railways.</t>
  </si>
  <si>
    <t>A repeater is an electronic device that receives a signal and relays it at a higher level.</t>
  </si>
  <si>
    <t>A router is a network device whose software and hardware are usually adapted to routing tasks.</t>
  </si>
  <si>
    <t>Machine that has the main function of digitizing the content of the printed material and converting it.</t>
  </si>
  <si>
    <t>Command dispatch system to control and monitor the switches and circuit breakers or systems directly.</t>
  </si>
  <si>
    <t>Switchboard is a device that ensures the routing of phone calls and communications.</t>
  </si>
  <si>
    <t>Transition component is a smaller active device that converts electrical signals into optical signals.</t>
  </si>
  <si>
    <t>A device for communication, monitoring or control of signal reception.</t>
  </si>
  <si>
    <t>Transportation equipment is a network element responsible for providing transportation functionality.</t>
  </si>
  <si>
    <t>A mobile telecommunications device is a device that transmits, converts, amplifies, or receives signals.</t>
  </si>
  <si>
    <t>An access point is a device that allows wireless devices to connect to a wired network.</t>
  </si>
  <si>
    <t>A baseband unit is a component of a distributed base transceiver station.</t>
  </si>
  <si>
    <t>Base transceiver station (bts) is a network component that serves a cell.</t>
  </si>
  <si>
    <t>E-utran node b is a logical network component that serves one or more e-utran cells.</t>
  </si>
  <si>
    <t>The gateway gprs support node is a component of the gprs core network that extends gsm.</t>
  </si>
  <si>
    <t>A master unit is a component of a repeater for coupling base station signals.</t>
  </si>
  <si>
    <t>The mobile switching centre (MSC) is the interface between the radio system and the fixed switching system.</t>
  </si>
  <si>
    <t>The msc server primarily comprises the call control (CC) and mobility control portions of a mobile switch.</t>
  </si>
  <si>
    <t>Packet Control Unit performs some of the processing tasks of the base station controller for packets.</t>
  </si>
  <si>
    <t>A remote radio unit is a component of a distributed base transceiver station.</t>
  </si>
  <si>
    <t>Remote unit is a device used to amplify the signal of a base station.</t>
  </si>
  <si>
    <t>The service gprs support node (sgsn) is a component of the gprs core network.</t>
  </si>
  <si>
    <t>It is a database responsible for managing mobile subscribers.</t>
  </si>
  <si>
    <t>Engine is a device that converts fuel into mechanical energy through combustion.</t>
  </si>
  <si>
    <t>Combustion is external (steam, firewood).</t>
  </si>
  <si>
    <t>Combustion is internal (gasoline or diesel).</t>
  </si>
  <si>
    <t>Motor connection provides the means to connect a motor as a drive device to the driven device.</t>
  </si>
  <si>
    <t>Indirect connection made by means of a flexible and molded continuous loop.</t>
  </si>
  <si>
    <t>Indirect connection made through the viscosity of a fluid.</t>
  </si>
  <si>
    <t>Direct physical connection made between the motor and the driven device.</t>
  </si>
  <si>
    <t>Electric motor is a motor that is a machine for converting electrical energy into mechanical energy.</t>
  </si>
  <si>
    <t>Motor that uses direct current (DC) power generated or rectified.</t>
  </si>
  <si>
    <t>Alternating current motor in which the primary winding on a member (usually the stator).</t>
  </si>
  <si>
    <t>Two-phase or three-phase induction motor in which the windings, one for each phase, are evenly divided.</t>
  </si>
  <si>
    <t>Motor that operates at a constant speed until full load.</t>
  </si>
  <si>
    <t>Synchronous motor with a special rotor design that directly aligns the rotor with the rotating rotor.</t>
  </si>
  <si>
    <t>Pump is a device that transmits mechanical work to fluids or sludge to move them through.</t>
  </si>
  <si>
    <t>Circulation pump is a generic low-pressure, low-capacity pump.</t>
  </si>
  <si>
    <t>End suction pump, when mounted horizontally, has a single horizontal inlet on the side.</t>
  </si>
  <si>
    <t>Split pump, when mounted horizontally, has one inlet and outlet on each side.</t>
  </si>
  <si>
    <t>A pump designed to be immersed in a fluid, usually a collection tank.</t>
  </si>
  <si>
    <t>Pump designed to stay in wells or reservoirs for removal of accumulated water.</t>
  </si>
  <si>
    <t>In-line vertical pump has the pump and motor directly coupled to the pump body.</t>
  </si>
  <si>
    <t>Vertical turbine pump has a motor mounted vertically on the pump housing for; damp well.</t>
  </si>
  <si>
    <t>Furniture defines complete furniture, such as a table, desk, chair, or cabinet.</t>
  </si>
  <si>
    <t>Vertical panel used to divide workspaces.</t>
  </si>
  <si>
    <t>Subrack is a part of the technical cabinet that is used to store and assemble pluggable electrical subunits.</t>
  </si>
  <si>
    <t>Workstation workbench.</t>
  </si>
  <si>
    <t>Standard one person bed.</t>
  </si>
  <si>
    <t>Large bed for one person.</t>
  </si>
  <si>
    <t>Standard bed for double.</t>
  </si>
  <si>
    <t>Large bed for double.</t>
  </si>
  <si>
    <t>Furniture to seat a single person.</t>
  </si>
  <si>
    <t>Furniture with countertop and optional drawers for a single person.</t>
  </si>
  <si>
    <t>Furniture so that a person sits comfortably.</t>
  </si>
  <si>
    <t>Furniture so that two people sit comfortably.</t>
  </si>
  <si>
    <t>Furniture so that three people sit comfortably.</t>
  </si>
  <si>
    <t>Furniture with countertop for several people.</t>
  </si>
  <si>
    <t>Furniture with sliding drawers to store files.</t>
  </si>
  <si>
    <t>Technical cabinet is a piece of furniture to hold, display and protect technical appliances.</t>
  </si>
  <si>
    <t>Furniture to store books or other items.</t>
  </si>
  <si>
    <t>Chair for classroom.</t>
  </si>
  <si>
    <t>Drawing table.</t>
  </si>
  <si>
    <t>Computer table.</t>
  </si>
  <si>
    <t>Cabinet for models.</t>
  </si>
  <si>
    <t>Cabinet for books.</t>
  </si>
  <si>
    <t>Shelf for books.</t>
  </si>
  <si>
    <t>Hospital bed.</t>
  </si>
  <si>
    <t>Hospital stretcher.</t>
  </si>
  <si>
    <t>Patient chair.</t>
  </si>
  <si>
    <t>Patient armchair.</t>
  </si>
  <si>
    <t>Service table.</t>
  </si>
  <si>
    <t>Clothes closet.</t>
  </si>
  <si>
    <t>Medicine cabinet.</t>
  </si>
  <si>
    <t>Medicine shelf.</t>
  </si>
  <si>
    <t>Roof is the upper part of a building, which protects it against the effects of the weather.</t>
  </si>
  <si>
    <t>Ecological roof with drainage layers and rainwater catchers.</t>
  </si>
  <si>
    <t>Roof or ceiling with a semi-cylindrical shape.</t>
  </si>
  <si>
    <t>Hemispherical roof.</t>
  </si>
  <si>
    <t>Roof without slope or with only a slight slope to drain rainwater.</t>
  </si>
  <si>
    <t>Roof in free form.</t>
  </si>
  <si>
    <t>Roof with a single slope.</t>
  </si>
  <si>
    <t>Roof sloped downwards in two parts from a central ridge so as to form a gable at each end.</t>
  </si>
  <si>
    <t>Roof with sloping ends and sides that meet in a sloping projection.</t>
  </si>
  <si>
    <t>Roof with a hipped end truncating a gable.</t>
  </si>
  <si>
    <t>Roof with steeper bottom on each side and shallower top.</t>
  </si>
  <si>
    <t>Pyramidal hip roof.</t>
  </si>
  <si>
    <t>Gable roof in the shape of a wide Gothic arch, with convex and slightly sloping surfaces.</t>
  </si>
  <si>
    <t>Roofs: eaves finish.</t>
  </si>
  <si>
    <t>Roofs: inner lining of the eaves.</t>
  </si>
  <si>
    <t>Roofs: frame-type eaves rainwater gutter.</t>
  </si>
  <si>
    <t>Roofs: rainwater gutter of the American type eaves.</t>
  </si>
  <si>
    <t>Roofs: square type eaves rainwater gutter.</t>
  </si>
  <si>
    <t>Roofs: rainwater gutter from the roof to the corner.</t>
  </si>
  <si>
    <t>Roofs: openings.</t>
  </si>
  <si>
    <t>Roofs: interior edges.</t>
  </si>
  <si>
    <t>Roofs: projection.</t>
  </si>
  <si>
    <t>Roofs: core.</t>
  </si>
  <si>
    <t>Roofs: substrate.</t>
  </si>
  <si>
    <t>A lamp is an artificial light source, such as a lamp or tube.</t>
  </si>
  <si>
    <t>Fluorescent lamp with a compact form factor produced by tube shaping.</t>
  </si>
  <si>
    <t>A typically tubular discharge lamp in which most of the light is emitted by one or more layers.</t>
  </si>
  <si>
    <t>A discharge lamp in which most of the light is emitted by exciting mercury at high pressure.</t>
  </si>
  <si>
    <t>A discharge lamp in which most of the light is emitted by the excitation of sodium at high pressure.</t>
  </si>
  <si>
    <t>Solid-state Light Emitting Diode that uses light-emitting diodes as a light source.</t>
  </si>
  <si>
    <t>Solid-state Organic Light Emitting Diode that uses light-emitting diodes as a light source.</t>
  </si>
  <si>
    <t>Incandescent lamp in which a tungsten filament is sealed in a compact, filled transport envelope.</t>
  </si>
  <si>
    <t>A discharge lamp in which most of the light is emitted by the excitation of a metal halide. Used in public, industrial and sports lighting.</t>
  </si>
  <si>
    <t>A lamp that emits light by passing an electric current through a tungsten wire filament.</t>
  </si>
  <si>
    <t>A light fixture is a container designed for the use of one or more lamps.</t>
  </si>
  <si>
    <t>A luminaire that is considered to have a length or surface area from which it emits light.</t>
  </si>
  <si>
    <t>Luminaire considered to have a negligible area and that emits light with uniform intensity.</t>
  </si>
  <si>
    <t>A luminaire with the specific purpose of directing occupants in an emergency, as a signal.</t>
  </si>
  <si>
    <t>Light source for luminous flux distribution analysis.</t>
  </si>
  <si>
    <t>Directional line of light for analysis of luminous flux distribution.</t>
  </si>
  <si>
    <t>Visual information board.</t>
  </si>
  <si>
    <t>Totem with visual information.</t>
  </si>
  <si>
    <t>Wall cornice type frieze.</t>
  </si>
  <si>
    <t>Frieze type edge of protruding slab.</t>
  </si>
  <si>
    <t>Grooved notch type trim.</t>
  </si>
  <si>
    <t>Elevator is a mechanical equipment for a vertical circulation connection for people, vehicles or products.</t>
  </si>
  <si>
    <t>Load mount is a mechanical equipment for a vertical circulation connection for equipment or products.</t>
  </si>
  <si>
    <t>A ramp is an inclined walkway that provides a traffic link for people or vehicles. For ABNT NBR 9050 of accessibility the maximum longitudinal inclination of 8.33% (1:12) in new projects.</t>
  </si>
  <si>
    <t>Continuous straight stretch of ramp between two levels.</t>
  </si>
  <si>
    <t>Continuous curved section of ramp between two levels.</t>
  </si>
  <si>
    <t>Straight ramp throw.</t>
  </si>
  <si>
    <t>Ramp with circular or elliptical shape.</t>
  </si>
  <si>
    <t>Ramp making a 180° turn, consisting of two straight flights connected by a single resting landing.</t>
  </si>
  <si>
    <t>Ramp making a 180° turn, consisting of three straight flights connected by two rest landings.</t>
  </si>
  <si>
    <t>Ramp making a 90° turn, consisting of two straight flights connected by a resting landing.</t>
  </si>
  <si>
    <t>Straight ramp consisting of a single flight.</t>
  </si>
  <si>
    <t>Straight ramp composed of two straight flights aligned with an intermediate landing.</t>
  </si>
  <si>
    <t>Ramps: incomplete.</t>
  </si>
  <si>
    <t>Ramps: Side support.</t>
  </si>
  <si>
    <t>Ramps: side projection support cut out.</t>
  </si>
  <si>
    <t>Ramps: Up arrow.</t>
  </si>
  <si>
    <t>Ramps: downhill arrow.</t>
  </si>
  <si>
    <t>Ramps: Ascent text.</t>
  </si>
  <si>
    <t>Ramps: Downhill text.</t>
  </si>
  <si>
    <t>Ramps: Cut projection.</t>
  </si>
  <si>
    <t>A staircase is a vertical circulation that allows the occupants of a building to move to other floors by walking, without using elevators.</t>
  </si>
  <si>
    <t>Straight or curved flight of stairs includes components of a single 'run' of steps. includes steps and side beams, if any.</t>
  </si>
  <si>
    <t>Flight of stairs with curved travel line.</t>
  </si>
  <si>
    <t>Run of stairs with a free-form path line (and outer boundaries).</t>
  </si>
  <si>
    <t>Flight of stairs with circular or elliptical walking line.</t>
  </si>
  <si>
    <t>Flight of stairs with a straight line of travel.</t>
  </si>
  <si>
    <t>Flight of stairs with a path line including straight and curved sections.</t>
  </si>
  <si>
    <t>Sailor-type ladder, composed of a series of bars or steps between two vertical elements. It can have a roll cage.</t>
  </si>
  <si>
    <t>Circular staircase, often without landings.</t>
  </si>
  <si>
    <t>Staircase with a central straight flight that divides into two lateral flights at 90°.</t>
  </si>
  <si>
    <t>Staircase making a 180° turn, consisting of two straight flights connected by a half-space landing.</t>
  </si>
  <si>
    <t>Ladder consisting of a flight with a winding medium, which makes a 180° turn.</t>
  </si>
  <si>
    <t>Ladder of 2 straight flights connected by 1 flat landing.</t>
  </si>
  <si>
    <t>Ladder of 2 straight flights connected by 1 landing of compensated steps.</t>
  </si>
  <si>
    <t>Ladder of 3 straight flights connected by 2 flat landings.</t>
  </si>
  <si>
    <t>Staircase of 3 straight flights connected by 2 landings of completed steps.</t>
  </si>
  <si>
    <t>Ladder with 4 straight flights connected by 3 flat landings.</t>
  </si>
  <si>
    <t>Staircase with 4 straight flights connected by 3 levels of completed steps.</t>
  </si>
  <si>
    <t>Staircase of a straight flight between two floors.</t>
  </si>
  <si>
    <t>Staircase of two straight flights aligned with an intermediate landing.</t>
  </si>
  <si>
    <t>Curved staircase extending from one level.</t>
  </si>
  <si>
    <t>Curved staircase that extends from one level divided into two flights with intermediate landing.</t>
  </si>
  <si>
    <t>Multi-storey staircase.</t>
  </si>
  <si>
    <t>Ladder Interruption</t>
  </si>
  <si>
    <t>Ladder Interruption Projection</t>
  </si>
  <si>
    <t>Landing Ladder</t>
  </si>
  <si>
    <t>Naris Ladder</t>
  </si>
  <si>
    <t>Naris Projection Ladder</t>
  </si>
  <si>
    <t>Contour Staircase</t>
  </si>
  <si>
    <t>Stair Contour Projection</t>
  </si>
  <si>
    <t>Arrow Ladder</t>
  </si>
  <si>
    <t>Ladder Arrow Projection</t>
  </si>
  <si>
    <t>Stair Step Line</t>
  </si>
  <si>
    <t>Ladder Step Line Projection</t>
  </si>
  <si>
    <t>Ladder Throw</t>
  </si>
  <si>
    <t>Ladder Outline Limit</t>
  </si>
  <si>
    <t>Ladder Sketch Landing</t>
  </si>
  <si>
    <t>Ladder Sketch Path</t>
  </si>
  <si>
    <t>Stair Sketch Steps</t>
  </si>
  <si>
    <t>Stair Sketch Flights</t>
  </si>
  <si>
    <t>Ladder Support</t>
  </si>
  <si>
    <t>Ladder Side Support</t>
  </si>
  <si>
    <t>Ladder Support Projection</t>
  </si>
  <si>
    <t>Stair Steps</t>
  </si>
  <si>
    <t>Ladder Steps Numbering</t>
  </si>
  <si>
    <t>Ladder Arrow Climbs</t>
  </si>
  <si>
    <t>Text Ladder Climbs</t>
  </si>
  <si>
    <t>Ladder Arrow Descends</t>
  </si>
  <si>
    <t>Text Ladder Descends</t>
  </si>
  <si>
    <t>A sensor is a device that measures a physical quantity and converts it into a signal that can be read.</t>
  </si>
  <si>
    <t>A device that identifies or detects carbon monoxide.</t>
  </si>
  <si>
    <t>A device that identifies or detects carbon dioxide.</t>
  </si>
  <si>
    <t>A device that detects or detects electrical conductance.</t>
  </si>
  <si>
    <t>A device that senses or detects contact, such as to detect if a door is closed.</t>
  </si>
  <si>
    <t>A device that senses or detects the seismic wave and measures the seismic intensity in the event of an earthquake.</t>
  </si>
  <si>
    <t>Combined detector device (multi-criteria). It can detect the presence of heat, fire and smoke.</t>
  </si>
  <si>
    <t>A device that identifies or detects flow in a fluid.</t>
  </si>
  <si>
    <t>A device that senses or detects foreign objects that interfere with the power grid.</t>
  </si>
  <si>
    <t>Device that identifies or detects freezing in a window.</t>
  </si>
  <si>
    <t>Device that detects or detects gas concentration (other than CO2).</t>
  </si>
  <si>
    <t>A device that identifies or detects heat.</t>
  </si>
  <si>
    <t>Device that identifies or detects moisture.</t>
  </si>
  <si>
    <t>A device that reads a label, such as to gain access to a door or elevator.</t>
  </si>
  <si>
    <t>A device that senses or detects the concentration of ion, such as to measure the hardness of water.</t>
  </si>
  <si>
    <t>A device that senses or detects the fill level, such as for a tank.</t>
  </si>
  <si>
    <t>A device that identifies or detects light.</t>
  </si>
  <si>
    <t>Device that senses or detects moisture.</t>
  </si>
  <si>
    <t>A device that identifies or detects motion.</t>
  </si>
  <si>
    <t>Device that detects or detects any obstacles.</t>
  </si>
  <si>
    <t>Device that identifies or detects acidity.</t>
  </si>
  <si>
    <t>Device that senses or senses pressure.</t>
  </si>
  <si>
    <t>A device that senses or detects radiation.</t>
  </si>
  <si>
    <t>A device that senses or detects atomic decay.</t>
  </si>
  <si>
    <t>A device that perceives or collects information related to rainfall.</t>
  </si>
  <si>
    <t>Device that identifies or detects smoke.</t>
  </si>
  <si>
    <t>A device that perceives or measures the depth of accumulated snow.</t>
  </si>
  <si>
    <t>A device that identifies or detects sound.</t>
  </si>
  <si>
    <t>Device that identifies or detects temperature.</t>
  </si>
  <si>
    <t>A device that is placed at the rear end of the last car of a train acting on a fixed equipment.</t>
  </si>
  <si>
    <t>A device that detects or detects the position of a blade of an amv.</t>
  </si>
  <si>
    <t>A device that senses or detects the passage of a wheel.</t>
  </si>
  <si>
    <t>A device that perceives or senses the speed and direction of airflow.</t>
  </si>
  <si>
    <t>Socket is a device installed at a point to receive one or more inserted plugs.</t>
  </si>
  <si>
    <t>Built-in wall power outlet used for electrical devices.</t>
  </si>
  <si>
    <t>Wall mounted power outlet used for electrical devices.</t>
  </si>
  <si>
    <t>Port provides the means for an element to connect to other elements.</t>
  </si>
  <si>
    <t>Box of 3 Power outlets to install on subfloors or raised floors. 116 x 116 x 110 mm.</t>
  </si>
  <si>
    <t>Simple light switch. Activates a single lamp or set of lamps. It is the most common in homes.</t>
  </si>
  <si>
    <t>Dual light switch. It has two keys to control two different lamps or circuits.</t>
  </si>
  <si>
    <t>Triple light switch. It has three keys to control different lamps or circuits.</t>
  </si>
  <si>
    <t>Three-Way parallel light switch. Allows you to activate the same lamp from two different places, ideal for corridors and stairs.</t>
  </si>
  <si>
    <t>Four-Way Intermediate Light Switch. Used in conjunction with two parallel switches to control a three- or more-point lamp.</t>
  </si>
  <si>
    <t>Switch that allows you to adjust the intensity of the light.</t>
  </si>
  <si>
    <t>Touch trigger switch.</t>
  </si>
  <si>
    <t>Smart switch. It can be controlled by cell phone or virtual assistant, ideal for home automation.</t>
  </si>
  <si>
    <t>Timer switch. Turns off the light after a programmed time, useful for energy saving.</t>
  </si>
  <si>
    <t>Rope switch. Activated by a string, used in places such as bathrooms or closets.</t>
  </si>
  <si>
    <t>Card Switch. Common in hotels, it activates the energy in the room when inserting the card.</t>
  </si>
  <si>
    <t>Push button switch. Activates a piece of equipment.</t>
  </si>
  <si>
    <t>Pressure trigger switch. Activates a device while it is being pressed.</t>
  </si>
  <si>
    <t>Emergency stop switch. Turns off a machine.</t>
  </si>
  <si>
    <t>Contact switch. Controls the drive of electrical loads safely and efficiently in high-power systems. It is a type of rugged electromechanical relay that is designed to turn motors, heaters, industrial lighting, and other heavy equipment on and off.</t>
  </si>
  <si>
    <t>Relay switch. Controlling electrical circuits indirectly, allowing a small electric current to trigger or turn off a larger current. It acts as an electromechanical or electronic switch, widely used in home and industrial automation.</t>
  </si>
  <si>
    <t>QDL Distribution Board</t>
  </si>
  <si>
    <t>QDL Residential Switchboard</t>
  </si>
  <si>
    <t>QDF Power Frame</t>
  </si>
  <si>
    <t>QGBT Low Voltage General Switchboard</t>
  </si>
  <si>
    <t>CCM Motor Control Center</t>
  </si>
  <si>
    <t>Socket or connector used for connecting communication equipment.</t>
  </si>
  <si>
    <t>RJ45 data jack used to connect data communications equipment to networks.</t>
  </si>
  <si>
    <t>RJ11 socket used to connect telephone equipment.</t>
  </si>
  <si>
    <t>Overhead RJ11 socket used to connect telephone equipment.</t>
  </si>
  <si>
    <t>Port provides the means for a network element to connect to other network elements.</t>
  </si>
  <si>
    <t>RDT Telecom Distribution Rack</t>
  </si>
  <si>
    <t>RDA Rack Distribution Automation</t>
  </si>
  <si>
    <t>RDS Rack Distribution Servers</t>
  </si>
  <si>
    <t>PLC Programmable Logic Board</t>
  </si>
  <si>
    <t>HMI Human Machine Interface</t>
  </si>
  <si>
    <t>Box of 4 Power outlets and 4 RJ45 network outlets combined to install on subfloors. 158 x 252 x 50 mm.</t>
  </si>
  <si>
    <t>Junction box to install on subfloors, supported and screwed to the slab. 170 x 170 x 42 mm</t>
  </si>
  <si>
    <t>An electric flow storage device is a device in which electrical energy is stored.</t>
  </si>
  <si>
    <t>A device for storing energy in chemical form so that it can be released as electrical energy.</t>
  </si>
  <si>
    <t>A device that stores electrical charge when an external power supply is present.</t>
  </si>
  <si>
    <t>A device that stores electrical energy when an external power supply.</t>
  </si>
  <si>
    <t>A device that is used to fix or adjust the parameter of electrical energy, such as voltage or power loss.</t>
  </si>
  <si>
    <t>Device that constantly injects currents that correspond precisely to the designed harmonic components.</t>
  </si>
  <si>
    <t>A device used in circuits or power systems due to its inductance, acting as a component of electrical power.</t>
  </si>
  <si>
    <t>A device that stores electrical energy in a magnetic field using the electrical property of inductance.</t>
  </si>
  <si>
    <t>A battery charger is a device used to put power into a secondary or rechargeable cell.</t>
  </si>
  <si>
    <t>Device that provides an alternative source of power supply for a limited time in the event of a failure.</t>
  </si>
  <si>
    <t>A tank is a reservoir or a container where a fluid or gas is stored for later use.</t>
  </si>
  <si>
    <t>Open reservoir for containment of some input.</t>
  </si>
  <si>
    <t>A closed reservoir used to store a fluid at room pressure.</t>
  </si>
  <si>
    <t>Store fluids (liquids or gases) under internal pressure higher than atmospheric pressure. Used in various industrial, building and hospital sectors. Its function varies according to the type of fluid, application and system involved.</t>
  </si>
  <si>
    <t>Tank in closed hydraulic and thermal systems. Designed to absorb fluid volume variations caused by temperature changes. It protects the system from pressure overload, preventing damage to pipes, valves, and equipment.</t>
  </si>
  <si>
    <t>Tank in closed hydraulic and thermal systems. Designed to feed the system and absorb fluid volume variations caused by temperature changes. It protects the system from pressure overload, preventing damage to pipes, valves, and equipment.</t>
  </si>
  <si>
    <t>Contains oil leaks or spills in industrial, electrical, or mechanical equipment. It prevents contaminated oil from spreading, protecting the environment and facilitating maintenance.</t>
  </si>
  <si>
    <t>An unopened container used to store fluids or gases at a pressure other than ambient pressure.</t>
  </si>
  <si>
    <t>Closed reservoir model.</t>
  </si>
  <si>
    <t>A flow meter is a device used to measure flow in a system.</t>
  </si>
  <si>
    <t>Meter used to monitor data traffic.</t>
  </si>
  <si>
    <t>Electric meter or energy meter is a device that measures the amount of electrical energy.</t>
  </si>
  <si>
    <t>Meter that helps to monitor electricity consumption. It has local and remote communication interfaces, power quality indicators, cut-off and reclosing with internal relay, alarms and anti-fraud events. They can serve White Tariff and Distributed Micro and Minigeneration.</t>
  </si>
  <si>
    <t>Device that measures the amount of gas.</t>
  </si>
  <si>
    <t>Device that measures the amount of fossil fuels.</t>
  </si>
  <si>
    <t>Device that measures the amount of water.</t>
  </si>
  <si>
    <t>Solar device converts solar radiation into other energy, such as electric current or thermal energy.</t>
  </si>
  <si>
    <t>A device that converts solar radiation into thermal energy (water heating, etc.).</t>
  </si>
  <si>
    <t>A device that converts solar radiation into electric current.</t>
  </si>
  <si>
    <t>They measure the solar energy generated, consumption, energy stored in batteries, energy imported or exported from the grid.</t>
  </si>
  <si>
    <t>A device that measures the amount of wind energy produced.</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</si>
  <si>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</si>
  <si>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</si>
  <si>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</si>
  <si>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</si>
  <si>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</si>
  <si>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</si>
  <si>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</si>
  <si>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</si>
  <si>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</si>
  <si>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</si>
  <si>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</si>
  <si>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</si>
  <si>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</si>
  <si>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</si>
  <si>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</si>
  <si>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</si>
  <si>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</si>
  <si>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</si>
  <si>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</si>
  <si>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</si>
  <si>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</si>
  <si>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</si>
  <si>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</si>
  <si>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</si>
  <si>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</si>
  <si>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</si>
  <si>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</si>
  <si>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</si>
  <si>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</si>
  <si>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</si>
  <si>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</si>
  <si>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</si>
  <si>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</si>
  <si>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</si>
  <si>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</si>
  <si>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</si>
  <si>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</si>
  <si>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</si>
  <si>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</si>
  <si>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</si>
  <si>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</si>
  <si>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</si>
  <si>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</si>
  <si>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</si>
  <si>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</si>
  <si>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</si>
  <si>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</si>
  <si>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</si>
  <si>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</si>
  <si>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</si>
  <si>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</si>
  <si>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</si>
  <si>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</si>
  <si>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</si>
  <si>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</si>
  <si>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</si>
  <si>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</si>
  <si>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</si>
  <si>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</si>
  <si>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</si>
  <si>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</si>
  <si>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</si>
  <si>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</si>
  <si>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</si>
  <si>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</si>
  <si>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</si>
  <si>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</si>
  <si>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</si>
  <si>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</si>
  <si>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</si>
  <si>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</si>
  <si>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</si>
  <si>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</si>
  <si>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</si>
  <si>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</si>
  <si>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</si>
  <si>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</si>
  <si>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</si>
  <si>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</si>
  <si>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</si>
  <si>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</si>
  <si>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</si>
  <si>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</si>
  <si>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</si>
  <si>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</si>
  <si>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</si>
  <si>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</si>
  <si>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</si>
  <si>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</si>
  <si>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</si>
  <si>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</si>
  <si>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</si>
  <si>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</si>
  <si>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</si>
  <si>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</si>
  <si>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</si>
  <si>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A heavy rail vehicle that pulls or pushes railway cars. They can be electric, diesel-electric or steam.</t>
  </si>
  <si>
    <t>Heavy vehicle to run on rails to transport goods (grains, ores, fuels, containers).</t>
  </si>
  <si>
    <t>Heavy vehicles to run on rails to transport people, can be equipped with toilets and special facilities.</t>
  </si>
  <si>
    <t>Heavy rail vehicle to transport people prepared with sleeping facilities.</t>
  </si>
  <si>
    <t>Heavy vehicle to run on rails to transport people in urban environments.</t>
  </si>
  <si>
    <t>Light Rail Vehicle (VLT). System of articulated and bidirectional wagons to transport people at the level of urban surroundings.</t>
  </si>
  <si>
    <t>Bullet or high-speed train. It travels at speeds that can reach 300 km/h.</t>
  </si>
  <si>
    <t>Magnetic or Maglev levitation train. It travels on a line elevated over the ground that is propelled by the attractive and repulsive forces of magnetism using superconductors.</t>
  </si>
  <si>
    <t>Tractor-type construction vehicle.</t>
  </si>
  <si>
    <t>Hydraulic excavator type construction vehicle.</t>
  </si>
  <si>
    <t>Backhoe type work vehicle.</t>
  </si>
  <si>
    <t>Motor grader-type work vehicle.</t>
  </si>
  <si>
    <t>Forklift type construction vehicle for handling and stacking pallets.</t>
  </si>
  <si>
    <t>Truck-type construction vehicle with built-in crane.</t>
  </si>
  <si>
    <t>Truck-type construction vehicle with telescopic lifting system with built-in horizontal and vertical reach.</t>
  </si>
  <si>
    <t>Crane-type operation structure moved on rails.</t>
  </si>
  <si>
    <t>High tower crane type operation structure which can operate by rotation and travel.</t>
  </si>
  <si>
    <t>Small crane type operation structure that can operate by rotation and travel.</t>
  </si>
  <si>
    <t>Crane-type operation structure in gantry format.</t>
  </si>
  <si>
    <t>High-capacity product loading vehicle with closed body.</t>
  </si>
  <si>
    <t>Cargo vehicle with a high capacity to transport fluids or fuels.</t>
  </si>
  <si>
    <t>Cargo vehicle with high capacity for transporting and unloading bulk materials such as sand, gravel, earth, rubble or gravel. The bucket can be tipped.</t>
  </si>
  <si>
    <t>High-capacity cargo vehicle with two trailers (or semi-trailers) attached to the tractor truck.</t>
  </si>
  <si>
    <t>Cargo vehicle with an open or semi-open structure at the rear.</t>
  </si>
  <si>
    <t>Cargo vehicle used to transport grains.</t>
  </si>
  <si>
    <t>Cargo vehicle used to transport cargo that needs to be kept at controlled temperatures. Essential to ensure the cold chain.</t>
  </si>
  <si>
    <t>Vehicle with cabin and engine to pull semi-trailers forming an articulated set.</t>
  </si>
  <si>
    <t>Public transport vehicle with more than 20 passengers.</t>
  </si>
  <si>
    <t>Bus Rapid Transit (BRT) system public transport vehicle. High capacity urban bus system that operates on exclusive rails.</t>
  </si>
  <si>
    <t>Public transport vehicle with up to 20 passengers.</t>
  </si>
  <si>
    <t>Non-motorized vehicle coupled to another.</t>
  </si>
  <si>
    <t>Vehicle that transports cargo and passengers simultaneously.</t>
  </si>
  <si>
    <t>Vehicles adapted for specific functions such as ambulance, fire engine, school transport, etc.</t>
  </si>
  <si>
    <t>With a total gross weight (GVW) of up to 3,500 kg, they are classified as light. Similar to the car, but with a cargo compartment.</t>
  </si>
  <si>
    <t>With a total gross weight (GVW) of up to 3,500 kg, they are classified as light. Mixed vehicle with cabin and bucket.</t>
  </si>
  <si>
    <t>With a total gross weight (GVW) of up to 3,500 kg, they are classified as light.  Light vehicle for transporting up to 5 passengers.</t>
  </si>
  <si>
    <t>Open, motorized two-wheeled vehicle.</t>
  </si>
  <si>
    <t>Open, motorized four-wheeled vehicle.</t>
  </si>
  <si>
    <t>Open, motorized three-wheeled vehicle.</t>
  </si>
  <si>
    <t>An open vehicle with two aligned wheels, moved by the user's own effort by means of pedals.</t>
  </si>
  <si>
    <t>Crude oil cargo ship.</t>
  </si>
  <si>
    <t>General dry cargo ship.</t>
  </si>
  <si>
    <t>General dry cargo ships such as grain, cement and steel, access small ports with limited infrastructure.</t>
  </si>
  <si>
    <t>Ship of varied cargoes, equipped with its own cranes, ideal for smaller ports.</t>
  </si>
  <si>
    <t>Dry cargo ship like coal and fertilizer, similar to the Handymax but with higher capacity.</t>
  </si>
  <si>
    <t>Grain, coal and oil cargo ship, designed to transit the Panama Canal.</t>
  </si>
  <si>
    <t>General cargo ship and containers. Adapted to the new locks of the Panama Canal.</t>
  </si>
  <si>
    <t>Crude oil cargo ship, medium-sized for short and medium routes.</t>
  </si>
  <si>
    <t>Crude oil cargo ship, designed for the Suez Canal.</t>
  </si>
  <si>
    <t>Cargo ship iron ore and coal by routes via Cape of Good Hope or Cape Horn, as they are too large for the Suez and Panama Canals.</t>
  </si>
  <si>
    <t>Crude oil cargo for intercontinental routes require specialized ports.</t>
  </si>
  <si>
    <t>Supertankers used on routes between the Middle East, Asia and Europe, require dedicated terminals.</t>
  </si>
  <si>
    <t>Iron ore cargo between Brazil and China require ports with specific infrastructure.</t>
  </si>
  <si>
    <t>Tourist cruise ship for passengers.</t>
  </si>
  <si>
    <t>Military ship equipped with weapons or war elements.</t>
  </si>
  <si>
    <t>Ships with scientific functionality such as Hydrooceanographic, Oceanic or Antarctic Support vessels.</t>
  </si>
  <si>
    <t>Sailboat designed for high speed, with a narrow hull and three high masts.</t>
  </si>
  <si>
    <t>Support ship for entry and exit to ports.</t>
  </si>
  <si>
    <t>Support vessel equipped with specialized systems to perform chemical and hydraulic treatments in offshore oil wells. Offshore Support Vessels (OSV).</t>
  </si>
  <si>
    <t>High-speed vessel designed with hydrofoils to carry passengers. Usually used between neighboring cities or nearby ports. It can reach about 110 km/h (60 knots).</t>
  </si>
  <si>
    <t>A ferry-type vessel to transport passengers usually between neighboring cities or nearby ports.</t>
  </si>
  <si>
    <t>Boat type boat for leisure or sport.</t>
  </si>
  <si>
    <t>Small dinghy type vessel.</t>
  </si>
  <si>
    <t>Yacht-type vessel with full cabin structure.</t>
  </si>
  <si>
    <t>Catamaran-type vessel with two parallel hulls.</t>
  </si>
  <si>
    <t>Sailboat type boat for leisure or sport.</t>
  </si>
  <si>
    <t>Airplane with two internal aisles, used on international and long-haul flights. Like Boeing or Airbus.</t>
  </si>
  <si>
    <t>Airplane with an internal aisle, used in international and long-haul flights. Like Boeing or Airbus.</t>
  </si>
  <si>
    <t>Learjet type executive jet.</t>
  </si>
  <si>
    <t>Small aircraft type Cessna turboprop aircraft.</t>
  </si>
  <si>
    <t>Small helicopter.</t>
  </si>
  <si>
    <t>Large helicopter.</t>
  </si>
  <si>
    <t>Drone or UAS unmanned aerial vehicle.</t>
  </si>
  <si>
    <t>Intercity bus terminal station.</t>
  </si>
  <si>
    <t>Bus station.</t>
  </si>
  <si>
    <t>Urban bus stop.</t>
  </si>
  <si>
    <t>City bus stop.</t>
  </si>
  <si>
    <t>Local roads, generally municipal, unpaved with one lane and of modest technical standard.</t>
  </si>
  <si>
    <t>Local roads, generally municipal, paved with one lane and of modest technical standard.</t>
  </si>
  <si>
    <t>Paved urban roads of one lane with a width of 6 to 9 meters.</t>
  </si>
  <si>
    <t>Paved urban roads of one lane with a width of 9 to 12 meters.</t>
  </si>
  <si>
    <t>Paved urban roads of one or two lanes with widths of 12 to 18 meters.</t>
  </si>
  <si>
    <t>Paved urban roads with a large flow of vehicles and public transport with a width of 20 to 30 meters.</t>
  </si>
  <si>
    <t>High-speed urban roads with separation of lanes from 30 to 60 meters.</t>
  </si>
  <si>
    <t>Exclusive urban road for BRT operation.</t>
  </si>
  <si>
    <t>Lane used by vehicles.</t>
  </si>
  <si>
    <t>Part of the public road intended for pedestrian traffic positioned next to the lanes. For the project, the Carioca Sidewalks Notebook and the NBR 9050 Standard, which deals with accessibility in urban spaces, can be consulted.</t>
  </si>
  <si>
    <t>Lane for cyclists integrated into the lane and delimited by a lane painted on the asphalt. It is less safe than the cyclovia.</t>
  </si>
  <si>
    <t>Exclusive lane for bicycle circulation, physically separated from the motor vehicle lanes.</t>
  </si>
  <si>
    <t>Element that separates the road from the pedestrian sidewalk vehicles with a height of less than 35 cm.</t>
  </si>
  <si>
    <t>ABNT standard profile, embedded in the structure, with the function of lateral protection of the road lane.</t>
  </si>
  <si>
    <t>Element with a height of more than 1.5 m, embedded in the superstructure that works to prevent the vehicle from falling from the bridge or viaduct over subway and railway tracks.</t>
  </si>
  <si>
    <t>Continuous or hollow element of pedestrian protection on the edge of the sidewalk.</t>
  </si>
  <si>
    <t>Continuous side protection element at the edge of the high-speed road.</t>
  </si>
  <si>
    <t>Structure subject to the action of load in motion, with variable positioning, here called mobile load, used to overcome a natural obstacle (river, stream, valley, etc.).</t>
  </si>
  <si>
    <t>Elevated structure so that vehicles can overcome an artificial obstacle such as an avenue, highway, etc.</t>
  </si>
  <si>
    <t>Elevated and elongated structure, intended for pedestrians to overcome natural and/or artificial obstacles. Exclusively for pedestrians and/or cyclists.</t>
  </si>
  <si>
    <t>An underpass that allows people, vehicles, or trains to move through natural or urban obstacles.</t>
  </si>
  <si>
    <t>Subfluvial or maritime passage that allows the movement of people, vehicles or trains.</t>
  </si>
  <si>
    <t>Buildings with any floor, with several floors, with access ramps or elevators intended for the parking of light vehicles, for low-speed circulation.</t>
  </si>
  <si>
    <t>Part of a Special Work of Art: A type of structural element generally used to transmit the loads from the deck to the pylon.</t>
  </si>
  <si>
    <t>Part of a Special Artwork: Bridge foundation piles.</t>
  </si>
  <si>
    <t>Part of a Special Artwork: Bridge Foundation Blocks.</t>
  </si>
  <si>
    <t>Part of a Special Work of Art: Structure where the road network meets the bridge heads.</t>
  </si>
  <si>
    <t>Part of a Special Work of Art: Pillars supporting the deck also called Pier.</t>
  </si>
  <si>
    <t>Part of a Special Work of Art: Arched concrete structure to support the bridge.</t>
  </si>
  <si>
    <t>Part of a Special Work of Art: Vertical concrete structure above the deck to support the bridge cables.</t>
  </si>
  <si>
    <t>Part of a Special Work of Art: Vertical metallic structure above the deck to support the bridge cables.</t>
  </si>
  <si>
    <t>Part of a Special Artwork: Segments of the bridge deck. The segments can be separated by construction or expansion joints.</t>
  </si>
  <si>
    <t>Part of a Special Work of Art: Support cables of a cable-stayed bridge.</t>
  </si>
  <si>
    <t>Part of a Special Work of Art: Main beams in the longitudinal direction at the edge of the bridge.</t>
  </si>
  <si>
    <t>Part of a Special Work of Art: Main beams in the longitudinal direction inside the bridge.</t>
  </si>
  <si>
    <t>Part of a Special Work of Art: Beams in the transverse direction of the bridge.</t>
  </si>
  <si>
    <t>Part of a Special Artwork: Bracing of the bridge.</t>
  </si>
  <si>
    <t>Part of a Special Work of Art: Walls in the transverse direction of the bridge.</t>
  </si>
  <si>
    <t>Part of a Special Artwork: Bridge trusses.</t>
  </si>
  <si>
    <t>Part of a Special Work of Art: Element of structural defense of the work of Special Art.</t>
  </si>
  <si>
    <t>Part of a Special Work of Art: Asphalt layer of the road track of the deck.</t>
  </si>
  <si>
    <t>Part of a Special Work of Art: Subfloor layer of the deck carriageway.</t>
  </si>
  <si>
    <t>Part of a Special Work of Art: Road expansion joint of the deck.</t>
  </si>
  <si>
    <t>Part of a Special Work of Art: Water drainage element on the bridge.</t>
  </si>
  <si>
    <t>Part of a Special Work of Art: Signage element type information plates.</t>
  </si>
  <si>
    <t>Part of a Special Artwork: Lamppost-like lighting element.</t>
  </si>
  <si>
    <t>Railway system designed to travel at high speed.</t>
  </si>
  <si>
    <t>A railway that starts from a capital city towards the extremes of the country.</t>
  </si>
  <si>
    <t>A railroad that crosses a country in a North-South direction.</t>
  </si>
  <si>
    <t>A railroad that crosses a country in an East-West direction.</t>
  </si>
  <si>
    <t>A railroad that crosses a country with a northeast-southwest or northwest-southeast orientation.</t>
  </si>
  <si>
    <t>A railroad that connects railroads to each other or to specific localities.</t>
  </si>
  <si>
    <t>Urban railway. Usually underground, but may have stretches at the urban level.</t>
  </si>
  <si>
    <t>Urban railway to VLT. It operates on the urban surface and meets accessibility requirements.</t>
  </si>
  <si>
    <t>A railway system in which vehicles run on a single elevated rail that serves as both a guide and a structural support.</t>
  </si>
  <si>
    <t>Tunnel for railroad passage.</t>
  </si>
  <si>
    <t>Central station of the line. Large stations such as Central do Brasil, Leopoldina or Retiro.</t>
  </si>
  <si>
    <t>Line terminal station.</t>
  </si>
  <si>
    <t>Transfer station of the same modal.</t>
  </si>
  <si>
    <t>Multimodal transfer station.</t>
  </si>
  <si>
    <t>Train station.</t>
  </si>
  <si>
    <t>Metro station.</t>
  </si>
  <si>
    <t>Light rail station.</t>
  </si>
  <si>
    <t>Monorail station.</t>
  </si>
  <si>
    <t>Rail designed with the internal distance between rails of 1000 mm.</t>
  </si>
  <si>
    <t>Rail designed with the internal distance between rails of 1435 mm.</t>
  </si>
  <si>
    <t>Rail designed with the internal distance between rails of 1600 mm.</t>
  </si>
  <si>
    <t>Railway track designed with International and Irish gauge.</t>
  </si>
  <si>
    <t>The basic component of the railroad on which trains run.</t>
  </si>
  <si>
    <t>It can refer to the cutting edge or profile of the rail, used in technical contexts.</t>
  </si>
  <si>
    <t>Additional rail placed next to the main rail on sharp turns to prevent derailment.</t>
  </si>
  <si>
    <t>Similar to checkrail, it protects against derailments, especially at bridges and crossings.</t>
  </si>
  <si>
    <t>Used on cogwheel railways, where locomotives climb steep inclines with gears.</t>
  </si>
  <si>
    <t>Part of the rail that remains fixed on turnouts, against which the moving rail rests.</t>
  </si>
  <si>
    <t>A section that allows the train to change tracks, such as at crossings or detours.</t>
  </si>
  <si>
    <t>Equipment that prevents the movement of trains under certain conditions.</t>
  </si>
  <si>
    <t>Safety device that forces the train off the tracks in the event of an emergency.</t>
  </si>
  <si>
    <t>Metal piece where the rails intersect in turnouts.</t>
  </si>
  <si>
    <t>Moving part of a Turnout Device (AMV) that directs the train to different tracks.</t>
  </si>
  <si>
    <t>Transverse piece that supports the rails and distributes the load to the ballast.</t>
  </si>
  <si>
    <t>Equipment that controls the speed of trains, usually via signaling.</t>
  </si>
  <si>
    <t>End point of a railway section, where the route ends.</t>
  </si>
  <si>
    <t>A physical device that prevents movement beyond a safe point.</t>
  </si>
  <si>
    <t>Individual elements that make up the railroad, such as rails and sleepers.</t>
  </si>
  <si>
    <t>Railway barrier safety device installed at local level crossings where the railway line crosses urban or rural tracks.</t>
  </si>
  <si>
    <t>Area next to the railroad, where equipment, signaling and infrastructure are located. Service range.</t>
  </si>
  <si>
    <t>Aerial parts of the railway, such as signallers, electrification of railway wires, etc.</t>
  </si>
  <si>
    <t>Elements such as poles, signs, control boxes next to the rails.</t>
  </si>
  <si>
    <t>Railroad base: includes the bed, ballast, and foundations that support the tracks.</t>
  </si>
  <si>
    <t>Straight and continuous stretch of the railroad, without switches and turnouts.</t>
  </si>
  <si>
    <t>Complete set of rails, sleepers, fixings and base.</t>
  </si>
  <si>
    <t>Section with special joints to accommodate the thermal expansion of the rails.</t>
  </si>
  <si>
    <t>Fixed vertical structure that serves as a navigational mark, to show reefs or other hazards, or to provide.</t>
  </si>
  <si>
    <t>Anchored floating structure that serves as a navigational mark, to show reefs or other hazards.</t>
  </si>
  <si>
    <t>Buoy that assists maritime navigation, used to guide vessels, delimit channels, indicate hazards or special areas. Standardized by the IALA (International Association of Marine Aids to Navigation and Lighthouse Authorities) system.</t>
  </si>
  <si>
    <t>Spatial part of the region that represents a managed area for the anchorage of vessels waiting for space in the port.</t>
  </si>
  <si>
    <t>Longitudinal spatial part of a waterway or port facility that provides facilities for berthing.</t>
  </si>
  <si>
    <t>Artificial watercourse usually built to join rivers, lakes or seas and often of an appropriate size.</t>
  </si>
  <si>
    <t>The longitudinal spatial part of a waterway or port facility covering the approach.</t>
  </si>
  <si>
    <t>Natural navigable watercourse (such as a river) that needs to be managed or have improvements applied.</t>
  </si>
  <si>
    <t>Subset of facilities that have the primary function of providing a navigable area of water.</t>
  </si>
  <si>
    <t>A navigation element is an active or passive constructed element whose primary function is to provide navigation.</t>
  </si>
  <si>
    <t>A lashing device is an active or passive constructed element whose primary function is to participate in the lashing.</t>
  </si>
  <si>
    <t>Quick release mooring hooks – an active device used to secure a vessel and provide automated release.</t>
  </si>
  <si>
    <t>Short, thick post on a ship's deck or quayside, to which the ship's rope can be attached to keep the vessel safe and stable during berthing. The distance between them can vary from 5 to 10 meters.</t>
  </si>
  <si>
    <t>A motorized mechanical device used to apply a tensioning load to mooring lines to improve the stability of the vessel.</t>
  </si>
  <si>
    <t>A mechanical device used to apply a tensioning load to mooring lines to improve the stability of the vessel.</t>
  </si>
  <si>
    <t>Mooring device that uses vacuum suction as the primary method of securing the vessel.</t>
  </si>
  <si>
    <t>A mooring device that uses magnets as the primary method of securing the vessel.</t>
  </si>
  <si>
    <t>SafeCom Ship-to-Shore (SSL) Connection System is a security communication system used for the transfer of hazardous liquids and gases.</t>
  </si>
  <si>
    <t>Level that represents the elevation of the waterline at high tide.</t>
  </si>
  <si>
    <t>Level that represents the elevation of the waterline at low tide.</t>
  </si>
  <si>
    <t>Level that represents the part above the average waterline defined within the site area.</t>
  </si>
  <si>
    <t>Level that represents the part below the average waterline defined within the site area.</t>
  </si>
  <si>
    <t>Level that represents the minimum operating depth.</t>
  </si>
  <si>
    <t>Level that represents the working floor of the pier, where the crane rails and the people working are located.</t>
  </si>
  <si>
    <t>Reference level provided by hydrographic survey of the port.</t>
  </si>
  <si>
    <t>Complex/facility to receive ships with a large draft. Built in a coastal area with direct access to the ocean, without the need for artificial channels or frequent dredging.</t>
  </si>
  <si>
    <t>Complex/facility for maritime activities, which includes cargo, people and storage.</t>
  </si>
  <si>
    <t>Complex/facility for river activities, which includes cargo, people and storage.</t>
  </si>
  <si>
    <t>Line where there is a decrease in the energy of the sea waves.</t>
  </si>
  <si>
    <t>A structure built to protect the coast, ports or urban areas from the force of waves and sea currents, it can be parallel or perpendicular to the coast.</t>
  </si>
  <si>
    <t>Protection device that absorbs the impact between the ship and the quay.</t>
  </si>
  <si>
    <t>Marine defensive structure made of earthworks, masonry and rocks.</t>
  </si>
  <si>
    <t>The dry dock is a closed chamber (by gate) that allows the drainage of water into the building.</t>
  </si>
  <si>
    <t>Space element that encompasses a floating dry dock and lateral support quay auxiliaries.</t>
  </si>
  <si>
    <t>Marine facility represents any major structure or entity that is specific to ports and waters.</t>
  </si>
  <si>
    <t>A mountain range of sand that rises slightly above the surface of the sea and runs roughly parallel to the coast.</t>
  </si>
  <si>
    <t>A type of vessel launch recovery facility, also known as a hydraulic lifting dock, where ships are lifted.</t>
  </si>
  <si>
    <t>Place for mooring vessels without contact with the shore of the coast.</t>
  </si>
  <si>
    <t>Place for the mooring of vessels accompanied by elements for loading and unloading products or people positioned perpendicular to the coast.</t>
  </si>
  <si>
    <t>Place for the mooring of vessels accompanied by elements for loading and unloading products or people positioned parallel to the coast.</t>
  </si>
  <si>
    <t>Water space that the ship occupies when it docks at the pier. The submerged wall and bed should be designed to minimize erosion and sedimentation processes.</t>
  </si>
  <si>
    <t>A type of vessel launch recovery facility, where ships are lifted vertically out of the water.</t>
  </si>
  <si>
    <t>Facility used to raise and lower boats, ships, and other vessels between stretches of water.</t>
  </si>
  <si>
    <t>Coastal/waterfront facility where ships are built and repaired.</t>
  </si>
  <si>
    <t>Installation for the dynamic launch or recovery of a vessel using an inclined ramp and gravitation.</t>
  </si>
  <si>
    <t>Subset of facilities for the ship launching or recovery function.</t>
  </si>
  <si>
    <t>The longitudinal spatial part of a waterway or port facility that forms the dammed chamber.</t>
  </si>
  <si>
    <t>A lateral spatial part that subdivides the central structure of a facility, such as a breakwater.</t>
  </si>
  <si>
    <t>Lateral spatial part that forms the area of the ridge of the breakwater or embankment where additional structures.</t>
  </si>
  <si>
    <t>The longitudinal spatial part of a waterway or port facility that forms the gate, the supporting structure.</t>
  </si>
  <si>
    <t>Standardized metal rectangular structure mainly used for the transportation of goods.</t>
  </si>
  <si>
    <t>Spatial part of the structure that is on the side exposed to the prevailing wind.</t>
  </si>
  <si>
    <t>Spatial part of the structure that is protected from the prevailing wind.</t>
  </si>
  <si>
    <t>Region that covers the water field of a port. It includes navigable and non-navigable canals.</t>
  </si>
  <si>
    <t>Region or side part of the facility that covers the onshore field of seaside installation, such as a wharf.</t>
  </si>
  <si>
    <t>Region that covers the water field of the harbor's navigable canals.</t>
  </si>
  <si>
    <t>Covered space such as shed or storage for cargo storage.</t>
  </si>
  <si>
    <t>External cargo storage space.</t>
  </si>
  <si>
    <t>Spatial part of the region that represents a functional division designed for operation.</t>
  </si>
  <si>
    <t>Spatial part of the region that forms a subdivision of facility for manufacturing purposes.</t>
  </si>
  <si>
    <t>Spatial part of the region that represents a free area used for the transfer and movement of vessels.</t>
  </si>
  <si>
    <t>International Airport must have infrastructure for international flights, with customs, immigration and sanitary control.</t>
  </si>
  <si>
    <t>Regional airports serve smaller areas of the territory, connecting medium and small cities to large centers.</t>
  </si>
  <si>
    <t>Domestic Airport only serves flights within the national territory.</t>
  </si>
  <si>
    <t>Military Airport. used exclusively by the Armed Forces for strategic purposes, training, troop transport, and equipment.</t>
  </si>
  <si>
    <t>A center for the education and training of civilian pilots, for practical or recreational purposes. It needs to be authorized by the National Civil Aviation Agency (ANAC) to operate legally.</t>
  </si>
  <si>
    <t>The landing and takeoff runway comprises the rectangular area, defined on land, prepared for aircraft landings and takeoffs. Brazilian Civil Aviation Regulation (RBAC).</t>
  </si>
  <si>
    <t>Auxiliary runways allow aircraft to move before taking off or after landing and speed up their traffic on the ground.</t>
  </si>
  <si>
    <t>A Heliport must be prepared to operate helicopters with airstrip infrastructure, hangars, fueling, departure lounge, air traffic control, maintenance, security and logistics.</t>
  </si>
  <si>
    <t>Area intended exclusively for helicopter landing and takeoff.</t>
  </si>
  <si>
    <t>Drinking water supply network system.</t>
  </si>
  <si>
    <t>A network system for the supply of substances (e.g. fuels).</t>
  </si>
  <si>
    <t>Fuel supply network system.</t>
  </si>
  <si>
    <t>Gas supply network system.</t>
  </si>
  <si>
    <t>System of operational substances (fuels, hospital fluids, etc.).</t>
  </si>
  <si>
    <t>Urban rainwater system (storm water that runs across the urban surface).</t>
  </si>
  <si>
    <t>Recycling water system (water that has been negatively affected by anthropogenic influence).</t>
  </si>
  <si>
    <t>Urban sewage collection system.</t>
  </si>
  <si>
    <t>Sewage system for substances (special substances, for example).</t>
  </si>
  <si>
    <t>Hospital gas or liquid network system.</t>
  </si>
  <si>
    <t>High Voltage transmission power line with more than 69 kV.</t>
  </si>
  <si>
    <t>Metal support structure of the High Voltage transmission power line with more than 69 kV.</t>
  </si>
  <si>
    <t>Physical structure of EE distribution circuits. Posts, supports with insulators and bare conductors of aluminum or copper on pin or rod insulators on concrete crossarms.</t>
  </si>
  <si>
    <t>Physical structure of EE distribution circuits. Poles, supports with insulators and aluminium conductors covered by a layer of insulation, grouped in bundles.</t>
  </si>
  <si>
    <t>Physical structure of compact EE distribution circuits. Poles, supports with insulators and aluminium conductors covered by a layer of insulation, grouped in bundles.</t>
  </si>
  <si>
    <t>See NBR 8451. Circular section concrete pole to conduct Medium Voltage overhead power grid.</t>
  </si>
  <si>
    <t>See NBR 8451. Double Tee (DT) section concrete pole to conduct Medium Voltage overhead power grid.</t>
  </si>
  <si>
    <t>Medium Voltage underground electrical network between 1 kV and 69 kV.</t>
  </si>
  <si>
    <t>Low Voltage overhead power grid up to 1,000 volts (1Kv).</t>
  </si>
  <si>
    <t>Low Voltage underground electrical network up to 1,000 volts (1Kv).</t>
  </si>
  <si>
    <t>Consult NBR 5410 Standard. Point of connection of the electrical system of the electricity distribution company with the electrical installation of the consumer unit(s) and which delimits the responsibilities of the distributor, defined by the regulatory authority.</t>
  </si>
  <si>
    <t>Consult NBR 5410 Standard. Point at which an external line penetrates the building.</t>
  </si>
  <si>
    <t>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t>
  </si>
  <si>
    <t>Consult NBR 5410 Standard. Directly grounded supply point, with the installation grounds connected to grounding electrode(s) electrically distinct from the grounding electrode of the supply</t>
  </si>
  <si>
    <t>Consult NBR 5410 Standard. All living parts are isolated from the earth or a feed point is grounded via impedance. The masses of the installation are grounded.</t>
  </si>
  <si>
    <t>Urban public lighting electrical network.</t>
  </si>
  <si>
    <t>Urban public signaling electrical network (traffic signals and totems).</t>
  </si>
  <si>
    <t>Aerial Fiber Optic Network.</t>
  </si>
  <si>
    <t>Underground telephone network.</t>
  </si>
  <si>
    <t>Network data overhead logic.</t>
  </si>
  <si>
    <t>Network data underground logic.</t>
  </si>
  <si>
    <t>Aerial Mobile Internet Network.</t>
  </si>
  <si>
    <t>Aerial Fixed Internet Network.</t>
  </si>
  <si>
    <t>Underground Fixed Internet Network.</t>
  </si>
  <si>
    <t>Air telephone network.</t>
  </si>
  <si>
    <t>Cast Iron Pipe for water and sewage networks of basic sanitation.</t>
  </si>
  <si>
    <t>PVC (Polyvinyl Chloride) pipe for domestic water and sewage networks.</t>
  </si>
  <si>
    <t>Oriented PVC Pipe (Polyvinyl Chloride). More resistant material than normal PVC for water and sewage networks.</t>
  </si>
  <si>
    <t>Brass pipe for water networks.</t>
  </si>
  <si>
    <t>Copper pipe for hot water or gas networks.</t>
  </si>
  <si>
    <t>HDPE (High Density Polyethylene) thermofusion tube.</t>
  </si>
  <si>
    <t>Steel pipe for plumbing.</t>
  </si>
  <si>
    <t>Atributo IFC</t>
  </si>
  <si>
    <t>Classe IFC</t>
  </si>
  <si>
    <t>Parâmetro Rvt</t>
  </si>
  <si>
    <t>Projeto</t>
  </si>
  <si>
    <t>De.API</t>
  </si>
  <si>
    <t>Macros</t>
  </si>
  <si>
    <t>Métodos</t>
  </si>
  <si>
    <t>[ IfcZone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</si>
  <si>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</si>
  <si>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</si>
  <si>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</si>
  <si>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</si>
  <si>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</si>
  <si>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</si>
  <si>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</si>
  <si>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</si>
  <si>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</si>
  <si>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</si>
  <si>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</si>
  <si>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</si>
  <si>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</si>
  <si>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</si>
  <si>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</si>
  <si>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IfcVehicleROLLINGSTOCK ]</t>
  </si>
  <si>
    <t>[ IfcVehicleVEHICLETRACKED ]</t>
  </si>
  <si>
    <t>[ IfcVehicleCARGO ]</t>
  </si>
  <si>
    <t>[ IfcVehicleVEHICLEWHEELED ]</t>
  </si>
  <si>
    <t>[ IfcVehicleVEHICLEMARINE ]</t>
  </si>
  <si>
    <t>[ IfcVehicleVEHICLEAIR ]</t>
  </si>
  <si>
    <t>[ IfcCourse ]</t>
  </si>
  <si>
    <t>[ IfcBridge ]</t>
  </si>
  <si>
    <t>[ IfcBearing ]</t>
  </si>
  <si>
    <t>[ IfcBridgePart ]</t>
  </si>
  <si>
    <t>[ IfcRoadPart ]</t>
  </si>
  <si>
    <t>[ IfcFlowTerminal ]</t>
  </si>
  <si>
    <t>[ IfcSign ]</t>
  </si>
  <si>
    <t>[ IfcRailway ]</t>
  </si>
  <si>
    <t>[ IfcRail ]</t>
  </si>
  <si>
    <t>[ IfcTrackElement ]</t>
  </si>
  <si>
    <t>[ IfcRailwayPart ]</t>
  </si>
  <si>
    <t>[ IfcMarinePart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</si>
  <si>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</si>
  <si>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</si>
  <si>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</si>
  <si>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</si>
  <si>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</si>
  <si>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</si>
  <si>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</si>
  <si>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</si>
  <si>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</si>
  <si>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</si>
  <si>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</si>
  <si>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</si>
  <si>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</si>
  <si>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IfcDistributionSystemDATA ]</t>
  </si>
  <si>
    <t>[ IfcDistributionSystemMOBILENETWORK ]</t>
  </si>
  <si>
    <t>[ IfcDistributionSystemFIXEDTRANSMISSIONNETWORK ]</t>
  </si>
  <si>
    <t>[ IfcMaterial ]</t>
  </si>
  <si>
    <t>[ OST_SitePoint ]</t>
  </si>
  <si>
    <t>[ OST_SitePointBoundary ]</t>
  </si>
  <si>
    <t>[ OST_Toposolid ]</t>
  </si>
  <si>
    <t>[ OST_Topography ]</t>
  </si>
  <si>
    <t>[ OST_ToposolidStructure ]</t>
  </si>
  <si>
    <t>[ OST_ToposolidSubstrate ]</t>
  </si>
  <si>
    <t>[ OST_ToposolidMembrane ]</t>
  </si>
  <si>
    <t>[ OST_ToposolidInsulation ]</t>
  </si>
  <si>
    <t>[ OST_ToposolidFinish1 ]</t>
  </si>
  <si>
    <t>[ OST_TopographyContours : OST_ToposolidContours : OST_ToposolidSecondaryContours ]</t>
  </si>
  <si>
    <t>[ OST_SiteProperty : OST_SitePropertyLineSegment ]</t>
  </si>
  <si>
    <t>[ OST_Areas : OST_Rooms ]</t>
  </si>
  <si>
    <t>[ OST_Rooms ]</t>
  </si>
  <si>
    <t>[ OST_Mass ]</t>
  </si>
  <si>
    <t>[ OST_Roads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</si>
  <si>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</si>
  <si>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</si>
  <si>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</si>
  <si>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</si>
  <si>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</si>
  <si>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</si>
  <si>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</si>
  <si>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</si>
  <si>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</si>
  <si>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</si>
  <si>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</si>
  <si>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</si>
  <si>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</si>
  <si>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</si>
  <si>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</si>
  <si>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</si>
  <si>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OST_SpecialityEquipment : OST_LightingDevices ]</t>
  </si>
  <si>
    <t>[ OST_MEPZone : OST_MEPSystemZone : OST_MassZone ]</t>
  </si>
  <si>
    <t>[ OST_PipingSystem ]</t>
  </si>
  <si>
    <t>[ OST_ElecDistributionSys ]</t>
  </si>
  <si>
    <t>[ OST_PipeMaterials ]</t>
  </si>
  <si>
    <t>[ IfcMarinePart : IfcTransportElement ]</t>
  </si>
  <si>
    <t>[ IfcZone : IfcSpatialZone ]</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</si>
  <si>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</si>
  <si>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</si>
  <si>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</si>
  <si>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</si>
  <si>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</si>
  <si>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</si>
  <si>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</si>
  <si>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</si>
  <si>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</si>
  <si>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</si>
  <si>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</si>
  <si>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</si>
  <si>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</si>
  <si>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</si>
  <si>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</si>
  <si>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</si>
  <si>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Códigos.Visuais</t>
  </si>
  <si>
    <t>Bloco.de.Código</t>
  </si>
  <si>
    <t>Define um Código escrito em sistemas de programação visual</t>
  </si>
  <si>
    <t>Define un código escrito en sistemas de programación visual</t>
  </si>
  <si>
    <t>Defines a Code written in visual programming systems</t>
  </si>
  <si>
    <t>KML</t>
  </si>
  <si>
    <t>Codificação_CT</t>
  </si>
  <si>
    <t>Norma-Número</t>
  </si>
  <si>
    <t>Norma-Edição</t>
  </si>
  <si>
    <t>Norma-ISBN</t>
  </si>
  <si>
    <t>Norma-Escopo</t>
  </si>
  <si>
    <t>Norma-Referência-01</t>
  </si>
  <si>
    <t>Norma-Referência-02</t>
  </si>
  <si>
    <t>Norma-Referência-03</t>
  </si>
  <si>
    <t>Advertência</t>
  </si>
  <si>
    <t>Aviso</t>
  </si>
  <si>
    <t>Alert</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</si>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</sst>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8"/>
      <name val="Calibri"/>
      <family val="2"/>
      <scheme val="minor"/>
    </font>
    <font>
      <sz val="6"/>
      <color theme="1"/>
      <name val="Arial Nova Cond Light"/>
      <family val="2"/>
    </font>
    <font>
      <b/>
      <sz val="6"/>
      <color theme="1"/>
      <name val="Arial Nova Cond Light"/>
      <family val="2"/>
    </font>
    <font>
      <sz val="6"/>
      <name val="Arial Nova Cond Light"/>
      <family val="2"/>
    </font>
    <font>
      <sz val="8"/>
      <color theme="1"/>
      <name val="Arial Nova Cond"/>
      <family val="2"/>
    </font>
    <font>
      <sz val="6"/>
      <color rgb="FF000000"/>
      <name val="Arial Nova Cond Light"/>
      <family val="2"/>
    </font>
    <font>
      <b/>
      <sz val="6"/>
      <color rgb="FF000000"/>
      <name val="Arial Nova Cond Light"/>
      <family val="2"/>
    </font>
    <font>
      <b/>
      <sz val="6"/>
      <name val="Arial Nova Cond Light"/>
      <family val="2"/>
    </font>
    <font>
      <b/>
      <i/>
      <sz val="6"/>
      <name val="Arial Nova Cond Light"/>
      <family val="2"/>
    </font>
    <font>
      <i/>
      <sz val="6"/>
      <name val="Arial Nova Cond Light"/>
      <family val="2"/>
    </font>
    <font>
      <i/>
      <sz val="11"/>
      <color rgb="FF000000"/>
      <name val="Aptos Narrow"/>
      <family val="2"/>
      <charset val="1"/>
    </font>
    <font>
      <b/>
      <sz val="5"/>
      <color rgb="FF000000"/>
      <name val="Arial Nova Cond Light"/>
      <family val="2"/>
    </font>
    <font>
      <sz val="8"/>
      <color theme="1"/>
      <name val="Arial Nova Cond Light"/>
      <family val="2"/>
    </font>
    <font>
      <b/>
      <sz val="11"/>
      <color theme="1"/>
      <name val="Calibri"/>
      <family val="2"/>
      <scheme val="minor"/>
    </font>
    <font>
      <b/>
      <i/>
      <sz val="5"/>
      <name val="Arial Nova Cond Light"/>
      <family val="2"/>
    </font>
    <font>
      <u/>
      <sz val="11"/>
      <color theme="10"/>
      <name val="Calibri"/>
      <family val="2"/>
      <scheme val="minor"/>
    </font>
  </fonts>
  <fills count="2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99FF"/>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C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D9F2D0"/>
      </patternFill>
    </fill>
    <fill>
      <patternFill patternType="solid">
        <fgColor theme="5" tint="0.79998168889431442"/>
        <bgColor rgb="FFFEF2CB"/>
      </patternFill>
    </fill>
    <fill>
      <patternFill patternType="solid">
        <fgColor rgb="FFAEAAAA"/>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6" fillId="0" borderId="0" applyNumberFormat="0" applyFill="0" applyBorder="0" applyAlignment="0" applyProtection="0"/>
  </cellStyleXfs>
  <cellXfs count="114">
    <xf numFmtId="0" fontId="0" fillId="0" borderId="0" xfId="0"/>
    <xf numFmtId="0" fontId="0" fillId="0" borderId="0" xfId="0" applyAlignment="1">
      <alignment horizont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0" fillId="0" borderId="0" xfId="0" applyAlignment="1">
      <alignment horizontal="right"/>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49" fontId="2" fillId="2" borderId="1" xfId="0" applyNumberFormat="1" applyFont="1" applyFill="1" applyBorder="1" applyAlignment="1">
      <alignment horizontal="left"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left" vertical="center"/>
    </xf>
    <xf numFmtId="0" fontId="0" fillId="0" borderId="0" xfId="0" applyAlignment="1">
      <alignment horizontal="left"/>
    </xf>
    <xf numFmtId="49" fontId="0" fillId="0" borderId="0" xfId="0" applyNumberFormat="1"/>
    <xf numFmtId="49" fontId="0" fillId="0" borderId="0" xfId="0" applyNumberFormat="1" applyAlignment="1">
      <alignment horizont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vertical="center"/>
    </xf>
    <xf numFmtId="0" fontId="0" fillId="0" borderId="0" xfId="0" applyAlignment="1">
      <alignment vertical="center"/>
    </xf>
    <xf numFmtId="0" fontId="2" fillId="5" borderId="1" xfId="0" applyFont="1" applyFill="1" applyBorder="1" applyAlignment="1">
      <alignment horizontal="center" vertical="center"/>
    </xf>
    <xf numFmtId="49" fontId="2" fillId="6" borderId="1" xfId="0" applyNumberFormat="1" applyFont="1" applyFill="1" applyBorder="1" applyAlignment="1">
      <alignment horizontal="left" vertical="center"/>
    </xf>
    <xf numFmtId="0" fontId="2" fillId="7" borderId="1" xfId="0" applyFont="1" applyFill="1" applyBorder="1" applyAlignment="1">
      <alignment vertical="center"/>
    </xf>
    <xf numFmtId="0" fontId="2" fillId="11" borderId="1" xfId="0" applyFont="1" applyFill="1" applyBorder="1" applyAlignment="1">
      <alignment vertical="center"/>
    </xf>
    <xf numFmtId="49" fontId="2" fillId="6" borderId="1" xfId="0" applyNumberFormat="1" applyFont="1" applyFill="1" applyBorder="1" applyAlignment="1">
      <alignment vertical="center"/>
    </xf>
    <xf numFmtId="0" fontId="3" fillId="12" borderId="1" xfId="0" applyFont="1" applyFill="1" applyBorder="1" applyAlignment="1">
      <alignment horizontal="left" vertical="center"/>
    </xf>
    <xf numFmtId="0" fontId="5" fillId="0" borderId="0" xfId="0" applyFont="1" applyAlignment="1">
      <alignment vertical="center"/>
    </xf>
    <xf numFmtId="0" fontId="2" fillId="0" borderId="1" xfId="0" applyFont="1" applyBorder="1" applyAlignment="1">
      <alignment horizontal="left" vertical="center"/>
    </xf>
    <xf numFmtId="0" fontId="6" fillId="13" borderId="1" xfId="0" applyFont="1" applyFill="1" applyBorder="1" applyAlignment="1">
      <alignment vertical="center"/>
    </xf>
    <xf numFmtId="0" fontId="2" fillId="0" borderId="1" xfId="0" applyFont="1" applyBorder="1" applyAlignment="1">
      <alignment vertical="center"/>
    </xf>
    <xf numFmtId="22" fontId="2" fillId="0" borderId="1" xfId="0" applyNumberFormat="1" applyFont="1" applyBorder="1" applyAlignment="1">
      <alignment horizontal="left" vertical="center"/>
    </xf>
    <xf numFmtId="0" fontId="2" fillId="0" borderId="1" xfId="0" applyFont="1" applyBorder="1" applyAlignment="1">
      <alignment vertical="center" wrapText="1"/>
    </xf>
    <xf numFmtId="0" fontId="7" fillId="15" borderId="2" xfId="0" applyFont="1" applyFill="1" applyBorder="1" applyAlignment="1">
      <alignment horizontal="left" vertical="center" wrapText="1"/>
    </xf>
    <xf numFmtId="0" fontId="9" fillId="17" borderId="1" xfId="0" applyFont="1" applyFill="1" applyBorder="1" applyAlignment="1">
      <alignment horizontal="center" vertical="center" wrapText="1"/>
    </xf>
    <xf numFmtId="0" fontId="9" fillId="17" borderId="1" xfId="0" applyFont="1" applyFill="1" applyBorder="1" applyAlignment="1">
      <alignment horizontal="left" vertical="center" wrapText="1"/>
    </xf>
    <xf numFmtId="0" fontId="10" fillId="17"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4" fillId="0" borderId="0" xfId="0" applyFont="1" applyAlignment="1">
      <alignment horizontal="left"/>
    </xf>
    <xf numFmtId="0" fontId="4" fillId="16" borderId="1"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2" fillId="11" borderId="1" xfId="0" applyFont="1" applyFill="1" applyBorder="1" applyAlignment="1">
      <alignment horizontal="left" vertical="center"/>
    </xf>
    <xf numFmtId="0" fontId="4" fillId="8" borderId="1" xfId="0" applyFont="1" applyFill="1" applyBorder="1" applyAlignment="1">
      <alignment horizontal="left" vertical="center"/>
    </xf>
    <xf numFmtId="0" fontId="4" fillId="9" borderId="1" xfId="0" applyFont="1" applyFill="1" applyBorder="1" applyAlignment="1">
      <alignment horizontal="left" vertical="center"/>
    </xf>
    <xf numFmtId="0" fontId="6" fillId="19" borderId="1" xfId="0" applyFont="1" applyFill="1" applyBorder="1" applyAlignment="1">
      <alignment horizontal="left" vertical="center"/>
    </xf>
    <xf numFmtId="0" fontId="6" fillId="20" borderId="1" xfId="0" applyFont="1" applyFill="1" applyBorder="1" applyAlignment="1">
      <alignment horizontal="left" vertical="center"/>
    </xf>
    <xf numFmtId="0" fontId="6" fillId="20" borderId="1" xfId="0" applyFont="1" applyFill="1" applyBorder="1" applyAlignment="1">
      <alignment vertical="center"/>
    </xf>
    <xf numFmtId="0" fontId="6" fillId="20" borderId="1" xfId="0" applyFont="1" applyFill="1" applyBorder="1" applyAlignment="1">
      <alignment horizontal="left" vertical="center" wrapText="1"/>
    </xf>
    <xf numFmtId="0" fontId="2" fillId="20" borderId="1" xfId="0" applyFont="1" applyFill="1" applyBorder="1" applyAlignment="1">
      <alignment horizontal="left" vertical="center"/>
    </xf>
    <xf numFmtId="0" fontId="2" fillId="20" borderId="1" xfId="0" applyFont="1" applyFill="1" applyBorder="1" applyAlignment="1">
      <alignment vertical="center"/>
    </xf>
    <xf numFmtId="0" fontId="6" fillId="7" borderId="1" xfId="0" applyFont="1" applyFill="1" applyBorder="1" applyAlignment="1">
      <alignment horizontal="left" vertical="center"/>
    </xf>
    <xf numFmtId="0" fontId="6" fillId="7" borderId="3" xfId="0" applyFont="1" applyFill="1" applyBorder="1" applyAlignment="1">
      <alignment horizontal="left" vertical="center"/>
    </xf>
    <xf numFmtId="0" fontId="6" fillId="7" borderId="1" xfId="0" applyFont="1" applyFill="1" applyBorder="1" applyAlignment="1">
      <alignment horizontal="left" vertical="center" wrapText="1"/>
    </xf>
    <xf numFmtId="0" fontId="4" fillId="7" borderId="1" xfId="0" applyFont="1" applyFill="1" applyBorder="1" applyAlignment="1">
      <alignment vertical="center"/>
    </xf>
    <xf numFmtId="0" fontId="2" fillId="20" borderId="2" xfId="0" applyFont="1" applyFill="1" applyBorder="1" applyAlignment="1">
      <alignment vertical="center"/>
    </xf>
    <xf numFmtId="0" fontId="4" fillId="7" borderId="2" xfId="0" applyFont="1" applyFill="1" applyBorder="1" applyAlignment="1">
      <alignment vertical="center"/>
    </xf>
    <xf numFmtId="0" fontId="2" fillId="7" borderId="2" xfId="0" applyFont="1" applyFill="1" applyBorder="1" applyAlignment="1">
      <alignment vertical="center"/>
    </xf>
    <xf numFmtId="0" fontId="2" fillId="7" borderId="1" xfId="0" applyFont="1" applyFill="1" applyBorder="1" applyAlignment="1">
      <alignment horizontal="left" vertical="center"/>
    </xf>
    <xf numFmtId="0" fontId="2" fillId="7" borderId="1" xfId="0" applyFont="1" applyFill="1" applyBorder="1" applyAlignment="1">
      <alignment vertical="center" wrapText="1"/>
    </xf>
    <xf numFmtId="0" fontId="2" fillId="20" borderId="1" xfId="0" applyFont="1" applyFill="1" applyBorder="1" applyAlignment="1">
      <alignment vertical="center" wrapText="1"/>
    </xf>
    <xf numFmtId="0" fontId="2" fillId="0" borderId="0" xfId="0" applyFont="1"/>
    <xf numFmtId="0" fontId="2" fillId="7" borderId="2" xfId="0" applyFont="1" applyFill="1" applyBorder="1" applyAlignment="1">
      <alignment vertical="center" wrapText="1"/>
    </xf>
    <xf numFmtId="0" fontId="6" fillId="11" borderId="1" xfId="0" applyFont="1" applyFill="1" applyBorder="1" applyAlignment="1">
      <alignment horizontal="left" vertical="center"/>
    </xf>
    <xf numFmtId="0" fontId="6" fillId="11" borderId="1" xfId="0" applyFont="1" applyFill="1" applyBorder="1" applyAlignment="1">
      <alignment horizontal="left" vertical="center" wrapText="1"/>
    </xf>
    <xf numFmtId="0" fontId="4" fillId="10" borderId="1" xfId="0" applyFont="1" applyFill="1" applyBorder="1" applyAlignment="1">
      <alignment horizontal="left" vertical="center"/>
    </xf>
    <xf numFmtId="49" fontId="2" fillId="11" borderId="1" xfId="0" applyNumberFormat="1" applyFont="1" applyFill="1" applyBorder="1" applyAlignment="1">
      <alignment horizontal="left" vertical="center"/>
    </xf>
    <xf numFmtId="0" fontId="12" fillId="15" borderId="1" xfId="0" applyFont="1" applyFill="1" applyBorder="1" applyAlignment="1">
      <alignment horizontal="left" vertical="center" wrapText="1"/>
    </xf>
    <xf numFmtId="0" fontId="3" fillId="12" borderId="1" xfId="0" applyFont="1" applyFill="1" applyBorder="1" applyAlignment="1">
      <alignment horizontal="center" vertical="center"/>
    </xf>
    <xf numFmtId="0" fontId="2" fillId="0" borderId="1" xfId="0" applyFont="1" applyBorder="1" applyAlignment="1">
      <alignment horizontal="center" vertical="center"/>
    </xf>
    <xf numFmtId="0" fontId="13" fillId="0" borderId="0" xfId="0" applyFont="1" applyAlignment="1">
      <alignment vertical="center"/>
    </xf>
    <xf numFmtId="0" fontId="4" fillId="14" borderId="1" xfId="0" applyFont="1" applyFill="1" applyBorder="1" applyAlignment="1">
      <alignment horizontal="left" vertical="center"/>
    </xf>
    <xf numFmtId="0" fontId="6" fillId="7" borderId="1" xfId="0" applyFont="1" applyFill="1" applyBorder="1" applyAlignment="1">
      <alignment vertical="center"/>
    </xf>
    <xf numFmtId="0" fontId="10" fillId="14" borderId="1" xfId="0" applyFont="1" applyFill="1" applyBorder="1" applyAlignment="1">
      <alignment horizontal="left" vertical="center"/>
    </xf>
    <xf numFmtId="0" fontId="10" fillId="16" borderId="1" xfId="0" applyFont="1" applyFill="1" applyBorder="1" applyAlignment="1">
      <alignment horizontal="left" vertical="center"/>
    </xf>
    <xf numFmtId="0" fontId="11" fillId="0" borderId="0" xfId="0" applyFont="1" applyAlignment="1">
      <alignment horizontal="left"/>
    </xf>
    <xf numFmtId="0" fontId="6" fillId="21" borderId="1" xfId="0" applyFont="1" applyFill="1" applyBorder="1" applyAlignment="1">
      <alignment horizontal="left" vertical="center"/>
    </xf>
    <xf numFmtId="0" fontId="6" fillId="4" borderId="1" xfId="0" applyFont="1" applyFill="1" applyBorder="1" applyAlignment="1">
      <alignment horizontal="right" vertical="center"/>
    </xf>
    <xf numFmtId="0" fontId="10" fillId="16" borderId="1" xfId="0" applyFont="1" applyFill="1" applyBorder="1" applyAlignment="1">
      <alignment vertical="center"/>
    </xf>
    <xf numFmtId="0" fontId="6" fillId="20" borderId="1" xfId="0" applyFont="1" applyFill="1" applyBorder="1" applyAlignment="1">
      <alignment vertical="center" wrapText="1"/>
    </xf>
    <xf numFmtId="0" fontId="4" fillId="20" borderId="1" xfId="0" applyFont="1" applyFill="1" applyBorder="1" applyAlignment="1">
      <alignment vertical="center"/>
    </xf>
    <xf numFmtId="0" fontId="6" fillId="7" borderId="1" xfId="0" applyFont="1" applyFill="1" applyBorder="1" applyAlignment="1">
      <alignment vertical="center" wrapText="1"/>
    </xf>
    <xf numFmtId="0" fontId="6" fillId="19" borderId="1" xfId="0" applyFont="1" applyFill="1" applyBorder="1" applyAlignment="1">
      <alignment vertical="center"/>
    </xf>
    <xf numFmtId="0" fontId="6" fillId="7" borderId="3" xfId="0" applyFont="1" applyFill="1" applyBorder="1" applyAlignment="1">
      <alignment vertical="center"/>
    </xf>
    <xf numFmtId="0" fontId="4" fillId="14" borderId="1" xfId="0" applyFont="1" applyFill="1" applyBorder="1" applyAlignment="1">
      <alignment vertical="center"/>
    </xf>
    <xf numFmtId="0" fontId="4" fillId="16" borderId="2" xfId="0" applyFont="1" applyFill="1" applyBorder="1" applyAlignment="1">
      <alignment vertical="center"/>
    </xf>
    <xf numFmtId="0" fontId="6" fillId="7" borderId="2" xfId="0" applyFont="1" applyFill="1" applyBorder="1" applyAlignment="1">
      <alignment vertical="center"/>
    </xf>
    <xf numFmtId="0" fontId="6" fillId="7" borderId="2" xfId="0" applyFont="1" applyFill="1" applyBorder="1" applyAlignment="1">
      <alignment vertical="center" wrapText="1"/>
    </xf>
    <xf numFmtId="0" fontId="4" fillId="14" borderId="2" xfId="0" applyFont="1" applyFill="1" applyBorder="1" applyAlignment="1">
      <alignment vertical="center"/>
    </xf>
    <xf numFmtId="0" fontId="6" fillId="20" borderId="2" xfId="0" applyFont="1" applyFill="1" applyBorder="1" applyAlignment="1">
      <alignment vertical="center"/>
    </xf>
    <xf numFmtId="0" fontId="12" fillId="14" borderId="1" xfId="0" applyFont="1" applyFill="1" applyBorder="1" applyAlignment="1">
      <alignment horizontal="right" vertical="center" wrapText="1"/>
    </xf>
    <xf numFmtId="0" fontId="12" fillId="14" borderId="1" xfId="0" applyFont="1" applyFill="1" applyBorder="1" applyAlignment="1">
      <alignment horizontal="left" vertical="center" wrapText="1"/>
    </xf>
    <xf numFmtId="0" fontId="15" fillId="14" borderId="1" xfId="0" applyFont="1" applyFill="1" applyBorder="1" applyAlignment="1">
      <alignment horizontal="left" vertical="center" wrapText="1"/>
    </xf>
    <xf numFmtId="0" fontId="12" fillId="15" borderId="1" xfId="0" applyFont="1" applyFill="1" applyBorder="1" applyAlignment="1">
      <alignment vertical="center" wrapText="1"/>
    </xf>
    <xf numFmtId="0" fontId="14" fillId="0" borderId="0" xfId="0" applyFont="1"/>
    <xf numFmtId="0" fontId="4" fillId="22" borderId="1" xfId="0" applyFont="1" applyFill="1" applyBorder="1" applyAlignment="1">
      <alignment horizontal="left" vertical="center"/>
    </xf>
    <xf numFmtId="0" fontId="13" fillId="0" borderId="0" xfId="0" applyFont="1" applyAlignment="1">
      <alignment horizontal="left"/>
    </xf>
    <xf numFmtId="0" fontId="7" fillId="23" borderId="1" xfId="0" applyFont="1" applyFill="1" applyBorder="1" applyAlignment="1">
      <alignment vertical="center"/>
    </xf>
    <xf numFmtId="0" fontId="4" fillId="0" borderId="1" xfId="1" applyFont="1" applyBorder="1" applyAlignment="1">
      <alignment horizontal="left" vertical="center"/>
    </xf>
    <xf numFmtId="0" fontId="4" fillId="0" borderId="1" xfId="1" applyFont="1" applyFill="1" applyBorder="1" applyAlignment="1">
      <alignment vertical="center"/>
    </xf>
    <xf numFmtId="0" fontId="4" fillId="0" borderId="1" xfId="1" applyFont="1" applyBorder="1" applyAlignment="1">
      <alignment vertical="center" wrapText="1"/>
    </xf>
    <xf numFmtId="0" fontId="4" fillId="0" borderId="1" xfId="0" applyFont="1" applyBorder="1" applyAlignment="1">
      <alignment vertical="center"/>
    </xf>
    <xf numFmtId="0" fontId="4" fillId="2" borderId="1" xfId="0" applyFont="1" applyFill="1" applyBorder="1" applyAlignment="1">
      <alignment vertical="center"/>
    </xf>
    <xf numFmtId="22" fontId="4" fillId="0" borderId="1" xfId="1" applyNumberFormat="1" applyFont="1" applyBorder="1" applyAlignment="1">
      <alignment horizontal="left" vertical="center"/>
    </xf>
    <xf numFmtId="0" fontId="4" fillId="0" borderId="1" xfId="1" applyFont="1" applyBorder="1" applyAlignment="1">
      <alignment vertical="center"/>
    </xf>
    <xf numFmtId="0" fontId="2" fillId="2" borderId="1" xfId="0" applyFont="1" applyFill="1" applyBorder="1" applyAlignment="1">
      <alignment vertical="center" wrapText="1"/>
    </xf>
  </cellXfs>
  <cellStyles count="2">
    <cellStyle name="Hiperlink" xfId="1" builtinId="8"/>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tint="-0.499984740745262"/>
      </font>
    </dxf>
    <dxf>
      <font>
        <color rgb="FF9C0006"/>
      </font>
      <fill>
        <patternFill>
          <bgColor rgb="FFFFC7CE"/>
        </patternFill>
      </fill>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
      <font>
        <b val="0"/>
        <i/>
        <strike val="0"/>
        <color theme="0" tint="-0.499984740745262"/>
      </fon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57DF-112B-4EF5-BCA2-53432E772EC5}">
  <dimension ref="A1:C49"/>
  <sheetViews>
    <sheetView tabSelected="1" zoomScale="190" zoomScaleNormal="190" workbookViewId="0">
      <pane ySplit="1" topLeftCell="A2" activePane="bottomLeft" state="frozen"/>
      <selection pane="bottomLeft" sqref="A1:XFD1"/>
    </sheetView>
  </sheetViews>
  <sheetFormatPr defaultColWidth="3.28515625" defaultRowHeight="8.25" customHeight="1" x14ac:dyDescent="0.25"/>
  <cols>
    <col min="1" max="1" width="12.85546875" bestFit="1" customWidth="1"/>
    <col min="2" max="2" width="52.28515625" style="32" customWidth="1"/>
    <col min="3" max="3" width="3.42578125" style="78" bestFit="1" customWidth="1"/>
    <col min="4" max="16384" width="3.28515625" style="32"/>
  </cols>
  <sheetData>
    <row r="1" spans="1:3" ht="18" customHeight="1" x14ac:dyDescent="0.25">
      <c r="A1" s="105" t="s">
        <v>853</v>
      </c>
      <c r="B1" s="31" t="s">
        <v>854</v>
      </c>
      <c r="C1" s="76" t="s">
        <v>5387</v>
      </c>
    </row>
    <row r="2" spans="1:3" ht="8.25" customHeight="1" x14ac:dyDescent="0.25">
      <c r="A2" s="34" t="s">
        <v>855</v>
      </c>
      <c r="B2" s="33" t="s">
        <v>856</v>
      </c>
      <c r="C2" s="77" t="s">
        <v>5388</v>
      </c>
    </row>
    <row r="3" spans="1:3" ht="8.25" customHeight="1" x14ac:dyDescent="0.25">
      <c r="A3" s="34" t="s">
        <v>857</v>
      </c>
      <c r="B3" s="34" t="s">
        <v>962</v>
      </c>
      <c r="C3" s="77" t="s">
        <v>5388</v>
      </c>
    </row>
    <row r="4" spans="1:3" ht="8.25" customHeight="1" x14ac:dyDescent="0.25">
      <c r="A4" s="35" t="s">
        <v>858</v>
      </c>
      <c r="B4" s="33" t="s">
        <v>859</v>
      </c>
      <c r="C4" s="77" t="s">
        <v>5388</v>
      </c>
    </row>
    <row r="5" spans="1:3" ht="8.25" customHeight="1" x14ac:dyDescent="0.25">
      <c r="A5" s="35" t="s">
        <v>860</v>
      </c>
      <c r="B5" s="33" t="str">
        <f>_xlfn.CONCAT(B4,"Prop")</f>
        <v>BIMProp</v>
      </c>
      <c r="C5" s="77" t="s">
        <v>5388</v>
      </c>
    </row>
    <row r="6" spans="1:3" ht="8.25" customHeight="1" x14ac:dyDescent="0.25">
      <c r="A6" s="35" t="s">
        <v>861</v>
      </c>
      <c r="B6" s="33" t="str">
        <f>_xlfn.CONCAT(B4,"Data")</f>
        <v>BIMData</v>
      </c>
      <c r="C6" s="77" t="s">
        <v>5388</v>
      </c>
    </row>
    <row r="7" spans="1:3" ht="8.25" customHeight="1" x14ac:dyDescent="0.25">
      <c r="A7" s="35" t="s">
        <v>862</v>
      </c>
      <c r="B7" s="33" t="s">
        <v>863</v>
      </c>
      <c r="C7" s="77" t="s">
        <v>5388</v>
      </c>
    </row>
    <row r="8" spans="1:3" customFormat="1" ht="9" customHeight="1" x14ac:dyDescent="0.25">
      <c r="A8" s="33" t="s">
        <v>864</v>
      </c>
      <c r="B8" s="35" t="s">
        <v>5386</v>
      </c>
      <c r="C8" s="77" t="s">
        <v>5388</v>
      </c>
    </row>
    <row r="9" spans="1:3" ht="8.25" customHeight="1" x14ac:dyDescent="0.25">
      <c r="A9" s="35" t="s">
        <v>865</v>
      </c>
      <c r="B9" s="33" t="s">
        <v>866</v>
      </c>
      <c r="C9" s="77" t="s">
        <v>5388</v>
      </c>
    </row>
    <row r="10" spans="1:3" ht="8.25" customHeight="1" x14ac:dyDescent="0.25">
      <c r="A10" s="35" t="s">
        <v>7260</v>
      </c>
      <c r="B10" s="33" t="s">
        <v>867</v>
      </c>
      <c r="C10" s="77" t="s">
        <v>5388</v>
      </c>
    </row>
    <row r="11" spans="1:3" ht="8.25" customHeight="1" x14ac:dyDescent="0.25">
      <c r="A11" s="35" t="s">
        <v>7261</v>
      </c>
      <c r="B11" s="33" t="s">
        <v>867</v>
      </c>
      <c r="C11" s="77" t="s">
        <v>5388</v>
      </c>
    </row>
    <row r="12" spans="1:3" ht="8.25" customHeight="1" x14ac:dyDescent="0.25">
      <c r="A12" s="35" t="s">
        <v>7262</v>
      </c>
      <c r="B12" s="33" t="s">
        <v>867</v>
      </c>
      <c r="C12" s="77" t="s">
        <v>5388</v>
      </c>
    </row>
    <row r="13" spans="1:3" ht="8.25" customHeight="1" x14ac:dyDescent="0.25">
      <c r="A13" s="35" t="s">
        <v>7263</v>
      </c>
      <c r="B13" s="33" t="s">
        <v>867</v>
      </c>
      <c r="C13" s="77" t="s">
        <v>5388</v>
      </c>
    </row>
    <row r="14" spans="1:3" ht="8.25" customHeight="1" x14ac:dyDescent="0.25">
      <c r="A14" s="35" t="s">
        <v>7264</v>
      </c>
      <c r="B14" s="33" t="s">
        <v>867</v>
      </c>
      <c r="C14" s="77" t="s">
        <v>5388</v>
      </c>
    </row>
    <row r="15" spans="1:3" ht="8.25" customHeight="1" x14ac:dyDescent="0.25">
      <c r="A15" s="35" t="s">
        <v>7265</v>
      </c>
      <c r="B15" s="33" t="s">
        <v>867</v>
      </c>
      <c r="C15" s="77" t="s">
        <v>5388</v>
      </c>
    </row>
    <row r="16" spans="1:3" ht="8.25" customHeight="1" x14ac:dyDescent="0.25">
      <c r="A16" s="35" t="s">
        <v>7266</v>
      </c>
      <c r="B16" s="33" t="s">
        <v>867</v>
      </c>
      <c r="C16" s="77" t="s">
        <v>5388</v>
      </c>
    </row>
    <row r="17" spans="1:3" ht="8.25" customHeight="1" x14ac:dyDescent="0.25">
      <c r="A17" s="35" t="s">
        <v>868</v>
      </c>
      <c r="B17" s="35" t="s">
        <v>963</v>
      </c>
      <c r="C17" s="77" t="s">
        <v>5388</v>
      </c>
    </row>
    <row r="18" spans="1:3" ht="8.25" customHeight="1" x14ac:dyDescent="0.25">
      <c r="A18" s="35" t="s">
        <v>869</v>
      </c>
      <c r="B18" s="36">
        <f ca="1">NOW()</f>
        <v>46276.461625000004</v>
      </c>
      <c r="C18" s="77" t="s">
        <v>5388</v>
      </c>
    </row>
    <row r="19" spans="1:3" ht="8.25" customHeight="1" x14ac:dyDescent="0.25">
      <c r="A19" s="35" t="s">
        <v>7267</v>
      </c>
      <c r="B19" s="33" t="s">
        <v>867</v>
      </c>
      <c r="C19" s="77" t="s">
        <v>5388</v>
      </c>
    </row>
    <row r="20" spans="1:3" ht="8.25" customHeight="1" x14ac:dyDescent="0.25">
      <c r="A20" s="33" t="s">
        <v>7268</v>
      </c>
      <c r="B20" s="33" t="s">
        <v>867</v>
      </c>
      <c r="C20" s="77" t="s">
        <v>5388</v>
      </c>
    </row>
    <row r="21" spans="1:3" ht="8.25" customHeight="1" x14ac:dyDescent="0.25">
      <c r="A21" s="33" t="s">
        <v>7269</v>
      </c>
      <c r="B21" s="33" t="s">
        <v>867</v>
      </c>
      <c r="C21" s="77" t="s">
        <v>5388</v>
      </c>
    </row>
    <row r="22" spans="1:3" ht="8.25" customHeight="1" x14ac:dyDescent="0.25">
      <c r="A22" s="35" t="s">
        <v>870</v>
      </c>
      <c r="B22" s="33" t="s">
        <v>867</v>
      </c>
      <c r="C22" s="77" t="s">
        <v>5388</v>
      </c>
    </row>
    <row r="23" spans="1:3" ht="8.25" customHeight="1" x14ac:dyDescent="0.25">
      <c r="A23" s="35" t="s">
        <v>871</v>
      </c>
      <c r="B23" s="33" t="s">
        <v>867</v>
      </c>
      <c r="C23" s="77" t="s">
        <v>5388</v>
      </c>
    </row>
    <row r="24" spans="1:3" customFormat="1" ht="9" customHeight="1" x14ac:dyDescent="0.25">
      <c r="A24" s="35" t="s">
        <v>872</v>
      </c>
      <c r="B24" s="37" t="s">
        <v>964</v>
      </c>
      <c r="C24" s="77" t="s">
        <v>5388</v>
      </c>
    </row>
    <row r="25" spans="1:3" ht="8.25" customHeight="1" x14ac:dyDescent="0.25">
      <c r="A25" s="35" t="s">
        <v>873</v>
      </c>
      <c r="B25" s="37" t="s">
        <v>965</v>
      </c>
      <c r="C25" s="77" t="s">
        <v>5389</v>
      </c>
    </row>
    <row r="26" spans="1:3" ht="8.25" customHeight="1" x14ac:dyDescent="0.25">
      <c r="A26" s="33" t="s">
        <v>5385</v>
      </c>
      <c r="B26" s="37" t="str">
        <f>_xlfn.TRANSLATE(B24,"pt","en")</f>
        <v>Formalize concepts of internal coding elements of the Technology Center</v>
      </c>
      <c r="C26" s="77" t="s">
        <v>5390</v>
      </c>
    </row>
    <row r="27" spans="1:3" ht="8.25" customHeight="1" x14ac:dyDescent="0.25">
      <c r="A27" s="33" t="s">
        <v>7270</v>
      </c>
      <c r="B27" s="106" t="s">
        <v>7293</v>
      </c>
      <c r="C27" s="77" t="s">
        <v>5388</v>
      </c>
    </row>
    <row r="28" spans="1:3" ht="8.25" customHeight="1" x14ac:dyDescent="0.25">
      <c r="A28" s="33" t="s">
        <v>7271</v>
      </c>
      <c r="B28" s="107" t="s">
        <v>7294</v>
      </c>
      <c r="C28" s="77" t="s">
        <v>5388</v>
      </c>
    </row>
    <row r="29" spans="1:3" ht="8.25" customHeight="1" x14ac:dyDescent="0.25">
      <c r="A29" s="33" t="s">
        <v>7272</v>
      </c>
      <c r="B29" s="107" t="s">
        <v>7295</v>
      </c>
      <c r="C29" s="77" t="s">
        <v>5388</v>
      </c>
    </row>
    <row r="30" spans="1:3" ht="8.25" customHeight="1" x14ac:dyDescent="0.25">
      <c r="A30" s="33" t="s">
        <v>7273</v>
      </c>
      <c r="B30" s="108" t="s">
        <v>7296</v>
      </c>
      <c r="C30" s="77" t="s">
        <v>5388</v>
      </c>
    </row>
    <row r="31" spans="1:3" ht="8.25" customHeight="1" x14ac:dyDescent="0.25">
      <c r="A31" s="33" t="s">
        <v>7274</v>
      </c>
      <c r="B31" s="109" t="s">
        <v>7297</v>
      </c>
      <c r="C31" s="77" t="s">
        <v>5388</v>
      </c>
    </row>
    <row r="32" spans="1:3" ht="8.25" customHeight="1" x14ac:dyDescent="0.25">
      <c r="A32" s="33" t="s">
        <v>7275</v>
      </c>
      <c r="B32" s="109" t="s">
        <v>7298</v>
      </c>
      <c r="C32" s="77" t="s">
        <v>5388</v>
      </c>
    </row>
    <row r="33" spans="1:3" ht="8.25" customHeight="1" x14ac:dyDescent="0.25">
      <c r="A33" s="33" t="s">
        <v>7276</v>
      </c>
      <c r="B33" s="109" t="s">
        <v>7299</v>
      </c>
      <c r="C33" s="77" t="s">
        <v>5388</v>
      </c>
    </row>
    <row r="34" spans="1:3" ht="8.25" customHeight="1" x14ac:dyDescent="0.25">
      <c r="A34" s="33" t="s">
        <v>7277</v>
      </c>
      <c r="B34" s="110" t="s">
        <v>7300</v>
      </c>
      <c r="C34" s="77" t="s">
        <v>5388</v>
      </c>
    </row>
    <row r="35" spans="1:3" ht="8.25" customHeight="1" x14ac:dyDescent="0.25">
      <c r="A35" s="33" t="s">
        <v>7278</v>
      </c>
      <c r="B35" s="110" t="s">
        <v>7301</v>
      </c>
      <c r="C35" s="77" t="s">
        <v>5388</v>
      </c>
    </row>
    <row r="36" spans="1:3" ht="8.25" customHeight="1" x14ac:dyDescent="0.25">
      <c r="A36" s="33" t="s">
        <v>7279</v>
      </c>
      <c r="B36" s="109" t="s">
        <v>7302</v>
      </c>
      <c r="C36" s="77" t="s">
        <v>5388</v>
      </c>
    </row>
    <row r="37" spans="1:3" ht="8.25" customHeight="1" x14ac:dyDescent="0.25">
      <c r="A37" s="33" t="s">
        <v>7280</v>
      </c>
      <c r="B37" s="110" t="s">
        <v>7303</v>
      </c>
      <c r="C37" s="77" t="s">
        <v>5388</v>
      </c>
    </row>
    <row r="38" spans="1:3" ht="8.25" customHeight="1" x14ac:dyDescent="0.25">
      <c r="A38" s="33" t="s">
        <v>7281</v>
      </c>
      <c r="B38" s="109" t="s">
        <v>7304</v>
      </c>
      <c r="C38" s="77" t="s">
        <v>5388</v>
      </c>
    </row>
    <row r="39" spans="1:3" ht="8.25" customHeight="1" x14ac:dyDescent="0.25">
      <c r="A39" s="33" t="s">
        <v>7282</v>
      </c>
      <c r="B39" s="111" t="s">
        <v>7305</v>
      </c>
      <c r="C39" s="77" t="s">
        <v>5388</v>
      </c>
    </row>
    <row r="40" spans="1:3" ht="8.25" customHeight="1" x14ac:dyDescent="0.25">
      <c r="A40" s="33" t="s">
        <v>7283</v>
      </c>
      <c r="B40" s="111" t="s">
        <v>7306</v>
      </c>
      <c r="C40" s="77" t="s">
        <v>5388</v>
      </c>
    </row>
    <row r="41" spans="1:3" ht="8.25" customHeight="1" x14ac:dyDescent="0.25">
      <c r="A41" s="33" t="s">
        <v>7284</v>
      </c>
      <c r="B41" s="112" t="s">
        <v>7307</v>
      </c>
      <c r="C41" s="77" t="s">
        <v>5388</v>
      </c>
    </row>
    <row r="42" spans="1:3" ht="8.25" customHeight="1" x14ac:dyDescent="0.25">
      <c r="A42" s="33" t="s">
        <v>7285</v>
      </c>
      <c r="B42" s="113" t="s">
        <v>7308</v>
      </c>
      <c r="C42" s="77" t="s">
        <v>5388</v>
      </c>
    </row>
    <row r="43" spans="1:3" ht="8.25" customHeight="1" x14ac:dyDescent="0.25">
      <c r="A43" s="33" t="s">
        <v>7286</v>
      </c>
      <c r="B43" s="113" t="s">
        <v>7309</v>
      </c>
      <c r="C43" s="77" t="s">
        <v>5388</v>
      </c>
    </row>
    <row r="44" spans="1:3" ht="8.25" customHeight="1" x14ac:dyDescent="0.25">
      <c r="A44" s="33" t="s">
        <v>7287</v>
      </c>
      <c r="B44" s="113" t="s">
        <v>7310</v>
      </c>
      <c r="C44" s="77" t="s">
        <v>5388</v>
      </c>
    </row>
    <row r="45" spans="1:3" ht="8.25" customHeight="1" x14ac:dyDescent="0.25">
      <c r="A45" s="33" t="s">
        <v>7288</v>
      </c>
      <c r="B45" s="113" t="s">
        <v>7311</v>
      </c>
      <c r="C45" s="77" t="s">
        <v>5388</v>
      </c>
    </row>
    <row r="46" spans="1:3" ht="8.25" customHeight="1" x14ac:dyDescent="0.25">
      <c r="A46" s="33" t="s">
        <v>7289</v>
      </c>
      <c r="B46" s="113" t="s">
        <v>7312</v>
      </c>
      <c r="C46" s="77" t="s">
        <v>5388</v>
      </c>
    </row>
    <row r="47" spans="1:3" ht="8.25" customHeight="1" x14ac:dyDescent="0.25">
      <c r="A47" s="33" t="s">
        <v>7290</v>
      </c>
      <c r="B47" s="113" t="s">
        <v>7313</v>
      </c>
      <c r="C47" s="77" t="s">
        <v>5388</v>
      </c>
    </row>
    <row r="48" spans="1:3" ht="8.25" customHeight="1" x14ac:dyDescent="0.25">
      <c r="A48" s="33" t="s">
        <v>7291</v>
      </c>
      <c r="B48" s="113" t="s">
        <v>7314</v>
      </c>
      <c r="C48" s="77" t="s">
        <v>5388</v>
      </c>
    </row>
    <row r="49" spans="1:3" ht="8.25" customHeight="1" x14ac:dyDescent="0.25">
      <c r="A49" s="33" t="s">
        <v>7292</v>
      </c>
      <c r="B49" s="113" t="s">
        <v>7315</v>
      </c>
      <c r="C49" s="77" t="s">
        <v>5388</v>
      </c>
    </row>
  </sheetData>
  <hyperlinks>
    <hyperlink ref="B27" r:id="rId1" xr:uid="{7AD365AE-2278-4A1B-BB6F-CC0FBFCE4941}"/>
    <hyperlink ref="B29" r:id="rId2" xr:uid="{430557BD-C5AB-480A-A90F-D05A50D2CAFF}"/>
    <hyperlink ref="B28" r:id="rId3" xr:uid="{70379E08-9410-4514-BF09-3C10429A7692}"/>
    <hyperlink ref="B39" r:id="rId4" location="categoria_888" xr:uid="{FF6FD506-86BA-4297-B2B1-307565D68233}"/>
    <hyperlink ref="B40" r:id="rId5" xr:uid="{68C1F424-70C5-4242-8223-C50B553A2D03}"/>
    <hyperlink ref="B41" r:id="rId6" xr:uid="{3595B342-71B6-4899-AAA2-C43F0AB7EB55}"/>
    <hyperlink ref="B30" r:id="rId7" xr:uid="{D13726C2-5FFF-4FE9-809B-7F4AA3974194}"/>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FBF1-C962-48BA-B776-EE87F65674F0}">
  <dimension ref="A1:AD1184"/>
  <sheetViews>
    <sheetView topLeftCell="Y1" zoomScale="250" zoomScaleNormal="250" workbookViewId="0">
      <pane ySplit="1" topLeftCell="A89" activePane="bottomLeft" state="frozen"/>
      <selection pane="bottomLeft" activeCell="W2" sqref="W2"/>
    </sheetView>
  </sheetViews>
  <sheetFormatPr defaultRowHeight="6.75" customHeight="1" x14ac:dyDescent="0.25"/>
  <cols>
    <col min="1" max="1" width="3.85546875" style="11" bestFit="1" customWidth="1"/>
    <col min="2" max="2" width="6.28515625" bestFit="1" customWidth="1"/>
    <col min="3" max="3" width="9" bestFit="1" customWidth="1"/>
    <col min="4" max="4" width="14.42578125" bestFit="1" customWidth="1"/>
    <col min="5" max="5" width="13.85546875" bestFit="1" customWidth="1"/>
    <col min="6" max="6" width="22.140625" bestFit="1" customWidth="1"/>
    <col min="7" max="7" width="15.85546875" style="83" bestFit="1" customWidth="1"/>
    <col min="8" max="8" width="19.28515625" style="83" bestFit="1" customWidth="1"/>
    <col min="9" max="9" width="23.28515625" style="83" bestFit="1" customWidth="1"/>
    <col min="10" max="10" width="24.7109375" style="83" bestFit="1" customWidth="1"/>
    <col min="11" max="11" width="43" style="83" bestFit="1" customWidth="1"/>
    <col min="12" max="12" width="9" bestFit="1" customWidth="1"/>
    <col min="13" max="13" width="14.42578125" bestFit="1" customWidth="1"/>
    <col min="14" max="14" width="13.85546875" bestFit="1" customWidth="1"/>
    <col min="15" max="15" width="22.140625" bestFit="1" customWidth="1"/>
    <col min="16" max="18" width="255.7109375" bestFit="1" customWidth="1"/>
    <col min="19" max="19" width="3.28515625" style="18" bestFit="1" customWidth="1"/>
    <col min="20" max="20" width="9" bestFit="1" customWidth="1"/>
    <col min="21" max="21" width="14.140625" bestFit="1" customWidth="1"/>
    <col min="22" max="22" width="13.85546875" bestFit="1" customWidth="1"/>
    <col min="23" max="23" width="8.5703125" style="18" bestFit="1" customWidth="1"/>
    <col min="24" max="24" width="10.42578125" style="18" bestFit="1" customWidth="1"/>
    <col min="25" max="25" width="159.28515625" style="18" bestFit="1" customWidth="1"/>
    <col min="26" max="26" width="6.85546875" style="18" bestFit="1" customWidth="1"/>
    <col min="27" max="27" width="35" style="18" bestFit="1" customWidth="1"/>
    <col min="28" max="28" width="6" style="18" bestFit="1" customWidth="1"/>
    <col min="29" max="29" width="8.42578125" style="18" bestFit="1" customWidth="1"/>
  </cols>
  <sheetData>
    <row r="1" spans="1:30" s="102" customFormat="1" ht="37.9" customHeight="1" x14ac:dyDescent="0.25">
      <c r="A1" s="98">
        <v>1</v>
      </c>
      <c r="B1" s="99" t="s">
        <v>874</v>
      </c>
      <c r="C1" s="99" t="s">
        <v>875</v>
      </c>
      <c r="D1" s="99" t="s">
        <v>876</v>
      </c>
      <c r="E1" s="99" t="s">
        <v>877</v>
      </c>
      <c r="F1" s="99" t="s">
        <v>1150</v>
      </c>
      <c r="G1" s="100" t="s">
        <v>878</v>
      </c>
      <c r="H1" s="100" t="s">
        <v>879</v>
      </c>
      <c r="I1" s="100" t="s">
        <v>880</v>
      </c>
      <c r="J1" s="100" t="s">
        <v>881</v>
      </c>
      <c r="K1" s="100" t="s">
        <v>882</v>
      </c>
      <c r="L1" s="75" t="s">
        <v>883</v>
      </c>
      <c r="M1" s="75" t="s">
        <v>884</v>
      </c>
      <c r="N1" s="75" t="s">
        <v>1151</v>
      </c>
      <c r="O1" s="75" t="s">
        <v>885</v>
      </c>
      <c r="P1" s="75" t="s">
        <v>886</v>
      </c>
      <c r="Q1" s="75" t="s">
        <v>887</v>
      </c>
      <c r="R1" s="75" t="s">
        <v>5384</v>
      </c>
      <c r="S1" s="75" t="s">
        <v>1152</v>
      </c>
      <c r="T1" s="101" t="s">
        <v>888</v>
      </c>
      <c r="U1" s="101" t="s">
        <v>889</v>
      </c>
      <c r="V1" s="101" t="s">
        <v>890</v>
      </c>
      <c r="W1" s="75" t="s">
        <v>891</v>
      </c>
      <c r="X1" s="99" t="s">
        <v>892</v>
      </c>
      <c r="Y1" s="38" t="s">
        <v>893</v>
      </c>
      <c r="Z1" s="38" t="s">
        <v>7143</v>
      </c>
      <c r="AA1" s="38" t="s">
        <v>7142</v>
      </c>
      <c r="AB1" s="38" t="s">
        <v>7141</v>
      </c>
      <c r="AC1" s="38" t="s">
        <v>894</v>
      </c>
      <c r="AD1" s="38" t="s">
        <v>7258</v>
      </c>
    </row>
    <row r="2" spans="1:30" ht="6.75" customHeight="1" x14ac:dyDescent="0.25">
      <c r="A2" s="85">
        <v>2</v>
      </c>
      <c r="B2" s="59" t="s">
        <v>5419</v>
      </c>
      <c r="C2" s="61" t="s">
        <v>5491</v>
      </c>
      <c r="D2" s="61" t="s">
        <v>5492</v>
      </c>
      <c r="E2" s="61" t="s">
        <v>5493</v>
      </c>
      <c r="F2" s="61" t="s">
        <v>5490</v>
      </c>
      <c r="G2" s="81" t="s">
        <v>692</v>
      </c>
      <c r="H2" s="81" t="s">
        <v>692</v>
      </c>
      <c r="I2" s="81" t="s">
        <v>692</v>
      </c>
      <c r="J2" s="81" t="s">
        <v>692</v>
      </c>
      <c r="K2" s="81" t="s">
        <v>692</v>
      </c>
      <c r="L2" s="53" t="str">
        <f t="shared" ref="L2" si="0">CONCATENATE("", C2)</f>
        <v>Código.N1</v>
      </c>
      <c r="M2" s="53" t="str">
        <f t="shared" ref="M2" si="1">CONCATENATE("", D2)</f>
        <v>Código.N2</v>
      </c>
      <c r="N2" s="53" t="str">
        <f t="shared" ref="N2" si="2">(SUBSTITUTE(SUBSTITUTE(CONCATENATE("",E2),"."," ")," De "," de "))</f>
        <v>Código N3</v>
      </c>
      <c r="O2" s="53" t="str">
        <f t="shared" ref="O2" si="3">(SUBSTITUTE(SUBSTITUTE(CONCATENATE("",F2),"."," ")," De "," de "))</f>
        <v>Código</v>
      </c>
      <c r="P2" s="56" t="s">
        <v>5495</v>
      </c>
      <c r="Q2" s="56" t="str">
        <f>_xlfn.TRANSLATE(P2,"pt","es")</f>
        <v>Código usado para identificación.</v>
      </c>
      <c r="R2" s="54" t="s">
        <v>6004</v>
      </c>
      <c r="S2" s="54" t="s">
        <v>692</v>
      </c>
      <c r="T2" s="55" t="str">
        <f t="shared" ref="T2" si="4">SUBSTITUTE(C2, ".", " ")</f>
        <v>Código N1</v>
      </c>
      <c r="U2" s="55" t="str">
        <f t="shared" ref="U2" si="5">SUBSTITUTE(D2, ".", " ")</f>
        <v>Código N2</v>
      </c>
      <c r="V2" s="55" t="str">
        <f t="shared" ref="V2" si="6">SUBSTITUTE(E2, ".", " ")</f>
        <v>Código N3</v>
      </c>
      <c r="W2" s="54" t="s">
        <v>7259</v>
      </c>
      <c r="X2" s="84" t="str">
        <f>CONCATENATE("Key-COD-CT-",A2)</f>
        <v>Key-COD-CT-2</v>
      </c>
      <c r="Y2" s="84" t="s">
        <v>5453</v>
      </c>
      <c r="Z2" s="84" t="s">
        <v>692</v>
      </c>
      <c r="AA2" s="84" t="s">
        <v>5622</v>
      </c>
      <c r="AB2" s="84" t="s">
        <v>692</v>
      </c>
      <c r="AC2" s="84" t="s">
        <v>692</v>
      </c>
      <c r="AD2" s="54" t="s">
        <v>692</v>
      </c>
    </row>
    <row r="3" spans="1:30" ht="6.75" customHeight="1" x14ac:dyDescent="0.25">
      <c r="A3" s="85">
        <v>3</v>
      </c>
      <c r="B3" s="59" t="s">
        <v>5419</v>
      </c>
      <c r="C3" s="59" t="s">
        <v>5420</v>
      </c>
      <c r="D3" s="59" t="s">
        <v>1153</v>
      </c>
      <c r="E3" s="59" t="s">
        <v>1154</v>
      </c>
      <c r="F3" s="61" t="s">
        <v>1155</v>
      </c>
      <c r="G3" s="81" t="s">
        <v>692</v>
      </c>
      <c r="H3" s="81" t="s">
        <v>692</v>
      </c>
      <c r="I3" s="81" t="s">
        <v>692</v>
      </c>
      <c r="J3" s="81" t="s">
        <v>692</v>
      </c>
      <c r="K3" s="81" t="s">
        <v>692</v>
      </c>
      <c r="L3" s="53" t="str">
        <f t="shared" ref="L3:M17" si="7">CONCATENATE("", C3)</f>
        <v>Iniciais</v>
      </c>
      <c r="M3" s="53" t="str">
        <f t="shared" si="7"/>
        <v>Estudos</v>
      </c>
      <c r="N3" s="53" t="str">
        <f t="shared" ref="N3:O17" si="8">(SUBSTITUTE(SUBSTITUTE(CONCATENATE("",E3),"."," ")," De "," de "))</f>
        <v>Preliminar</v>
      </c>
      <c r="O3" s="53" t="str">
        <f t="shared" si="8"/>
        <v>100 Piso</v>
      </c>
      <c r="P3" s="56" t="s">
        <v>1156</v>
      </c>
      <c r="Q3" s="56" t="s">
        <v>1157</v>
      </c>
      <c r="R3" s="54" t="s">
        <v>6005</v>
      </c>
      <c r="S3" s="54" t="s">
        <v>692</v>
      </c>
      <c r="T3" s="55" t="str">
        <f t="shared" ref="T3:V17" si="9">SUBSTITUTE(C3, ".", " ")</f>
        <v>Iniciais</v>
      </c>
      <c r="U3" s="55" t="str">
        <f t="shared" si="9"/>
        <v>Estudos</v>
      </c>
      <c r="V3" s="55" t="str">
        <f t="shared" si="9"/>
        <v>Preliminar</v>
      </c>
      <c r="W3" s="54" t="s">
        <v>7259</v>
      </c>
      <c r="X3" s="84" t="str">
        <f t="shared" ref="X3:X66" si="10">CONCATENATE("Key-COD-CT-",A3)</f>
        <v>Key-COD-CT-3</v>
      </c>
      <c r="Y3" s="84" t="s">
        <v>5453</v>
      </c>
      <c r="Z3" s="84" t="s">
        <v>692</v>
      </c>
      <c r="AA3" s="84" t="s">
        <v>5622</v>
      </c>
      <c r="AB3" s="84" t="s">
        <v>692</v>
      </c>
      <c r="AC3" s="84" t="s">
        <v>692</v>
      </c>
      <c r="AD3" s="54" t="s">
        <v>692</v>
      </c>
    </row>
    <row r="4" spans="1:30" ht="6.75" customHeight="1" x14ac:dyDescent="0.25">
      <c r="A4" s="85">
        <v>4</v>
      </c>
      <c r="B4" s="59" t="s">
        <v>5419</v>
      </c>
      <c r="C4" s="59" t="s">
        <v>5420</v>
      </c>
      <c r="D4" s="59" t="s">
        <v>1153</v>
      </c>
      <c r="E4" s="59" t="s">
        <v>1154</v>
      </c>
      <c r="F4" s="61" t="s">
        <v>1158</v>
      </c>
      <c r="G4" s="81" t="s">
        <v>692</v>
      </c>
      <c r="H4" s="81" t="s">
        <v>692</v>
      </c>
      <c r="I4" s="81" t="s">
        <v>692</v>
      </c>
      <c r="J4" s="81" t="s">
        <v>692</v>
      </c>
      <c r="K4" s="81" t="s">
        <v>692</v>
      </c>
      <c r="L4" s="53" t="str">
        <f t="shared" si="7"/>
        <v>Iniciais</v>
      </c>
      <c r="M4" s="53" t="str">
        <f t="shared" si="7"/>
        <v>Estudos</v>
      </c>
      <c r="N4" s="53" t="str">
        <f t="shared" si="8"/>
        <v>Preliminar</v>
      </c>
      <c r="O4" s="53" t="str">
        <f t="shared" si="8"/>
        <v>100 Parede</v>
      </c>
      <c r="P4" s="56" t="s">
        <v>1159</v>
      </c>
      <c r="Q4" s="56" t="s">
        <v>1160</v>
      </c>
      <c r="R4" s="54" t="s">
        <v>6006</v>
      </c>
      <c r="S4" s="54" t="s">
        <v>692</v>
      </c>
      <c r="T4" s="55" t="str">
        <f t="shared" si="9"/>
        <v>Iniciais</v>
      </c>
      <c r="U4" s="55" t="str">
        <f t="shared" si="9"/>
        <v>Estudos</v>
      </c>
      <c r="V4" s="55" t="str">
        <f t="shared" si="9"/>
        <v>Preliminar</v>
      </c>
      <c r="W4" s="54" t="s">
        <v>7259</v>
      </c>
      <c r="X4" s="84" t="str">
        <f t="shared" si="10"/>
        <v>Key-COD-CT-4</v>
      </c>
      <c r="Y4" s="84" t="s">
        <v>5496</v>
      </c>
      <c r="Z4" s="84" t="s">
        <v>692</v>
      </c>
      <c r="AA4" s="84" t="s">
        <v>5623</v>
      </c>
      <c r="AB4" s="84" t="s">
        <v>692</v>
      </c>
      <c r="AC4" s="84" t="s">
        <v>692</v>
      </c>
      <c r="AD4" s="54" t="s">
        <v>692</v>
      </c>
    </row>
    <row r="5" spans="1:30" ht="6.75" customHeight="1" x14ac:dyDescent="0.25">
      <c r="A5" s="85">
        <v>5</v>
      </c>
      <c r="B5" s="59" t="s">
        <v>5419</v>
      </c>
      <c r="C5" s="59" t="s">
        <v>5420</v>
      </c>
      <c r="D5" s="59" t="s">
        <v>1153</v>
      </c>
      <c r="E5" s="59" t="s">
        <v>1154</v>
      </c>
      <c r="F5" s="61" t="s">
        <v>1161</v>
      </c>
      <c r="G5" s="81" t="s">
        <v>692</v>
      </c>
      <c r="H5" s="81" t="s">
        <v>692</v>
      </c>
      <c r="I5" s="81" t="s">
        <v>692</v>
      </c>
      <c r="J5" s="81" t="s">
        <v>692</v>
      </c>
      <c r="K5" s="81" t="s">
        <v>692</v>
      </c>
      <c r="L5" s="53" t="str">
        <f t="shared" si="7"/>
        <v>Iniciais</v>
      </c>
      <c r="M5" s="53" t="str">
        <f t="shared" si="7"/>
        <v>Estudos</v>
      </c>
      <c r="N5" s="53" t="str">
        <f t="shared" si="8"/>
        <v>Preliminar</v>
      </c>
      <c r="O5" s="53" t="str">
        <f t="shared" si="8"/>
        <v>100 Divisória</v>
      </c>
      <c r="P5" s="56" t="s">
        <v>1162</v>
      </c>
      <c r="Q5" s="56" t="s">
        <v>1163</v>
      </c>
      <c r="R5" s="54" t="s">
        <v>6007</v>
      </c>
      <c r="S5" s="54" t="s">
        <v>692</v>
      </c>
      <c r="T5" s="55" t="str">
        <f t="shared" si="9"/>
        <v>Iniciais</v>
      </c>
      <c r="U5" s="55" t="str">
        <f t="shared" si="9"/>
        <v>Estudos</v>
      </c>
      <c r="V5" s="55" t="str">
        <f t="shared" si="9"/>
        <v>Preliminar</v>
      </c>
      <c r="W5" s="54" t="s">
        <v>7259</v>
      </c>
      <c r="X5" s="84" t="str">
        <f t="shared" si="10"/>
        <v>Key-COD-CT-5</v>
      </c>
      <c r="Y5" s="84" t="s">
        <v>5496</v>
      </c>
      <c r="Z5" s="84" t="s">
        <v>692</v>
      </c>
      <c r="AA5" s="84" t="s">
        <v>5623</v>
      </c>
      <c r="AB5" s="84" t="s">
        <v>692</v>
      </c>
      <c r="AC5" s="84" t="s">
        <v>692</v>
      </c>
      <c r="AD5" s="54" t="s">
        <v>692</v>
      </c>
    </row>
    <row r="6" spans="1:30" ht="6.75" customHeight="1" x14ac:dyDescent="0.25">
      <c r="A6" s="85">
        <v>6</v>
      </c>
      <c r="B6" s="59" t="s">
        <v>5419</v>
      </c>
      <c r="C6" s="59" t="s">
        <v>5420</v>
      </c>
      <c r="D6" s="59" t="s">
        <v>1153</v>
      </c>
      <c r="E6" s="59" t="s">
        <v>1154</v>
      </c>
      <c r="F6" s="61" t="s">
        <v>1164</v>
      </c>
      <c r="G6" s="81" t="s">
        <v>692</v>
      </c>
      <c r="H6" s="81" t="s">
        <v>692</v>
      </c>
      <c r="I6" s="81" t="s">
        <v>692</v>
      </c>
      <c r="J6" s="81" t="s">
        <v>692</v>
      </c>
      <c r="K6" s="81" t="s">
        <v>692</v>
      </c>
      <c r="L6" s="53" t="str">
        <f t="shared" si="7"/>
        <v>Iniciais</v>
      </c>
      <c r="M6" s="53" t="str">
        <f t="shared" si="7"/>
        <v>Estudos</v>
      </c>
      <c r="N6" s="53" t="str">
        <f t="shared" si="8"/>
        <v>Preliminar</v>
      </c>
      <c r="O6" s="53" t="str">
        <f t="shared" si="8"/>
        <v>100 Forro</v>
      </c>
      <c r="P6" s="56" t="s">
        <v>1165</v>
      </c>
      <c r="Q6" s="56" t="s">
        <v>1166</v>
      </c>
      <c r="R6" s="54" t="s">
        <v>6008</v>
      </c>
      <c r="S6" s="54" t="s">
        <v>692</v>
      </c>
      <c r="T6" s="55" t="str">
        <f t="shared" si="9"/>
        <v>Iniciais</v>
      </c>
      <c r="U6" s="55" t="str">
        <f t="shared" si="9"/>
        <v>Estudos</v>
      </c>
      <c r="V6" s="55" t="str">
        <f t="shared" si="9"/>
        <v>Preliminar</v>
      </c>
      <c r="W6" s="54" t="s">
        <v>7259</v>
      </c>
      <c r="X6" s="84" t="str">
        <f t="shared" si="10"/>
        <v>Key-COD-CT-6</v>
      </c>
      <c r="Y6" s="84" t="s">
        <v>5497</v>
      </c>
      <c r="Z6" s="84" t="s">
        <v>692</v>
      </c>
      <c r="AA6" s="84" t="s">
        <v>5623</v>
      </c>
      <c r="AB6" s="84" t="s">
        <v>692</v>
      </c>
      <c r="AC6" s="84" t="s">
        <v>692</v>
      </c>
      <c r="AD6" s="54" t="s">
        <v>692</v>
      </c>
    </row>
    <row r="7" spans="1:30" ht="6.75" customHeight="1" x14ac:dyDescent="0.25">
      <c r="A7" s="85">
        <v>7</v>
      </c>
      <c r="B7" s="59" t="s">
        <v>5419</v>
      </c>
      <c r="C7" s="59" t="s">
        <v>5420</v>
      </c>
      <c r="D7" s="59" t="s">
        <v>1153</v>
      </c>
      <c r="E7" s="59" t="s">
        <v>1154</v>
      </c>
      <c r="F7" s="61" t="s">
        <v>1167</v>
      </c>
      <c r="G7" s="81" t="s">
        <v>692</v>
      </c>
      <c r="H7" s="81" t="s">
        <v>692</v>
      </c>
      <c r="I7" s="81" t="s">
        <v>692</v>
      </c>
      <c r="J7" s="81" t="s">
        <v>692</v>
      </c>
      <c r="K7" s="81" t="s">
        <v>692</v>
      </c>
      <c r="L7" s="53" t="str">
        <f t="shared" si="7"/>
        <v>Iniciais</v>
      </c>
      <c r="M7" s="53" t="str">
        <f t="shared" si="7"/>
        <v>Estudos</v>
      </c>
      <c r="N7" s="53" t="str">
        <f t="shared" si="8"/>
        <v>Preliminar</v>
      </c>
      <c r="O7" s="53" t="str">
        <f t="shared" si="8"/>
        <v>100 Porta</v>
      </c>
      <c r="P7" s="56" t="s">
        <v>1168</v>
      </c>
      <c r="Q7" s="56" t="s">
        <v>1169</v>
      </c>
      <c r="R7" s="54" t="s">
        <v>6009</v>
      </c>
      <c r="S7" s="54" t="s">
        <v>692</v>
      </c>
      <c r="T7" s="55" t="str">
        <f t="shared" si="9"/>
        <v>Iniciais</v>
      </c>
      <c r="U7" s="55" t="str">
        <f t="shared" si="9"/>
        <v>Estudos</v>
      </c>
      <c r="V7" s="55" t="str">
        <f t="shared" si="9"/>
        <v>Preliminar</v>
      </c>
      <c r="W7" s="54" t="s">
        <v>7259</v>
      </c>
      <c r="X7" s="84" t="str">
        <f t="shared" si="10"/>
        <v>Key-COD-CT-7</v>
      </c>
      <c r="Y7" s="84" t="s">
        <v>5498</v>
      </c>
      <c r="Z7" s="84" t="s">
        <v>692</v>
      </c>
      <c r="AA7" s="84" t="s">
        <v>5624</v>
      </c>
      <c r="AB7" s="84" t="s">
        <v>692</v>
      </c>
      <c r="AC7" s="84" t="s">
        <v>692</v>
      </c>
      <c r="AD7" s="54" t="s">
        <v>692</v>
      </c>
    </row>
    <row r="8" spans="1:30" ht="6.75" customHeight="1" x14ac:dyDescent="0.25">
      <c r="A8" s="85">
        <v>8</v>
      </c>
      <c r="B8" s="59" t="s">
        <v>5419</v>
      </c>
      <c r="C8" s="59" t="s">
        <v>5420</v>
      </c>
      <c r="D8" s="59" t="s">
        <v>1153</v>
      </c>
      <c r="E8" s="59" t="s">
        <v>1154</v>
      </c>
      <c r="F8" s="61" t="s">
        <v>1170</v>
      </c>
      <c r="G8" s="81" t="s">
        <v>692</v>
      </c>
      <c r="H8" s="81" t="s">
        <v>692</v>
      </c>
      <c r="I8" s="81" t="s">
        <v>692</v>
      </c>
      <c r="J8" s="81" t="s">
        <v>692</v>
      </c>
      <c r="K8" s="81" t="s">
        <v>692</v>
      </c>
      <c r="L8" s="53" t="str">
        <f t="shared" si="7"/>
        <v>Iniciais</v>
      </c>
      <c r="M8" s="53" t="str">
        <f t="shared" si="7"/>
        <v>Estudos</v>
      </c>
      <c r="N8" s="53" t="str">
        <f t="shared" si="8"/>
        <v>Preliminar</v>
      </c>
      <c r="O8" s="53" t="str">
        <f t="shared" si="8"/>
        <v>100 Janela</v>
      </c>
      <c r="P8" s="56" t="s">
        <v>1171</v>
      </c>
      <c r="Q8" s="56" t="s">
        <v>1172</v>
      </c>
      <c r="R8" s="54" t="s">
        <v>6010</v>
      </c>
      <c r="S8" s="54" t="s">
        <v>692</v>
      </c>
      <c r="T8" s="55" t="str">
        <f t="shared" si="9"/>
        <v>Iniciais</v>
      </c>
      <c r="U8" s="55" t="str">
        <f t="shared" si="9"/>
        <v>Estudos</v>
      </c>
      <c r="V8" s="55" t="str">
        <f t="shared" si="9"/>
        <v>Preliminar</v>
      </c>
      <c r="W8" s="54" t="s">
        <v>7259</v>
      </c>
      <c r="X8" s="84" t="str">
        <f t="shared" si="10"/>
        <v>Key-COD-CT-8</v>
      </c>
      <c r="Y8" s="84" t="s">
        <v>5499</v>
      </c>
      <c r="Z8" s="84" t="s">
        <v>692</v>
      </c>
      <c r="AA8" s="84" t="s">
        <v>5625</v>
      </c>
      <c r="AB8" s="84" t="s">
        <v>692</v>
      </c>
      <c r="AC8" s="84" t="s">
        <v>692</v>
      </c>
      <c r="AD8" s="54" t="s">
        <v>692</v>
      </c>
    </row>
    <row r="9" spans="1:30" ht="6.75" customHeight="1" x14ac:dyDescent="0.25">
      <c r="A9" s="85">
        <v>9</v>
      </c>
      <c r="B9" s="59" t="s">
        <v>5419</v>
      </c>
      <c r="C9" s="59" t="s">
        <v>5420</v>
      </c>
      <c r="D9" s="59" t="s">
        <v>1153</v>
      </c>
      <c r="E9" s="59" t="s">
        <v>1173</v>
      </c>
      <c r="F9" s="61" t="s">
        <v>1174</v>
      </c>
      <c r="G9" s="81" t="s">
        <v>692</v>
      </c>
      <c r="H9" s="81" t="s">
        <v>692</v>
      </c>
      <c r="I9" s="81" t="s">
        <v>692</v>
      </c>
      <c r="J9" s="81" t="s">
        <v>692</v>
      </c>
      <c r="K9" s="81" t="s">
        <v>692</v>
      </c>
      <c r="L9" s="53" t="str">
        <f t="shared" si="7"/>
        <v>Iniciais</v>
      </c>
      <c r="M9" s="53" t="str">
        <f t="shared" si="7"/>
        <v>Estudos</v>
      </c>
      <c r="N9" s="53" t="str">
        <f t="shared" si="8"/>
        <v>AnteProjeto</v>
      </c>
      <c r="O9" s="53" t="str">
        <f t="shared" si="8"/>
        <v>200 Piso</v>
      </c>
      <c r="P9" s="56" t="s">
        <v>1175</v>
      </c>
      <c r="Q9" s="56" t="s">
        <v>1176</v>
      </c>
      <c r="R9" s="54" t="s">
        <v>6011</v>
      </c>
      <c r="S9" s="54" t="s">
        <v>692</v>
      </c>
      <c r="T9" s="55" t="str">
        <f t="shared" si="9"/>
        <v>Iniciais</v>
      </c>
      <c r="U9" s="55" t="str">
        <f t="shared" si="9"/>
        <v>Estudos</v>
      </c>
      <c r="V9" s="55" t="str">
        <f t="shared" si="9"/>
        <v>AnteProjeto</v>
      </c>
      <c r="W9" s="54" t="s">
        <v>7259</v>
      </c>
      <c r="X9" s="84" t="str">
        <f t="shared" si="10"/>
        <v>Key-COD-CT-9</v>
      </c>
      <c r="Y9" s="84" t="s">
        <v>5453</v>
      </c>
      <c r="Z9" s="84" t="s">
        <v>692</v>
      </c>
      <c r="AA9" s="84" t="s">
        <v>5622</v>
      </c>
      <c r="AB9" s="84" t="s">
        <v>692</v>
      </c>
      <c r="AC9" s="84" t="s">
        <v>692</v>
      </c>
      <c r="AD9" s="54" t="s">
        <v>692</v>
      </c>
    </row>
    <row r="10" spans="1:30" ht="6.75" customHeight="1" x14ac:dyDescent="0.25">
      <c r="A10" s="85">
        <v>10</v>
      </c>
      <c r="B10" s="59" t="s">
        <v>5419</v>
      </c>
      <c r="C10" s="59" t="s">
        <v>5420</v>
      </c>
      <c r="D10" s="59" t="s">
        <v>1153</v>
      </c>
      <c r="E10" s="59" t="s">
        <v>1173</v>
      </c>
      <c r="F10" s="61" t="s">
        <v>1177</v>
      </c>
      <c r="G10" s="81" t="s">
        <v>692</v>
      </c>
      <c r="H10" s="81" t="s">
        <v>692</v>
      </c>
      <c r="I10" s="81" t="s">
        <v>692</v>
      </c>
      <c r="J10" s="81" t="s">
        <v>692</v>
      </c>
      <c r="K10" s="81" t="s">
        <v>692</v>
      </c>
      <c r="L10" s="53" t="str">
        <f t="shared" si="7"/>
        <v>Iniciais</v>
      </c>
      <c r="M10" s="53" t="str">
        <f t="shared" si="7"/>
        <v>Estudos</v>
      </c>
      <c r="N10" s="53" t="str">
        <f t="shared" si="8"/>
        <v>AnteProjeto</v>
      </c>
      <c r="O10" s="53" t="str">
        <f t="shared" si="8"/>
        <v>200 Parede</v>
      </c>
      <c r="P10" s="56" t="s">
        <v>1178</v>
      </c>
      <c r="Q10" s="56" t="s">
        <v>1179</v>
      </c>
      <c r="R10" s="54" t="s">
        <v>6012</v>
      </c>
      <c r="S10" s="54" t="s">
        <v>692</v>
      </c>
      <c r="T10" s="55" t="str">
        <f t="shared" si="9"/>
        <v>Iniciais</v>
      </c>
      <c r="U10" s="55" t="str">
        <f t="shared" si="9"/>
        <v>Estudos</v>
      </c>
      <c r="V10" s="55" t="str">
        <f t="shared" si="9"/>
        <v>AnteProjeto</v>
      </c>
      <c r="W10" s="54" t="s">
        <v>7259</v>
      </c>
      <c r="X10" s="84" t="str">
        <f t="shared" si="10"/>
        <v>Key-COD-CT-10</v>
      </c>
      <c r="Y10" s="84" t="s">
        <v>5496</v>
      </c>
      <c r="Z10" s="84" t="s">
        <v>692</v>
      </c>
      <c r="AA10" s="84" t="s">
        <v>5623</v>
      </c>
      <c r="AB10" s="84" t="s">
        <v>692</v>
      </c>
      <c r="AC10" s="84" t="s">
        <v>692</v>
      </c>
      <c r="AD10" s="54" t="s">
        <v>692</v>
      </c>
    </row>
    <row r="11" spans="1:30" ht="6.75" customHeight="1" x14ac:dyDescent="0.25">
      <c r="A11" s="85">
        <v>11</v>
      </c>
      <c r="B11" s="59" t="s">
        <v>5419</v>
      </c>
      <c r="C11" s="59" t="s">
        <v>5420</v>
      </c>
      <c r="D11" s="59" t="s">
        <v>1153</v>
      </c>
      <c r="E11" s="59" t="s">
        <v>1173</v>
      </c>
      <c r="F11" s="61" t="s">
        <v>1180</v>
      </c>
      <c r="G11" s="81" t="s">
        <v>692</v>
      </c>
      <c r="H11" s="81" t="s">
        <v>692</v>
      </c>
      <c r="I11" s="81" t="s">
        <v>692</v>
      </c>
      <c r="J11" s="81" t="s">
        <v>692</v>
      </c>
      <c r="K11" s="81" t="s">
        <v>692</v>
      </c>
      <c r="L11" s="53" t="str">
        <f t="shared" si="7"/>
        <v>Iniciais</v>
      </c>
      <c r="M11" s="53" t="str">
        <f t="shared" si="7"/>
        <v>Estudos</v>
      </c>
      <c r="N11" s="53" t="str">
        <f t="shared" si="8"/>
        <v>AnteProjeto</v>
      </c>
      <c r="O11" s="53" t="str">
        <f t="shared" si="8"/>
        <v>200 Divisória</v>
      </c>
      <c r="P11" s="56" t="s">
        <v>1181</v>
      </c>
      <c r="Q11" s="56" t="s">
        <v>1182</v>
      </c>
      <c r="R11" s="54" t="s">
        <v>6013</v>
      </c>
      <c r="S11" s="54" t="s">
        <v>692</v>
      </c>
      <c r="T11" s="55" t="str">
        <f t="shared" si="9"/>
        <v>Iniciais</v>
      </c>
      <c r="U11" s="55" t="str">
        <f t="shared" si="9"/>
        <v>Estudos</v>
      </c>
      <c r="V11" s="55" t="str">
        <f t="shared" si="9"/>
        <v>AnteProjeto</v>
      </c>
      <c r="W11" s="54" t="s">
        <v>7259</v>
      </c>
      <c r="X11" s="84" t="str">
        <f t="shared" si="10"/>
        <v>Key-COD-CT-11</v>
      </c>
      <c r="Y11" s="84" t="s">
        <v>5496</v>
      </c>
      <c r="Z11" s="84" t="s">
        <v>692</v>
      </c>
      <c r="AA11" s="84" t="s">
        <v>5623</v>
      </c>
      <c r="AB11" s="84" t="s">
        <v>692</v>
      </c>
      <c r="AC11" s="84" t="s">
        <v>692</v>
      </c>
      <c r="AD11" s="54" t="s">
        <v>692</v>
      </c>
    </row>
    <row r="12" spans="1:30" ht="6.75" customHeight="1" x14ac:dyDescent="0.25">
      <c r="A12" s="85">
        <v>12</v>
      </c>
      <c r="B12" s="59" t="s">
        <v>5419</v>
      </c>
      <c r="C12" s="59" t="s">
        <v>5420</v>
      </c>
      <c r="D12" s="59" t="s">
        <v>1153</v>
      </c>
      <c r="E12" s="59" t="s">
        <v>1173</v>
      </c>
      <c r="F12" s="61" t="s">
        <v>1183</v>
      </c>
      <c r="G12" s="81" t="s">
        <v>692</v>
      </c>
      <c r="H12" s="81" t="s">
        <v>692</v>
      </c>
      <c r="I12" s="81" t="s">
        <v>692</v>
      </c>
      <c r="J12" s="81" t="s">
        <v>692</v>
      </c>
      <c r="K12" s="81" t="s">
        <v>692</v>
      </c>
      <c r="L12" s="53" t="str">
        <f t="shared" si="7"/>
        <v>Iniciais</v>
      </c>
      <c r="M12" s="53" t="str">
        <f t="shared" si="7"/>
        <v>Estudos</v>
      </c>
      <c r="N12" s="53" t="str">
        <f t="shared" si="8"/>
        <v>AnteProjeto</v>
      </c>
      <c r="O12" s="53" t="str">
        <f t="shared" si="8"/>
        <v>200 Forro</v>
      </c>
      <c r="P12" s="56" t="s">
        <v>1184</v>
      </c>
      <c r="Q12" s="56" t="s">
        <v>1185</v>
      </c>
      <c r="R12" s="54" t="s">
        <v>6014</v>
      </c>
      <c r="S12" s="54" t="s">
        <v>692</v>
      </c>
      <c r="T12" s="55" t="str">
        <f t="shared" si="9"/>
        <v>Iniciais</v>
      </c>
      <c r="U12" s="55" t="str">
        <f t="shared" si="9"/>
        <v>Estudos</v>
      </c>
      <c r="V12" s="55" t="str">
        <f t="shared" si="9"/>
        <v>AnteProjeto</v>
      </c>
      <c r="W12" s="54" t="s">
        <v>7259</v>
      </c>
      <c r="X12" s="84" t="str">
        <f t="shared" si="10"/>
        <v>Key-COD-CT-12</v>
      </c>
      <c r="Y12" s="84" t="s">
        <v>5497</v>
      </c>
      <c r="Z12" s="84" t="s">
        <v>692</v>
      </c>
      <c r="AA12" s="84" t="s">
        <v>5623</v>
      </c>
      <c r="AB12" s="84" t="s">
        <v>692</v>
      </c>
      <c r="AC12" s="84" t="s">
        <v>692</v>
      </c>
      <c r="AD12" s="54" t="s">
        <v>692</v>
      </c>
    </row>
    <row r="13" spans="1:30" ht="6.75" customHeight="1" x14ac:dyDescent="0.25">
      <c r="A13" s="85">
        <v>13</v>
      </c>
      <c r="B13" s="59" t="s">
        <v>5419</v>
      </c>
      <c r="C13" s="59" t="s">
        <v>5420</v>
      </c>
      <c r="D13" s="59" t="s">
        <v>1153</v>
      </c>
      <c r="E13" s="59" t="s">
        <v>1173</v>
      </c>
      <c r="F13" s="61" t="s">
        <v>1186</v>
      </c>
      <c r="G13" s="81" t="s">
        <v>692</v>
      </c>
      <c r="H13" s="81" t="s">
        <v>692</v>
      </c>
      <c r="I13" s="81" t="s">
        <v>692</v>
      </c>
      <c r="J13" s="81" t="s">
        <v>692</v>
      </c>
      <c r="K13" s="81" t="s">
        <v>692</v>
      </c>
      <c r="L13" s="53" t="str">
        <f t="shared" si="7"/>
        <v>Iniciais</v>
      </c>
      <c r="M13" s="53" t="str">
        <f t="shared" si="7"/>
        <v>Estudos</v>
      </c>
      <c r="N13" s="53" t="str">
        <f t="shared" si="8"/>
        <v>AnteProjeto</v>
      </c>
      <c r="O13" s="53" t="str">
        <f t="shared" si="8"/>
        <v>200 Porta</v>
      </c>
      <c r="P13" s="56" t="s">
        <v>1168</v>
      </c>
      <c r="Q13" s="56" t="s">
        <v>1187</v>
      </c>
      <c r="R13" s="54" t="s">
        <v>6009</v>
      </c>
      <c r="S13" s="54" t="s">
        <v>692</v>
      </c>
      <c r="T13" s="55" t="str">
        <f t="shared" si="9"/>
        <v>Iniciais</v>
      </c>
      <c r="U13" s="55" t="str">
        <f t="shared" si="9"/>
        <v>Estudos</v>
      </c>
      <c r="V13" s="55" t="str">
        <f t="shared" si="9"/>
        <v>AnteProjeto</v>
      </c>
      <c r="W13" s="54" t="s">
        <v>7259</v>
      </c>
      <c r="X13" s="84" t="str">
        <f t="shared" si="10"/>
        <v>Key-COD-CT-13</v>
      </c>
      <c r="Y13" s="84" t="s">
        <v>5498</v>
      </c>
      <c r="Z13" s="84" t="s">
        <v>692</v>
      </c>
      <c r="AA13" s="84" t="s">
        <v>5624</v>
      </c>
      <c r="AB13" s="84" t="s">
        <v>692</v>
      </c>
      <c r="AC13" s="84" t="s">
        <v>692</v>
      </c>
      <c r="AD13" s="54" t="s">
        <v>692</v>
      </c>
    </row>
    <row r="14" spans="1:30" ht="6.75" customHeight="1" x14ac:dyDescent="0.25">
      <c r="A14" s="85">
        <v>14</v>
      </c>
      <c r="B14" s="59" t="s">
        <v>5419</v>
      </c>
      <c r="C14" s="59" t="s">
        <v>5420</v>
      </c>
      <c r="D14" s="59" t="s">
        <v>1153</v>
      </c>
      <c r="E14" s="59" t="s">
        <v>1173</v>
      </c>
      <c r="F14" s="61" t="s">
        <v>1188</v>
      </c>
      <c r="G14" s="81" t="s">
        <v>692</v>
      </c>
      <c r="H14" s="81" t="s">
        <v>692</v>
      </c>
      <c r="I14" s="81" t="s">
        <v>692</v>
      </c>
      <c r="J14" s="81" t="s">
        <v>692</v>
      </c>
      <c r="K14" s="81" t="s">
        <v>692</v>
      </c>
      <c r="L14" s="53" t="str">
        <f t="shared" si="7"/>
        <v>Iniciais</v>
      </c>
      <c r="M14" s="53" t="str">
        <f t="shared" si="7"/>
        <v>Estudos</v>
      </c>
      <c r="N14" s="53" t="str">
        <f t="shared" si="8"/>
        <v>AnteProjeto</v>
      </c>
      <c r="O14" s="53" t="str">
        <f t="shared" si="8"/>
        <v>200 Janela</v>
      </c>
      <c r="P14" s="56" t="s">
        <v>1171</v>
      </c>
      <c r="Q14" s="56" t="s">
        <v>1189</v>
      </c>
      <c r="R14" s="54" t="s">
        <v>6010</v>
      </c>
      <c r="S14" s="54" t="s">
        <v>692</v>
      </c>
      <c r="T14" s="55" t="str">
        <f t="shared" si="9"/>
        <v>Iniciais</v>
      </c>
      <c r="U14" s="55" t="str">
        <f t="shared" si="9"/>
        <v>Estudos</v>
      </c>
      <c r="V14" s="55" t="str">
        <f t="shared" si="9"/>
        <v>AnteProjeto</v>
      </c>
      <c r="W14" s="54" t="s">
        <v>7259</v>
      </c>
      <c r="X14" s="84" t="str">
        <f t="shared" si="10"/>
        <v>Key-COD-CT-14</v>
      </c>
      <c r="Y14" s="84" t="s">
        <v>5499</v>
      </c>
      <c r="Z14" s="84" t="s">
        <v>692</v>
      </c>
      <c r="AA14" s="84" t="s">
        <v>5625</v>
      </c>
      <c r="AB14" s="84" t="s">
        <v>692</v>
      </c>
      <c r="AC14" s="84" t="s">
        <v>692</v>
      </c>
      <c r="AD14" s="54" t="s">
        <v>692</v>
      </c>
    </row>
    <row r="15" spans="1:30" ht="6.75" customHeight="1" x14ac:dyDescent="0.25">
      <c r="A15" s="85">
        <v>15</v>
      </c>
      <c r="B15" s="59" t="s">
        <v>5419</v>
      </c>
      <c r="C15" s="59" t="s">
        <v>5420</v>
      </c>
      <c r="D15" s="59" t="s">
        <v>1153</v>
      </c>
      <c r="E15" s="59" t="s">
        <v>1190</v>
      </c>
      <c r="F15" s="61" t="s">
        <v>1191</v>
      </c>
      <c r="G15" s="81" t="s">
        <v>692</v>
      </c>
      <c r="H15" s="81" t="s">
        <v>692</v>
      </c>
      <c r="I15" s="81" t="s">
        <v>692</v>
      </c>
      <c r="J15" s="81" t="s">
        <v>692</v>
      </c>
      <c r="K15" s="81" t="s">
        <v>692</v>
      </c>
      <c r="L15" s="53" t="str">
        <f t="shared" si="7"/>
        <v>Iniciais</v>
      </c>
      <c r="M15" s="53" t="str">
        <f t="shared" si="7"/>
        <v>Estudos</v>
      </c>
      <c r="N15" s="53" t="str">
        <f t="shared" si="8"/>
        <v>Volumetrias</v>
      </c>
      <c r="O15" s="53" t="str">
        <f t="shared" si="8"/>
        <v>Bloco Principal</v>
      </c>
      <c r="P15" s="54" t="s">
        <v>1192</v>
      </c>
      <c r="Q15" s="54" t="s">
        <v>1193</v>
      </c>
      <c r="R15" s="54" t="s">
        <v>6015</v>
      </c>
      <c r="S15" s="54" t="s">
        <v>692</v>
      </c>
      <c r="T15" s="55" t="str">
        <f t="shared" si="9"/>
        <v>Iniciais</v>
      </c>
      <c r="U15" s="55" t="str">
        <f t="shared" si="9"/>
        <v>Estudos</v>
      </c>
      <c r="V15" s="55" t="str">
        <f t="shared" si="9"/>
        <v>Volumetrias</v>
      </c>
      <c r="W15" s="54" t="s">
        <v>7259</v>
      </c>
      <c r="X15" s="84" t="str">
        <f t="shared" si="10"/>
        <v>Key-COD-CT-15</v>
      </c>
      <c r="Y15" s="84" t="s">
        <v>5500</v>
      </c>
      <c r="Z15" s="84" t="s">
        <v>692</v>
      </c>
      <c r="AA15" s="84" t="s">
        <v>5456</v>
      </c>
      <c r="AB15" s="84" t="s">
        <v>692</v>
      </c>
      <c r="AC15" s="84" t="s">
        <v>692</v>
      </c>
      <c r="AD15" s="54" t="s">
        <v>692</v>
      </c>
    </row>
    <row r="16" spans="1:30" ht="6.75" customHeight="1" x14ac:dyDescent="0.25">
      <c r="A16" s="85">
        <v>16</v>
      </c>
      <c r="B16" s="59" t="s">
        <v>5419</v>
      </c>
      <c r="C16" s="59" t="s">
        <v>5420</v>
      </c>
      <c r="D16" s="59" t="s">
        <v>1153</v>
      </c>
      <c r="E16" s="59" t="s">
        <v>1190</v>
      </c>
      <c r="F16" s="61" t="s">
        <v>1194</v>
      </c>
      <c r="G16" s="81" t="s">
        <v>692</v>
      </c>
      <c r="H16" s="81" t="s">
        <v>692</v>
      </c>
      <c r="I16" s="81" t="s">
        <v>692</v>
      </c>
      <c r="J16" s="81" t="s">
        <v>692</v>
      </c>
      <c r="K16" s="81" t="s">
        <v>692</v>
      </c>
      <c r="L16" s="53" t="str">
        <f t="shared" si="7"/>
        <v>Iniciais</v>
      </c>
      <c r="M16" s="53" t="str">
        <f t="shared" si="7"/>
        <v>Estudos</v>
      </c>
      <c r="N16" s="53" t="str">
        <f t="shared" si="8"/>
        <v>Volumetrias</v>
      </c>
      <c r="O16" s="53" t="str">
        <f t="shared" si="8"/>
        <v>Bloco Secundário</v>
      </c>
      <c r="P16" s="54" t="s">
        <v>1195</v>
      </c>
      <c r="Q16" s="54" t="s">
        <v>1196</v>
      </c>
      <c r="R16" s="54" t="s">
        <v>6016</v>
      </c>
      <c r="S16" s="54" t="s">
        <v>692</v>
      </c>
      <c r="T16" s="55" t="str">
        <f t="shared" si="9"/>
        <v>Iniciais</v>
      </c>
      <c r="U16" s="55" t="str">
        <f t="shared" si="9"/>
        <v>Estudos</v>
      </c>
      <c r="V16" s="55" t="str">
        <f t="shared" si="9"/>
        <v>Volumetrias</v>
      </c>
      <c r="W16" s="54" t="s">
        <v>7259</v>
      </c>
      <c r="X16" s="84" t="str">
        <f t="shared" si="10"/>
        <v>Key-COD-CT-16</v>
      </c>
      <c r="Y16" s="84" t="s">
        <v>5500</v>
      </c>
      <c r="Z16" s="84" t="s">
        <v>692</v>
      </c>
      <c r="AA16" s="84" t="s">
        <v>5456</v>
      </c>
      <c r="AB16" s="84" t="s">
        <v>692</v>
      </c>
      <c r="AC16" s="84" t="s">
        <v>692</v>
      </c>
      <c r="AD16" s="54" t="s">
        <v>692</v>
      </c>
    </row>
    <row r="17" spans="1:30" ht="6.75" customHeight="1" x14ac:dyDescent="0.25">
      <c r="A17" s="85">
        <v>17</v>
      </c>
      <c r="B17" s="59" t="s">
        <v>5419</v>
      </c>
      <c r="C17" s="59" t="s">
        <v>5420</v>
      </c>
      <c r="D17" s="59" t="s">
        <v>1153</v>
      </c>
      <c r="E17" s="59" t="s">
        <v>1190</v>
      </c>
      <c r="F17" s="61" t="s">
        <v>1197</v>
      </c>
      <c r="G17" s="81" t="s">
        <v>692</v>
      </c>
      <c r="H17" s="81" t="s">
        <v>692</v>
      </c>
      <c r="I17" s="81" t="s">
        <v>692</v>
      </c>
      <c r="J17" s="81" t="s">
        <v>692</v>
      </c>
      <c r="K17" s="81" t="s">
        <v>692</v>
      </c>
      <c r="L17" s="53" t="str">
        <f t="shared" si="7"/>
        <v>Iniciais</v>
      </c>
      <c r="M17" s="53" t="str">
        <f t="shared" si="7"/>
        <v>Estudos</v>
      </c>
      <c r="N17" s="53" t="str">
        <f t="shared" si="8"/>
        <v>Volumetrias</v>
      </c>
      <c r="O17" s="53" t="str">
        <f t="shared" si="8"/>
        <v>Bloco Excêntrico</v>
      </c>
      <c r="P17" s="54" t="s">
        <v>1198</v>
      </c>
      <c r="Q17" s="54" t="s">
        <v>1199</v>
      </c>
      <c r="R17" s="54" t="s">
        <v>6017</v>
      </c>
      <c r="S17" s="54" t="s">
        <v>692</v>
      </c>
      <c r="T17" s="55" t="str">
        <f t="shared" si="9"/>
        <v>Iniciais</v>
      </c>
      <c r="U17" s="55" t="str">
        <f t="shared" si="9"/>
        <v>Estudos</v>
      </c>
      <c r="V17" s="55" t="str">
        <f t="shared" si="9"/>
        <v>Volumetrias</v>
      </c>
      <c r="W17" s="54" t="s">
        <v>7259</v>
      </c>
      <c r="X17" s="84" t="str">
        <f t="shared" si="10"/>
        <v>Key-COD-CT-17</v>
      </c>
      <c r="Y17" s="84" t="s">
        <v>5500</v>
      </c>
      <c r="Z17" s="84" t="s">
        <v>692</v>
      </c>
      <c r="AA17" s="84" t="s">
        <v>5456</v>
      </c>
      <c r="AB17" s="84" t="s">
        <v>692</v>
      </c>
      <c r="AC17" s="84" t="s">
        <v>692</v>
      </c>
      <c r="AD17" s="54" t="s">
        <v>692</v>
      </c>
    </row>
    <row r="18" spans="1:30" ht="6.75" customHeight="1" x14ac:dyDescent="0.25">
      <c r="A18" s="85">
        <v>18</v>
      </c>
      <c r="B18" s="59" t="s">
        <v>5419</v>
      </c>
      <c r="C18" s="59" t="s">
        <v>5420</v>
      </c>
      <c r="D18" s="59" t="s">
        <v>1200</v>
      </c>
      <c r="E18" s="59" t="s">
        <v>1201</v>
      </c>
      <c r="F18" s="80" t="s">
        <v>1202</v>
      </c>
      <c r="G18" s="79" t="s">
        <v>692</v>
      </c>
      <c r="H18" s="79" t="s">
        <v>692</v>
      </c>
      <c r="I18" s="79" t="s">
        <v>692</v>
      </c>
      <c r="J18" s="79" t="s">
        <v>692</v>
      </c>
      <c r="K18" s="79" t="s">
        <v>692</v>
      </c>
      <c r="L18" s="53" t="str">
        <f t="shared" ref="L18:M49" si="11">CONCATENATE("", C18)</f>
        <v>Iniciais</v>
      </c>
      <c r="M18" s="53" t="str">
        <f t="shared" si="11"/>
        <v>Estudos.de.Massas</v>
      </c>
      <c r="N18" s="53" t="str">
        <f t="shared" ref="N18:O37" si="12">(SUBSTITUTE(SUBSTITUTE(CONCATENATE("",E18),"."," ")," De "," de "))</f>
        <v>Massas</v>
      </c>
      <c r="O18" s="53" t="str">
        <f t="shared" si="12"/>
        <v>Volume Formal</v>
      </c>
      <c r="P18" s="54" t="s">
        <v>1203</v>
      </c>
      <c r="Q18" s="54" t="s">
        <v>1204</v>
      </c>
      <c r="R18" s="54" t="s">
        <v>6018</v>
      </c>
      <c r="S18" s="54" t="s">
        <v>692</v>
      </c>
      <c r="T18" s="55" t="str">
        <f t="shared" ref="T18:V52" si="13">SUBSTITUTE(C18, ".", " ")</f>
        <v>Iniciais</v>
      </c>
      <c r="U18" s="55" t="str">
        <f t="shared" si="13"/>
        <v>Estudos de Massas</v>
      </c>
      <c r="V18" s="55" t="str">
        <f t="shared" si="13"/>
        <v>Massas</v>
      </c>
      <c r="W18" s="54" t="s">
        <v>7259</v>
      </c>
      <c r="X18" s="84" t="str">
        <f t="shared" si="10"/>
        <v>Key-COD-CT-18</v>
      </c>
      <c r="Y18" s="84" t="s">
        <v>5501</v>
      </c>
      <c r="Z18" s="84" t="s">
        <v>692</v>
      </c>
      <c r="AA18" s="84" t="s">
        <v>5456</v>
      </c>
      <c r="AB18" s="84" t="s">
        <v>692</v>
      </c>
      <c r="AC18" s="84" t="s">
        <v>692</v>
      </c>
      <c r="AD18" s="54" t="s">
        <v>692</v>
      </c>
    </row>
    <row r="19" spans="1:30" ht="6.75" customHeight="1" x14ac:dyDescent="0.25">
      <c r="A19" s="85">
        <v>19</v>
      </c>
      <c r="B19" s="59" t="s">
        <v>5419</v>
      </c>
      <c r="C19" s="59" t="s">
        <v>5420</v>
      </c>
      <c r="D19" s="59" t="s">
        <v>1200</v>
      </c>
      <c r="E19" s="59" t="s">
        <v>1201</v>
      </c>
      <c r="F19" s="80" t="s">
        <v>1205</v>
      </c>
      <c r="G19" s="79" t="s">
        <v>692</v>
      </c>
      <c r="H19" s="79" t="s">
        <v>692</v>
      </c>
      <c r="I19" s="79" t="s">
        <v>692</v>
      </c>
      <c r="J19" s="79" t="s">
        <v>692</v>
      </c>
      <c r="K19" s="79" t="s">
        <v>692</v>
      </c>
      <c r="L19" s="53" t="str">
        <f t="shared" si="11"/>
        <v>Iniciais</v>
      </c>
      <c r="M19" s="53" t="str">
        <f t="shared" si="11"/>
        <v>Estudos.de.Massas</v>
      </c>
      <c r="N19" s="53" t="str">
        <f t="shared" si="12"/>
        <v>Massas</v>
      </c>
      <c r="O19" s="53" t="str">
        <f t="shared" si="12"/>
        <v>Volume Massas</v>
      </c>
      <c r="P19" s="54" t="s">
        <v>1206</v>
      </c>
      <c r="Q19" s="54" t="s">
        <v>1207</v>
      </c>
      <c r="R19" s="54" t="s">
        <v>6019</v>
      </c>
      <c r="S19" s="54" t="s">
        <v>692</v>
      </c>
      <c r="T19" s="55" t="str">
        <f t="shared" si="13"/>
        <v>Iniciais</v>
      </c>
      <c r="U19" s="55" t="str">
        <f t="shared" si="13"/>
        <v>Estudos de Massas</v>
      </c>
      <c r="V19" s="55" t="str">
        <f t="shared" si="13"/>
        <v>Massas</v>
      </c>
      <c r="W19" s="54" t="s">
        <v>7259</v>
      </c>
      <c r="X19" s="84" t="str">
        <f t="shared" si="10"/>
        <v>Key-COD-CT-19</v>
      </c>
      <c r="Y19" s="84" t="s">
        <v>5502</v>
      </c>
      <c r="Z19" s="84" t="s">
        <v>692</v>
      </c>
      <c r="AA19" s="84" t="s">
        <v>5456</v>
      </c>
      <c r="AB19" s="84" t="s">
        <v>692</v>
      </c>
      <c r="AC19" s="84" t="s">
        <v>692</v>
      </c>
      <c r="AD19" s="54" t="s">
        <v>692</v>
      </c>
    </row>
    <row r="20" spans="1:30" ht="6.75" customHeight="1" x14ac:dyDescent="0.25">
      <c r="A20" s="85">
        <v>20</v>
      </c>
      <c r="B20" s="59" t="s">
        <v>5419</v>
      </c>
      <c r="C20" s="59" t="s">
        <v>5420</v>
      </c>
      <c r="D20" s="59" t="s">
        <v>1200</v>
      </c>
      <c r="E20" s="59" t="s">
        <v>1201</v>
      </c>
      <c r="F20" s="80" t="s">
        <v>1208</v>
      </c>
      <c r="G20" s="79" t="s">
        <v>692</v>
      </c>
      <c r="H20" s="79" t="s">
        <v>692</v>
      </c>
      <c r="I20" s="79" t="s">
        <v>692</v>
      </c>
      <c r="J20" s="79" t="s">
        <v>692</v>
      </c>
      <c r="K20" s="79" t="s">
        <v>692</v>
      </c>
      <c r="L20" s="53" t="str">
        <f t="shared" si="11"/>
        <v>Iniciais</v>
      </c>
      <c r="M20" s="53" t="str">
        <f t="shared" si="11"/>
        <v>Estudos.de.Massas</v>
      </c>
      <c r="N20" s="53" t="str">
        <f t="shared" si="12"/>
        <v>Massas</v>
      </c>
      <c r="O20" s="53" t="str">
        <f t="shared" si="12"/>
        <v>Massas Zonas</v>
      </c>
      <c r="P20" s="54" t="s">
        <v>1209</v>
      </c>
      <c r="Q20" s="54" t="s">
        <v>1210</v>
      </c>
      <c r="R20" s="54" t="s">
        <v>6020</v>
      </c>
      <c r="S20" s="54" t="s">
        <v>692</v>
      </c>
      <c r="T20" s="55" t="str">
        <f t="shared" si="13"/>
        <v>Iniciais</v>
      </c>
      <c r="U20" s="55" t="str">
        <f t="shared" si="13"/>
        <v>Estudos de Massas</v>
      </c>
      <c r="V20" s="55" t="str">
        <f t="shared" si="13"/>
        <v>Massas</v>
      </c>
      <c r="W20" s="54" t="s">
        <v>7259</v>
      </c>
      <c r="X20" s="84" t="str">
        <f t="shared" si="10"/>
        <v>Key-COD-CT-20</v>
      </c>
      <c r="Y20" s="84" t="s">
        <v>5503</v>
      </c>
      <c r="Z20" s="84" t="s">
        <v>692</v>
      </c>
      <c r="AA20" s="84" t="s">
        <v>5456</v>
      </c>
      <c r="AB20" s="84" t="s">
        <v>692</v>
      </c>
      <c r="AC20" s="84" t="s">
        <v>692</v>
      </c>
      <c r="AD20" s="54" t="s">
        <v>692</v>
      </c>
    </row>
    <row r="21" spans="1:30" ht="6.75" customHeight="1" x14ac:dyDescent="0.25">
      <c r="A21" s="85">
        <v>21</v>
      </c>
      <c r="B21" s="59" t="s">
        <v>5419</v>
      </c>
      <c r="C21" s="59" t="s">
        <v>5420</v>
      </c>
      <c r="D21" s="59" t="s">
        <v>1200</v>
      </c>
      <c r="E21" s="59" t="s">
        <v>1201</v>
      </c>
      <c r="F21" s="80" t="s">
        <v>1211</v>
      </c>
      <c r="G21" s="79" t="s">
        <v>692</v>
      </c>
      <c r="H21" s="79" t="s">
        <v>692</v>
      </c>
      <c r="I21" s="79" t="s">
        <v>692</v>
      </c>
      <c r="J21" s="79" t="s">
        <v>692</v>
      </c>
      <c r="K21" s="79" t="s">
        <v>692</v>
      </c>
      <c r="L21" s="53" t="str">
        <f t="shared" si="11"/>
        <v>Iniciais</v>
      </c>
      <c r="M21" s="53" t="str">
        <f t="shared" si="11"/>
        <v>Estudos.de.Massas</v>
      </c>
      <c r="N21" s="53" t="str">
        <f t="shared" si="12"/>
        <v>Massas</v>
      </c>
      <c r="O21" s="53" t="str">
        <f t="shared" si="12"/>
        <v>Massa Void</v>
      </c>
      <c r="P21" s="54" t="s">
        <v>1212</v>
      </c>
      <c r="Q21" s="54" t="s">
        <v>1213</v>
      </c>
      <c r="R21" s="54" t="s">
        <v>6021</v>
      </c>
      <c r="S21" s="54" t="s">
        <v>692</v>
      </c>
      <c r="T21" s="55" t="str">
        <f t="shared" si="13"/>
        <v>Iniciais</v>
      </c>
      <c r="U21" s="55" t="str">
        <f t="shared" si="13"/>
        <v>Estudos de Massas</v>
      </c>
      <c r="V21" s="55" t="str">
        <f t="shared" si="13"/>
        <v>Massas</v>
      </c>
      <c r="W21" s="54" t="s">
        <v>7259</v>
      </c>
      <c r="X21" s="84" t="str">
        <f t="shared" si="10"/>
        <v>Key-COD-CT-21</v>
      </c>
      <c r="Y21" s="84" t="s">
        <v>5504</v>
      </c>
      <c r="Z21" s="84" t="s">
        <v>692</v>
      </c>
      <c r="AA21" s="84" t="s">
        <v>5456</v>
      </c>
      <c r="AB21" s="84" t="s">
        <v>692</v>
      </c>
      <c r="AC21" s="84" t="s">
        <v>692</v>
      </c>
      <c r="AD21" s="54" t="s">
        <v>692</v>
      </c>
    </row>
    <row r="22" spans="1:30" ht="6.75" customHeight="1" x14ac:dyDescent="0.25">
      <c r="A22" s="85">
        <v>22</v>
      </c>
      <c r="B22" s="59" t="s">
        <v>5419</v>
      </c>
      <c r="C22" s="59" t="s">
        <v>5420</v>
      </c>
      <c r="D22" s="59" t="s">
        <v>1200</v>
      </c>
      <c r="E22" s="59" t="s">
        <v>1201</v>
      </c>
      <c r="F22" s="80" t="s">
        <v>1214</v>
      </c>
      <c r="G22" s="79" t="s">
        <v>692</v>
      </c>
      <c r="H22" s="79" t="s">
        <v>692</v>
      </c>
      <c r="I22" s="79" t="s">
        <v>692</v>
      </c>
      <c r="J22" s="79" t="s">
        <v>692</v>
      </c>
      <c r="K22" s="79" t="s">
        <v>692</v>
      </c>
      <c r="L22" s="53" t="str">
        <f t="shared" si="11"/>
        <v>Iniciais</v>
      </c>
      <c r="M22" s="53" t="str">
        <f t="shared" si="11"/>
        <v>Estudos.de.Massas</v>
      </c>
      <c r="N22" s="53" t="str">
        <f t="shared" si="12"/>
        <v>Massas</v>
      </c>
      <c r="O22" s="53" t="str">
        <f t="shared" si="12"/>
        <v>Massa Divisor de Face</v>
      </c>
      <c r="P22" s="54" t="s">
        <v>1215</v>
      </c>
      <c r="Q22" s="54" t="s">
        <v>1216</v>
      </c>
      <c r="R22" s="54" t="s">
        <v>6022</v>
      </c>
      <c r="S22" s="54" t="s">
        <v>692</v>
      </c>
      <c r="T22" s="55" t="str">
        <f t="shared" si="13"/>
        <v>Iniciais</v>
      </c>
      <c r="U22" s="55" t="str">
        <f t="shared" si="13"/>
        <v>Estudos de Massas</v>
      </c>
      <c r="V22" s="55" t="str">
        <f t="shared" si="13"/>
        <v>Massas</v>
      </c>
      <c r="W22" s="54" t="s">
        <v>7259</v>
      </c>
      <c r="X22" s="84" t="str">
        <f t="shared" si="10"/>
        <v>Key-COD-CT-22</v>
      </c>
      <c r="Y22" s="84" t="s">
        <v>5505</v>
      </c>
      <c r="Z22" s="84" t="s">
        <v>692</v>
      </c>
      <c r="AA22" s="84" t="s">
        <v>5456</v>
      </c>
      <c r="AB22" s="84" t="s">
        <v>692</v>
      </c>
      <c r="AC22" s="84" t="s">
        <v>692</v>
      </c>
      <c r="AD22" s="54" t="s">
        <v>692</v>
      </c>
    </row>
    <row r="23" spans="1:30" ht="6.75" customHeight="1" x14ac:dyDescent="0.25">
      <c r="A23" s="85">
        <v>23</v>
      </c>
      <c r="B23" s="59" t="s">
        <v>5419</v>
      </c>
      <c r="C23" s="59" t="s">
        <v>5420</v>
      </c>
      <c r="D23" s="59" t="s">
        <v>1200</v>
      </c>
      <c r="E23" s="59" t="s">
        <v>1201</v>
      </c>
      <c r="F23" s="80" t="s">
        <v>1217</v>
      </c>
      <c r="G23" s="79" t="s">
        <v>692</v>
      </c>
      <c r="H23" s="79" t="s">
        <v>692</v>
      </c>
      <c r="I23" s="79" t="s">
        <v>692</v>
      </c>
      <c r="J23" s="79" t="s">
        <v>692</v>
      </c>
      <c r="K23" s="79" t="s">
        <v>692</v>
      </c>
      <c r="L23" s="53" t="str">
        <f t="shared" si="11"/>
        <v>Iniciais</v>
      </c>
      <c r="M23" s="53" t="str">
        <f t="shared" si="11"/>
        <v>Estudos.de.Massas</v>
      </c>
      <c r="N23" s="53" t="str">
        <f t="shared" si="12"/>
        <v>Massas</v>
      </c>
      <c r="O23" s="53" t="str">
        <f t="shared" si="12"/>
        <v>Massa Contorno</v>
      </c>
      <c r="P23" s="54" t="s">
        <v>1218</v>
      </c>
      <c r="Q23" s="54" t="s">
        <v>1219</v>
      </c>
      <c r="R23" s="54" t="s">
        <v>6023</v>
      </c>
      <c r="S23" s="54" t="s">
        <v>692</v>
      </c>
      <c r="T23" s="55" t="str">
        <f t="shared" si="13"/>
        <v>Iniciais</v>
      </c>
      <c r="U23" s="55" t="str">
        <f t="shared" si="13"/>
        <v>Estudos de Massas</v>
      </c>
      <c r="V23" s="55" t="str">
        <f t="shared" si="13"/>
        <v>Massas</v>
      </c>
      <c r="W23" s="54" t="s">
        <v>7259</v>
      </c>
      <c r="X23" s="84" t="str">
        <f t="shared" si="10"/>
        <v>Key-COD-CT-23</v>
      </c>
      <c r="Y23" s="84" t="s">
        <v>5506</v>
      </c>
      <c r="Z23" s="84" t="s">
        <v>692</v>
      </c>
      <c r="AA23" s="84" t="s">
        <v>5456</v>
      </c>
      <c r="AB23" s="84" t="s">
        <v>692</v>
      </c>
      <c r="AC23" s="84" t="s">
        <v>692</v>
      </c>
      <c r="AD23" s="54" t="s">
        <v>692</v>
      </c>
    </row>
    <row r="24" spans="1:30" ht="6.75" customHeight="1" x14ac:dyDescent="0.25">
      <c r="A24" s="85">
        <v>24</v>
      </c>
      <c r="B24" s="59" t="s">
        <v>5419</v>
      </c>
      <c r="C24" s="59" t="s">
        <v>5420</v>
      </c>
      <c r="D24" s="59" t="s">
        <v>1200</v>
      </c>
      <c r="E24" s="59" t="s">
        <v>1201</v>
      </c>
      <c r="F24" s="80" t="s">
        <v>1220</v>
      </c>
      <c r="G24" s="79" t="s">
        <v>692</v>
      </c>
      <c r="H24" s="79" t="s">
        <v>692</v>
      </c>
      <c r="I24" s="79" t="s">
        <v>692</v>
      </c>
      <c r="J24" s="79" t="s">
        <v>692</v>
      </c>
      <c r="K24" s="79" t="s">
        <v>692</v>
      </c>
      <c r="L24" s="53" t="str">
        <f t="shared" si="11"/>
        <v>Iniciais</v>
      </c>
      <c r="M24" s="53" t="str">
        <f t="shared" si="11"/>
        <v>Estudos.de.Massas</v>
      </c>
      <c r="N24" s="53" t="str">
        <f t="shared" si="12"/>
        <v>Massas</v>
      </c>
      <c r="O24" s="53" t="str">
        <f t="shared" si="12"/>
        <v>Massa Projeção</v>
      </c>
      <c r="P24" s="54" t="s">
        <v>1218</v>
      </c>
      <c r="Q24" s="54" t="s">
        <v>1219</v>
      </c>
      <c r="R24" s="54" t="s">
        <v>6023</v>
      </c>
      <c r="S24" s="54" t="s">
        <v>692</v>
      </c>
      <c r="T24" s="55" t="str">
        <f t="shared" si="13"/>
        <v>Iniciais</v>
      </c>
      <c r="U24" s="55" t="str">
        <f t="shared" si="13"/>
        <v>Estudos de Massas</v>
      </c>
      <c r="V24" s="55" t="str">
        <f t="shared" si="13"/>
        <v>Massas</v>
      </c>
      <c r="W24" s="54" t="s">
        <v>7259</v>
      </c>
      <c r="X24" s="84" t="str">
        <f t="shared" si="10"/>
        <v>Key-COD-CT-24</v>
      </c>
      <c r="Y24" s="84" t="s">
        <v>5507</v>
      </c>
      <c r="Z24" s="84" t="s">
        <v>692</v>
      </c>
      <c r="AA24" s="84" t="s">
        <v>5456</v>
      </c>
      <c r="AB24" s="84" t="s">
        <v>692</v>
      </c>
      <c r="AC24" s="84" t="s">
        <v>692</v>
      </c>
      <c r="AD24" s="54" t="s">
        <v>692</v>
      </c>
    </row>
    <row r="25" spans="1:30" ht="6.75" customHeight="1" x14ac:dyDescent="0.25">
      <c r="A25" s="85">
        <v>25</v>
      </c>
      <c r="B25" s="59" t="s">
        <v>5419</v>
      </c>
      <c r="C25" s="59" t="s">
        <v>5420</v>
      </c>
      <c r="D25" s="59" t="s">
        <v>1200</v>
      </c>
      <c r="E25" s="59" t="s">
        <v>1221</v>
      </c>
      <c r="F25" s="80" t="s">
        <v>1222</v>
      </c>
      <c r="G25" s="79" t="s">
        <v>692</v>
      </c>
      <c r="H25" s="79" t="s">
        <v>692</v>
      </c>
      <c r="I25" s="79" t="s">
        <v>692</v>
      </c>
      <c r="J25" s="79" t="s">
        <v>692</v>
      </c>
      <c r="K25" s="79" t="s">
        <v>692</v>
      </c>
      <c r="L25" s="53" t="str">
        <f t="shared" si="11"/>
        <v>Iniciais</v>
      </c>
      <c r="M25" s="53" t="str">
        <f t="shared" si="11"/>
        <v>Estudos.de.Massas</v>
      </c>
      <c r="N25" s="53" t="str">
        <f t="shared" si="12"/>
        <v>Superfícies</v>
      </c>
      <c r="O25" s="53" t="str">
        <f t="shared" si="12"/>
        <v>Plano de Laje</v>
      </c>
      <c r="P25" s="54" t="s">
        <v>1223</v>
      </c>
      <c r="Q25" s="54" t="s">
        <v>1224</v>
      </c>
      <c r="R25" s="54" t="s">
        <v>6024</v>
      </c>
      <c r="S25" s="54" t="s">
        <v>692</v>
      </c>
      <c r="T25" s="55" t="str">
        <f t="shared" si="13"/>
        <v>Iniciais</v>
      </c>
      <c r="U25" s="55" t="str">
        <f t="shared" si="13"/>
        <v>Estudos de Massas</v>
      </c>
      <c r="V25" s="55" t="str">
        <f t="shared" si="13"/>
        <v>Superfícies</v>
      </c>
      <c r="W25" s="54" t="s">
        <v>7259</v>
      </c>
      <c r="X25" s="84" t="str">
        <f t="shared" si="10"/>
        <v>Key-COD-CT-25</v>
      </c>
      <c r="Y25" s="84" t="s">
        <v>5508</v>
      </c>
      <c r="Z25" s="84" t="s">
        <v>692</v>
      </c>
      <c r="AA25" s="84" t="s">
        <v>5456</v>
      </c>
      <c r="AB25" s="84" t="s">
        <v>692</v>
      </c>
      <c r="AC25" s="84" t="s">
        <v>692</v>
      </c>
      <c r="AD25" s="54" t="s">
        <v>692</v>
      </c>
    </row>
    <row r="26" spans="1:30" ht="6.75" customHeight="1" x14ac:dyDescent="0.25">
      <c r="A26" s="85">
        <v>26</v>
      </c>
      <c r="B26" s="59" t="s">
        <v>5419</v>
      </c>
      <c r="C26" s="59" t="s">
        <v>5420</v>
      </c>
      <c r="D26" s="59" t="s">
        <v>1200</v>
      </c>
      <c r="E26" s="59" t="s">
        <v>1221</v>
      </c>
      <c r="F26" s="80" t="s">
        <v>1225</v>
      </c>
      <c r="G26" s="79" t="s">
        <v>692</v>
      </c>
      <c r="H26" s="79" t="s">
        <v>692</v>
      </c>
      <c r="I26" s="79" t="s">
        <v>692</v>
      </c>
      <c r="J26" s="79" t="s">
        <v>692</v>
      </c>
      <c r="K26" s="79" t="s">
        <v>692</v>
      </c>
      <c r="L26" s="53" t="str">
        <f t="shared" si="11"/>
        <v>Iniciais</v>
      </c>
      <c r="M26" s="53" t="str">
        <f t="shared" si="11"/>
        <v>Estudos.de.Massas</v>
      </c>
      <c r="N26" s="53" t="str">
        <f t="shared" si="12"/>
        <v>Superfícies</v>
      </c>
      <c r="O26" s="53" t="str">
        <f t="shared" si="12"/>
        <v>Planos das Lajes</v>
      </c>
      <c r="P26" s="54" t="s">
        <v>1226</v>
      </c>
      <c r="Q26" s="54" t="s">
        <v>1227</v>
      </c>
      <c r="R26" s="54" t="s">
        <v>6025</v>
      </c>
      <c r="S26" s="54" t="s">
        <v>692</v>
      </c>
      <c r="T26" s="55" t="str">
        <f t="shared" si="13"/>
        <v>Iniciais</v>
      </c>
      <c r="U26" s="55" t="str">
        <f t="shared" si="13"/>
        <v>Estudos de Massas</v>
      </c>
      <c r="V26" s="55" t="str">
        <f t="shared" si="13"/>
        <v>Superfícies</v>
      </c>
      <c r="W26" s="54" t="s">
        <v>7259</v>
      </c>
      <c r="X26" s="84" t="str">
        <f t="shared" si="10"/>
        <v>Key-COD-CT-26</v>
      </c>
      <c r="Y26" s="84" t="s">
        <v>5509</v>
      </c>
      <c r="Z26" s="84" t="s">
        <v>692</v>
      </c>
      <c r="AA26" s="84" t="s">
        <v>5456</v>
      </c>
      <c r="AB26" s="84" t="s">
        <v>692</v>
      </c>
      <c r="AC26" s="84" t="s">
        <v>692</v>
      </c>
      <c r="AD26" s="54" t="s">
        <v>692</v>
      </c>
    </row>
    <row r="27" spans="1:30" ht="6.75" customHeight="1" x14ac:dyDescent="0.25">
      <c r="A27" s="85">
        <v>27</v>
      </c>
      <c r="B27" s="59" t="s">
        <v>5419</v>
      </c>
      <c r="C27" s="59" t="s">
        <v>5420</v>
      </c>
      <c r="D27" s="59" t="s">
        <v>1200</v>
      </c>
      <c r="E27" s="59" t="s">
        <v>1221</v>
      </c>
      <c r="F27" s="80" t="s">
        <v>1228</v>
      </c>
      <c r="G27" s="79" t="s">
        <v>692</v>
      </c>
      <c r="H27" s="79" t="s">
        <v>692</v>
      </c>
      <c r="I27" s="79" t="s">
        <v>692</v>
      </c>
      <c r="J27" s="79" t="s">
        <v>692</v>
      </c>
      <c r="K27" s="79" t="s">
        <v>692</v>
      </c>
      <c r="L27" s="53" t="str">
        <f t="shared" si="11"/>
        <v>Iniciais</v>
      </c>
      <c r="M27" s="53" t="str">
        <f t="shared" si="11"/>
        <v>Estudos.de.Massas</v>
      </c>
      <c r="N27" s="53" t="str">
        <f t="shared" si="12"/>
        <v>Superfícies</v>
      </c>
      <c r="O27" s="53" t="str">
        <f t="shared" si="12"/>
        <v>Envoltória</v>
      </c>
      <c r="P27" s="54" t="s">
        <v>1229</v>
      </c>
      <c r="Q27" s="54" t="s">
        <v>1230</v>
      </c>
      <c r="R27" s="54" t="s">
        <v>6026</v>
      </c>
      <c r="S27" s="54" t="s">
        <v>692</v>
      </c>
      <c r="T27" s="55" t="str">
        <f t="shared" si="13"/>
        <v>Iniciais</v>
      </c>
      <c r="U27" s="55" t="str">
        <f t="shared" si="13"/>
        <v>Estudos de Massas</v>
      </c>
      <c r="V27" s="55" t="str">
        <f t="shared" si="13"/>
        <v>Superfícies</v>
      </c>
      <c r="W27" s="54" t="s">
        <v>7259</v>
      </c>
      <c r="X27" s="84" t="str">
        <f t="shared" si="10"/>
        <v>Key-COD-CT-27</v>
      </c>
      <c r="Y27" s="84" t="s">
        <v>5510</v>
      </c>
      <c r="Z27" s="84" t="s">
        <v>692</v>
      </c>
      <c r="AA27" s="84" t="s">
        <v>5456</v>
      </c>
      <c r="AB27" s="84" t="s">
        <v>692</v>
      </c>
      <c r="AC27" s="84" t="s">
        <v>692</v>
      </c>
      <c r="AD27" s="54" t="s">
        <v>692</v>
      </c>
    </row>
    <row r="28" spans="1:30" ht="6.75" customHeight="1" x14ac:dyDescent="0.25">
      <c r="A28" s="85">
        <v>28</v>
      </c>
      <c r="B28" s="59" t="s">
        <v>5419</v>
      </c>
      <c r="C28" s="59" t="s">
        <v>5420</v>
      </c>
      <c r="D28" s="59" t="s">
        <v>1200</v>
      </c>
      <c r="E28" s="59" t="s">
        <v>1221</v>
      </c>
      <c r="F28" s="80" t="s">
        <v>1231</v>
      </c>
      <c r="G28" s="79" t="s">
        <v>692</v>
      </c>
      <c r="H28" s="79" t="s">
        <v>692</v>
      </c>
      <c r="I28" s="79" t="s">
        <v>692</v>
      </c>
      <c r="J28" s="79" t="s">
        <v>692</v>
      </c>
      <c r="K28" s="79" t="s">
        <v>692</v>
      </c>
      <c r="L28" s="53" t="str">
        <f t="shared" si="11"/>
        <v>Iniciais</v>
      </c>
      <c r="M28" s="53" t="str">
        <f t="shared" si="11"/>
        <v>Estudos.de.Massas</v>
      </c>
      <c r="N28" s="53" t="str">
        <f t="shared" si="12"/>
        <v>Superfícies</v>
      </c>
      <c r="O28" s="53" t="str">
        <f t="shared" si="12"/>
        <v>Envoltória Subsolos</v>
      </c>
      <c r="P28" s="54" t="s">
        <v>1232</v>
      </c>
      <c r="Q28" s="54" t="s">
        <v>1233</v>
      </c>
      <c r="R28" s="54" t="s">
        <v>6027</v>
      </c>
      <c r="S28" s="54" t="s">
        <v>692</v>
      </c>
      <c r="T28" s="55" t="str">
        <f t="shared" si="13"/>
        <v>Iniciais</v>
      </c>
      <c r="U28" s="55" t="str">
        <f t="shared" si="13"/>
        <v>Estudos de Massas</v>
      </c>
      <c r="V28" s="55" t="str">
        <f t="shared" si="13"/>
        <v>Superfícies</v>
      </c>
      <c r="W28" s="54" t="s">
        <v>7259</v>
      </c>
      <c r="X28" s="84" t="str">
        <f t="shared" si="10"/>
        <v>Key-COD-CT-28</v>
      </c>
      <c r="Y28" s="84" t="s">
        <v>5511</v>
      </c>
      <c r="Z28" s="84" t="s">
        <v>692</v>
      </c>
      <c r="AA28" s="84" t="s">
        <v>5456</v>
      </c>
      <c r="AB28" s="84" t="s">
        <v>692</v>
      </c>
      <c r="AC28" s="84" t="s">
        <v>692</v>
      </c>
      <c r="AD28" s="54" t="s">
        <v>692</v>
      </c>
    </row>
    <row r="29" spans="1:30" ht="6.75" customHeight="1" x14ac:dyDescent="0.25">
      <c r="A29" s="85">
        <v>29</v>
      </c>
      <c r="B29" s="59" t="s">
        <v>5419</v>
      </c>
      <c r="C29" s="59" t="s">
        <v>5420</v>
      </c>
      <c r="D29" s="59" t="s">
        <v>1200</v>
      </c>
      <c r="E29" s="59" t="s">
        <v>1221</v>
      </c>
      <c r="F29" s="80" t="s">
        <v>1234</v>
      </c>
      <c r="G29" s="79" t="s">
        <v>692</v>
      </c>
      <c r="H29" s="79" t="s">
        <v>692</v>
      </c>
      <c r="I29" s="79" t="s">
        <v>692</v>
      </c>
      <c r="J29" s="79" t="s">
        <v>692</v>
      </c>
      <c r="K29" s="79" t="s">
        <v>692</v>
      </c>
      <c r="L29" s="53" t="str">
        <f t="shared" si="11"/>
        <v>Iniciais</v>
      </c>
      <c r="M29" s="53" t="str">
        <f t="shared" si="11"/>
        <v>Estudos.de.Massas</v>
      </c>
      <c r="N29" s="53" t="str">
        <f t="shared" si="12"/>
        <v>Superfícies</v>
      </c>
      <c r="O29" s="53" t="str">
        <f t="shared" si="12"/>
        <v>Fachada Envidraçada</v>
      </c>
      <c r="P29" s="54" t="s">
        <v>1235</v>
      </c>
      <c r="Q29" s="54" t="s">
        <v>1236</v>
      </c>
      <c r="R29" s="54" t="s">
        <v>6028</v>
      </c>
      <c r="S29" s="54" t="s">
        <v>692</v>
      </c>
      <c r="T29" s="55" t="str">
        <f t="shared" si="13"/>
        <v>Iniciais</v>
      </c>
      <c r="U29" s="55" t="str">
        <f t="shared" si="13"/>
        <v>Estudos de Massas</v>
      </c>
      <c r="V29" s="55" t="str">
        <f t="shared" si="13"/>
        <v>Superfícies</v>
      </c>
      <c r="W29" s="54" t="s">
        <v>7259</v>
      </c>
      <c r="X29" s="84" t="str">
        <f t="shared" si="10"/>
        <v>Key-COD-CT-29</v>
      </c>
      <c r="Y29" s="84" t="s">
        <v>5512</v>
      </c>
      <c r="Z29" s="84" t="s">
        <v>692</v>
      </c>
      <c r="AA29" s="84" t="s">
        <v>5456</v>
      </c>
      <c r="AB29" s="84" t="s">
        <v>692</v>
      </c>
      <c r="AC29" s="84" t="s">
        <v>692</v>
      </c>
      <c r="AD29" s="54" t="s">
        <v>692</v>
      </c>
    </row>
    <row r="30" spans="1:30" ht="6.75" customHeight="1" x14ac:dyDescent="0.25">
      <c r="A30" s="85">
        <v>30</v>
      </c>
      <c r="B30" s="59" t="s">
        <v>5419</v>
      </c>
      <c r="C30" s="59" t="s">
        <v>5420</v>
      </c>
      <c r="D30" s="59" t="s">
        <v>1200</v>
      </c>
      <c r="E30" s="59" t="s">
        <v>1221</v>
      </c>
      <c r="F30" s="80" t="s">
        <v>1237</v>
      </c>
      <c r="G30" s="79" t="s">
        <v>692</v>
      </c>
      <c r="H30" s="79" t="s">
        <v>692</v>
      </c>
      <c r="I30" s="79" t="s">
        <v>692</v>
      </c>
      <c r="J30" s="79" t="s">
        <v>692</v>
      </c>
      <c r="K30" s="79" t="s">
        <v>692</v>
      </c>
      <c r="L30" s="53" t="str">
        <f t="shared" si="11"/>
        <v>Iniciais</v>
      </c>
      <c r="M30" s="53" t="str">
        <f t="shared" si="11"/>
        <v>Estudos.de.Massas</v>
      </c>
      <c r="N30" s="53" t="str">
        <f t="shared" si="12"/>
        <v>Superfícies</v>
      </c>
      <c r="O30" s="53" t="str">
        <f t="shared" si="12"/>
        <v>Fachadas Envidraçadas</v>
      </c>
      <c r="P30" s="54" t="s">
        <v>1238</v>
      </c>
      <c r="Q30" s="54" t="s">
        <v>1239</v>
      </c>
      <c r="R30" s="54" t="s">
        <v>6029</v>
      </c>
      <c r="S30" s="54" t="s">
        <v>692</v>
      </c>
      <c r="T30" s="55" t="str">
        <f t="shared" si="13"/>
        <v>Iniciais</v>
      </c>
      <c r="U30" s="55" t="str">
        <f t="shared" si="13"/>
        <v>Estudos de Massas</v>
      </c>
      <c r="V30" s="55" t="str">
        <f t="shared" si="13"/>
        <v>Superfícies</v>
      </c>
      <c r="W30" s="54" t="s">
        <v>7259</v>
      </c>
      <c r="X30" s="84" t="str">
        <f t="shared" si="10"/>
        <v>Key-COD-CT-30</v>
      </c>
      <c r="Y30" s="84" t="s">
        <v>5513</v>
      </c>
      <c r="Z30" s="84" t="s">
        <v>692</v>
      </c>
      <c r="AA30" s="84" t="s">
        <v>5456</v>
      </c>
      <c r="AB30" s="84" t="s">
        <v>692</v>
      </c>
      <c r="AC30" s="84" t="s">
        <v>692</v>
      </c>
      <c r="AD30" s="54" t="s">
        <v>692</v>
      </c>
    </row>
    <row r="31" spans="1:30" ht="6.75" customHeight="1" x14ac:dyDescent="0.25">
      <c r="A31" s="85">
        <v>31</v>
      </c>
      <c r="B31" s="59" t="s">
        <v>5419</v>
      </c>
      <c r="C31" s="59" t="s">
        <v>5420</v>
      </c>
      <c r="D31" s="59" t="s">
        <v>1200</v>
      </c>
      <c r="E31" s="59" t="s">
        <v>1221</v>
      </c>
      <c r="F31" s="80" t="s">
        <v>1240</v>
      </c>
      <c r="G31" s="79" t="s">
        <v>692</v>
      </c>
      <c r="H31" s="79" t="s">
        <v>692</v>
      </c>
      <c r="I31" s="79" t="s">
        <v>692</v>
      </c>
      <c r="J31" s="79" t="s">
        <v>692</v>
      </c>
      <c r="K31" s="79" t="s">
        <v>692</v>
      </c>
      <c r="L31" s="53" t="str">
        <f t="shared" si="11"/>
        <v>Iniciais</v>
      </c>
      <c r="M31" s="53" t="str">
        <f t="shared" si="11"/>
        <v>Estudos.de.Massas</v>
      </c>
      <c r="N31" s="53" t="str">
        <f t="shared" si="12"/>
        <v>Superfícies</v>
      </c>
      <c r="O31" s="53" t="str">
        <f t="shared" si="12"/>
        <v>Massas Paredes Internas</v>
      </c>
      <c r="P31" s="54" t="s">
        <v>1241</v>
      </c>
      <c r="Q31" s="54" t="s">
        <v>1242</v>
      </c>
      <c r="R31" s="54" t="s">
        <v>6030</v>
      </c>
      <c r="S31" s="54" t="s">
        <v>692</v>
      </c>
      <c r="T31" s="55" t="str">
        <f t="shared" si="13"/>
        <v>Iniciais</v>
      </c>
      <c r="U31" s="55" t="str">
        <f t="shared" si="13"/>
        <v>Estudos de Massas</v>
      </c>
      <c r="V31" s="55" t="str">
        <f t="shared" si="13"/>
        <v>Superfícies</v>
      </c>
      <c r="W31" s="54" t="s">
        <v>7259</v>
      </c>
      <c r="X31" s="84" t="str">
        <f t="shared" si="10"/>
        <v>Key-COD-CT-31</v>
      </c>
      <c r="Y31" s="84" t="s">
        <v>5514</v>
      </c>
      <c r="Z31" s="84" t="s">
        <v>692</v>
      </c>
      <c r="AA31" s="84" t="s">
        <v>5456</v>
      </c>
      <c r="AB31" s="84" t="s">
        <v>692</v>
      </c>
      <c r="AC31" s="84" t="s">
        <v>692</v>
      </c>
      <c r="AD31" s="54" t="s">
        <v>692</v>
      </c>
    </row>
    <row r="32" spans="1:30" ht="6.75" customHeight="1" x14ac:dyDescent="0.25">
      <c r="A32" s="85">
        <v>32</v>
      </c>
      <c r="B32" s="59" t="s">
        <v>5419</v>
      </c>
      <c r="C32" s="59" t="s">
        <v>5420</v>
      </c>
      <c r="D32" s="59" t="s">
        <v>1200</v>
      </c>
      <c r="E32" s="59" t="s">
        <v>1221</v>
      </c>
      <c r="F32" s="80" t="s">
        <v>1243</v>
      </c>
      <c r="G32" s="79" t="s">
        <v>692</v>
      </c>
      <c r="H32" s="79" t="s">
        <v>692</v>
      </c>
      <c r="I32" s="79" t="s">
        <v>692</v>
      </c>
      <c r="J32" s="79" t="s">
        <v>692</v>
      </c>
      <c r="K32" s="79" t="s">
        <v>692</v>
      </c>
      <c r="L32" s="53" t="str">
        <f t="shared" si="11"/>
        <v>Iniciais</v>
      </c>
      <c r="M32" s="53" t="str">
        <f t="shared" si="11"/>
        <v>Estudos.de.Massas</v>
      </c>
      <c r="N32" s="53" t="str">
        <f t="shared" si="12"/>
        <v>Superfícies</v>
      </c>
      <c r="O32" s="53" t="str">
        <f t="shared" si="12"/>
        <v>Massas Paredes</v>
      </c>
      <c r="P32" s="54" t="s">
        <v>1244</v>
      </c>
      <c r="Q32" s="54" t="s">
        <v>1245</v>
      </c>
      <c r="R32" s="54" t="s">
        <v>6031</v>
      </c>
      <c r="S32" s="54" t="s">
        <v>692</v>
      </c>
      <c r="T32" s="55" t="str">
        <f t="shared" si="13"/>
        <v>Iniciais</v>
      </c>
      <c r="U32" s="55" t="str">
        <f t="shared" si="13"/>
        <v>Estudos de Massas</v>
      </c>
      <c r="V32" s="55" t="str">
        <f t="shared" si="13"/>
        <v>Superfícies</v>
      </c>
      <c r="W32" s="54" t="s">
        <v>7259</v>
      </c>
      <c r="X32" s="84" t="str">
        <f t="shared" si="10"/>
        <v>Key-COD-CT-32</v>
      </c>
      <c r="Y32" s="84" t="s">
        <v>5515</v>
      </c>
      <c r="Z32" s="84" t="s">
        <v>692</v>
      </c>
      <c r="AA32" s="84" t="s">
        <v>5456</v>
      </c>
      <c r="AB32" s="84" t="s">
        <v>692</v>
      </c>
      <c r="AC32" s="84" t="s">
        <v>692</v>
      </c>
      <c r="AD32" s="54" t="s">
        <v>692</v>
      </c>
    </row>
    <row r="33" spans="1:30" ht="6.75" customHeight="1" x14ac:dyDescent="0.25">
      <c r="A33" s="85">
        <v>33</v>
      </c>
      <c r="B33" s="59" t="s">
        <v>5419</v>
      </c>
      <c r="C33" s="59" t="s">
        <v>5420</v>
      </c>
      <c r="D33" s="59" t="s">
        <v>1200</v>
      </c>
      <c r="E33" s="59" t="s">
        <v>1221</v>
      </c>
      <c r="F33" s="80" t="s">
        <v>1246</v>
      </c>
      <c r="G33" s="79" t="s">
        <v>692</v>
      </c>
      <c r="H33" s="79" t="s">
        <v>692</v>
      </c>
      <c r="I33" s="79" t="s">
        <v>692</v>
      </c>
      <c r="J33" s="79" t="s">
        <v>692</v>
      </c>
      <c r="K33" s="79" t="s">
        <v>692</v>
      </c>
      <c r="L33" s="53" t="str">
        <f t="shared" si="11"/>
        <v>Iniciais</v>
      </c>
      <c r="M33" s="53" t="str">
        <f t="shared" si="11"/>
        <v>Estudos.de.Massas</v>
      </c>
      <c r="N33" s="53" t="str">
        <f t="shared" si="12"/>
        <v>Superfícies</v>
      </c>
      <c r="O33" s="53" t="str">
        <f t="shared" si="12"/>
        <v>Massas Aberturas</v>
      </c>
      <c r="P33" s="54" t="s">
        <v>1247</v>
      </c>
      <c r="Q33" s="54" t="s">
        <v>1248</v>
      </c>
      <c r="R33" s="54" t="s">
        <v>6032</v>
      </c>
      <c r="S33" s="54" t="s">
        <v>692</v>
      </c>
      <c r="T33" s="55" t="str">
        <f t="shared" si="13"/>
        <v>Iniciais</v>
      </c>
      <c r="U33" s="55" t="str">
        <f t="shared" si="13"/>
        <v>Estudos de Massas</v>
      </c>
      <c r="V33" s="55" t="str">
        <f t="shared" si="13"/>
        <v>Superfícies</v>
      </c>
      <c r="W33" s="54" t="s">
        <v>7259</v>
      </c>
      <c r="X33" s="84" t="str">
        <f t="shared" si="10"/>
        <v>Key-COD-CT-33</v>
      </c>
      <c r="Y33" s="84" t="s">
        <v>5516</v>
      </c>
      <c r="Z33" s="84" t="s">
        <v>692</v>
      </c>
      <c r="AA33" s="84" t="s">
        <v>5456</v>
      </c>
      <c r="AB33" s="84" t="s">
        <v>692</v>
      </c>
      <c r="AC33" s="84" t="s">
        <v>692</v>
      </c>
      <c r="AD33" s="54" t="s">
        <v>692</v>
      </c>
    </row>
    <row r="34" spans="1:30" ht="6.75" customHeight="1" x14ac:dyDescent="0.25">
      <c r="A34" s="85">
        <v>34</v>
      </c>
      <c r="B34" s="59" t="s">
        <v>5419</v>
      </c>
      <c r="C34" s="59" t="s">
        <v>5420</v>
      </c>
      <c r="D34" s="59" t="s">
        <v>1200</v>
      </c>
      <c r="E34" s="59" t="s">
        <v>1221</v>
      </c>
      <c r="F34" s="80" t="s">
        <v>1249</v>
      </c>
      <c r="G34" s="79" t="s">
        <v>692</v>
      </c>
      <c r="H34" s="79" t="s">
        <v>692</v>
      </c>
      <c r="I34" s="79" t="s">
        <v>692</v>
      </c>
      <c r="J34" s="79" t="s">
        <v>692</v>
      </c>
      <c r="K34" s="79" t="s">
        <v>692</v>
      </c>
      <c r="L34" s="53" t="str">
        <f t="shared" si="11"/>
        <v>Iniciais</v>
      </c>
      <c r="M34" s="53" t="str">
        <f t="shared" si="11"/>
        <v>Estudos.de.Massas</v>
      </c>
      <c r="N34" s="53" t="str">
        <f t="shared" si="12"/>
        <v>Superfícies</v>
      </c>
      <c r="O34" s="53" t="str">
        <f t="shared" si="12"/>
        <v>Massas Lajes</v>
      </c>
      <c r="P34" s="54" t="s">
        <v>1250</v>
      </c>
      <c r="Q34" s="54" t="s">
        <v>1251</v>
      </c>
      <c r="R34" s="54" t="s">
        <v>6033</v>
      </c>
      <c r="S34" s="54" t="s">
        <v>692</v>
      </c>
      <c r="T34" s="55" t="str">
        <f t="shared" si="13"/>
        <v>Iniciais</v>
      </c>
      <c r="U34" s="55" t="str">
        <f t="shared" si="13"/>
        <v>Estudos de Massas</v>
      </c>
      <c r="V34" s="55" t="str">
        <f t="shared" si="13"/>
        <v>Superfícies</v>
      </c>
      <c r="W34" s="54" t="s">
        <v>7259</v>
      </c>
      <c r="X34" s="84" t="str">
        <f t="shared" si="10"/>
        <v>Key-COD-CT-34</v>
      </c>
      <c r="Y34" s="84" t="s">
        <v>5517</v>
      </c>
      <c r="Z34" s="84" t="s">
        <v>692</v>
      </c>
      <c r="AA34" s="84" t="s">
        <v>5456</v>
      </c>
      <c r="AB34" s="84" t="s">
        <v>692</v>
      </c>
      <c r="AC34" s="84" t="s">
        <v>692</v>
      </c>
      <c r="AD34" s="54" t="s">
        <v>692</v>
      </c>
    </row>
    <row r="35" spans="1:30" ht="6.75" customHeight="1" x14ac:dyDescent="0.25">
      <c r="A35" s="85">
        <v>35</v>
      </c>
      <c r="B35" s="59" t="s">
        <v>5419</v>
      </c>
      <c r="C35" s="59" t="s">
        <v>5420</v>
      </c>
      <c r="D35" s="59" t="s">
        <v>1200</v>
      </c>
      <c r="E35" s="59" t="s">
        <v>1221</v>
      </c>
      <c r="F35" s="80" t="s">
        <v>1252</v>
      </c>
      <c r="G35" s="79" t="s">
        <v>692</v>
      </c>
      <c r="H35" s="79" t="s">
        <v>692</v>
      </c>
      <c r="I35" s="79" t="s">
        <v>692</v>
      </c>
      <c r="J35" s="79" t="s">
        <v>692</v>
      </c>
      <c r="K35" s="79" t="s">
        <v>692</v>
      </c>
      <c r="L35" s="53" t="str">
        <f t="shared" si="11"/>
        <v>Iniciais</v>
      </c>
      <c r="M35" s="53" t="str">
        <f t="shared" si="11"/>
        <v>Estudos.de.Massas</v>
      </c>
      <c r="N35" s="53" t="str">
        <f t="shared" si="12"/>
        <v>Superfícies</v>
      </c>
      <c r="O35" s="53" t="str">
        <f t="shared" si="12"/>
        <v>Massas Telhados</v>
      </c>
      <c r="P35" s="54" t="s">
        <v>1253</v>
      </c>
      <c r="Q35" s="54" t="s">
        <v>1254</v>
      </c>
      <c r="R35" s="54" t="s">
        <v>6034</v>
      </c>
      <c r="S35" s="54" t="s">
        <v>692</v>
      </c>
      <c r="T35" s="55" t="str">
        <f t="shared" si="13"/>
        <v>Iniciais</v>
      </c>
      <c r="U35" s="55" t="str">
        <f t="shared" si="13"/>
        <v>Estudos de Massas</v>
      </c>
      <c r="V35" s="55" t="str">
        <f t="shared" si="13"/>
        <v>Superfícies</v>
      </c>
      <c r="W35" s="54" t="s">
        <v>7259</v>
      </c>
      <c r="X35" s="84" t="str">
        <f t="shared" si="10"/>
        <v>Key-COD-CT-35</v>
      </c>
      <c r="Y35" s="84" t="s">
        <v>5518</v>
      </c>
      <c r="Z35" s="84" t="s">
        <v>692</v>
      </c>
      <c r="AA35" s="84" t="s">
        <v>5456</v>
      </c>
      <c r="AB35" s="84" t="s">
        <v>692</v>
      </c>
      <c r="AC35" s="84" t="s">
        <v>692</v>
      </c>
      <c r="AD35" s="54" t="s">
        <v>692</v>
      </c>
    </row>
    <row r="36" spans="1:30" ht="6.75" customHeight="1" x14ac:dyDescent="0.25">
      <c r="A36" s="85">
        <v>36</v>
      </c>
      <c r="B36" s="59" t="s">
        <v>5419</v>
      </c>
      <c r="C36" s="59" t="s">
        <v>5420</v>
      </c>
      <c r="D36" s="59" t="s">
        <v>1200</v>
      </c>
      <c r="E36" s="59" t="s">
        <v>1221</v>
      </c>
      <c r="F36" s="80" t="s">
        <v>1255</v>
      </c>
      <c r="G36" s="79" t="s">
        <v>692</v>
      </c>
      <c r="H36" s="79" t="s">
        <v>692</v>
      </c>
      <c r="I36" s="79" t="s">
        <v>692</v>
      </c>
      <c r="J36" s="79" t="s">
        <v>692</v>
      </c>
      <c r="K36" s="79" t="s">
        <v>692</v>
      </c>
      <c r="L36" s="53" t="str">
        <f t="shared" si="11"/>
        <v>Iniciais</v>
      </c>
      <c r="M36" s="53" t="str">
        <f t="shared" si="11"/>
        <v>Estudos.de.Massas</v>
      </c>
      <c r="N36" s="53" t="str">
        <f t="shared" si="12"/>
        <v>Superfícies</v>
      </c>
      <c r="O36" s="53" t="str">
        <f t="shared" si="12"/>
        <v>Massas Brises</v>
      </c>
      <c r="P36" s="54" t="s">
        <v>1256</v>
      </c>
      <c r="Q36" s="54" t="s">
        <v>1257</v>
      </c>
      <c r="R36" s="54" t="s">
        <v>6035</v>
      </c>
      <c r="S36" s="54" t="s">
        <v>692</v>
      </c>
      <c r="T36" s="55" t="str">
        <f t="shared" si="13"/>
        <v>Iniciais</v>
      </c>
      <c r="U36" s="55" t="str">
        <f t="shared" si="13"/>
        <v>Estudos de Massas</v>
      </c>
      <c r="V36" s="55" t="str">
        <f t="shared" si="13"/>
        <v>Superfícies</v>
      </c>
      <c r="W36" s="54" t="s">
        <v>7259</v>
      </c>
      <c r="X36" s="84" t="str">
        <f t="shared" si="10"/>
        <v>Key-COD-CT-36</v>
      </c>
      <c r="Y36" s="84" t="s">
        <v>5519</v>
      </c>
      <c r="Z36" s="84" t="s">
        <v>692</v>
      </c>
      <c r="AA36" s="84" t="s">
        <v>5456</v>
      </c>
      <c r="AB36" s="84" t="s">
        <v>692</v>
      </c>
      <c r="AC36" s="84" t="s">
        <v>692</v>
      </c>
      <c r="AD36" s="54" t="s">
        <v>692</v>
      </c>
    </row>
    <row r="37" spans="1:30" ht="6.75" customHeight="1" x14ac:dyDescent="0.25">
      <c r="A37" s="85">
        <v>37</v>
      </c>
      <c r="B37" s="59" t="s">
        <v>5419</v>
      </c>
      <c r="C37" s="59" t="s">
        <v>5420</v>
      </c>
      <c r="D37" s="59" t="s">
        <v>1200</v>
      </c>
      <c r="E37" s="59" t="s">
        <v>1221</v>
      </c>
      <c r="F37" s="80" t="s">
        <v>1258</v>
      </c>
      <c r="G37" s="79" t="s">
        <v>692</v>
      </c>
      <c r="H37" s="79" t="s">
        <v>692</v>
      </c>
      <c r="I37" s="79" t="s">
        <v>692</v>
      </c>
      <c r="J37" s="79" t="s">
        <v>692</v>
      </c>
      <c r="K37" s="79" t="s">
        <v>692</v>
      </c>
      <c r="L37" s="53" t="str">
        <f t="shared" si="11"/>
        <v>Iniciais</v>
      </c>
      <c r="M37" s="53" t="str">
        <f t="shared" si="11"/>
        <v>Estudos.de.Massas</v>
      </c>
      <c r="N37" s="53" t="str">
        <f t="shared" si="12"/>
        <v>Superfícies</v>
      </c>
      <c r="O37" s="53" t="str">
        <f t="shared" si="12"/>
        <v>Massas Claraboias</v>
      </c>
      <c r="P37" s="54" t="s">
        <v>1259</v>
      </c>
      <c r="Q37" s="54" t="s">
        <v>1260</v>
      </c>
      <c r="R37" s="54" t="s">
        <v>6036</v>
      </c>
      <c r="S37" s="54" t="s">
        <v>692</v>
      </c>
      <c r="T37" s="55" t="str">
        <f t="shared" si="13"/>
        <v>Iniciais</v>
      </c>
      <c r="U37" s="55" t="str">
        <f t="shared" si="13"/>
        <v>Estudos de Massas</v>
      </c>
      <c r="V37" s="55" t="str">
        <f t="shared" si="13"/>
        <v>Superfícies</v>
      </c>
      <c r="W37" s="54" t="s">
        <v>7259</v>
      </c>
      <c r="X37" s="84" t="str">
        <f t="shared" si="10"/>
        <v>Key-COD-CT-37</v>
      </c>
      <c r="Y37" s="84" t="s">
        <v>5520</v>
      </c>
      <c r="Z37" s="84" t="s">
        <v>692</v>
      </c>
      <c r="AA37" s="84" t="s">
        <v>5456</v>
      </c>
      <c r="AB37" s="84" t="s">
        <v>692</v>
      </c>
      <c r="AC37" s="84" t="s">
        <v>692</v>
      </c>
      <c r="AD37" s="54" t="s">
        <v>692</v>
      </c>
    </row>
    <row r="38" spans="1:30" ht="6.75" customHeight="1" x14ac:dyDescent="0.25">
      <c r="A38" s="85">
        <v>38</v>
      </c>
      <c r="B38" s="59" t="s">
        <v>5419</v>
      </c>
      <c r="C38" s="59" t="s">
        <v>5421</v>
      </c>
      <c r="D38" s="59" t="s">
        <v>1261</v>
      </c>
      <c r="E38" s="59" t="s">
        <v>1262</v>
      </c>
      <c r="F38" s="61" t="s">
        <v>1263</v>
      </c>
      <c r="G38" s="79" t="s">
        <v>692</v>
      </c>
      <c r="H38" s="79" t="s">
        <v>692</v>
      </c>
      <c r="I38" s="79" t="s">
        <v>692</v>
      </c>
      <c r="J38" s="79" t="s">
        <v>692</v>
      </c>
      <c r="K38" s="79" t="s">
        <v>692</v>
      </c>
      <c r="L38" s="53" t="str">
        <f t="shared" si="11"/>
        <v>Espaciais</v>
      </c>
      <c r="M38" s="53" t="str">
        <f t="shared" si="11"/>
        <v>Planos.Horizontais</v>
      </c>
      <c r="N38" s="53" t="str">
        <f t="shared" ref="N38:O53" si="14">(SUBSTITUTE(SUBSTITUTE(CONCATENATE("",E38),"."," ")," De "," de "))</f>
        <v>Andares</v>
      </c>
      <c r="O38" s="53" t="str">
        <f t="shared" si="14"/>
        <v>Andar Cobertura</v>
      </c>
      <c r="P38" s="54" t="s">
        <v>1264</v>
      </c>
      <c r="Q38" s="54" t="s">
        <v>1265</v>
      </c>
      <c r="R38" s="54" t="s">
        <v>6037</v>
      </c>
      <c r="S38" s="54" t="s">
        <v>692</v>
      </c>
      <c r="T38" s="55" t="str">
        <f t="shared" si="13"/>
        <v>Espaciais</v>
      </c>
      <c r="U38" s="55" t="str">
        <f t="shared" si="13"/>
        <v>Planos Horizontais</v>
      </c>
      <c r="V38" s="55" t="str">
        <f t="shared" si="13"/>
        <v>Andares</v>
      </c>
      <c r="W38" s="54" t="s">
        <v>7259</v>
      </c>
      <c r="X38" s="84" t="str">
        <f t="shared" si="10"/>
        <v>Key-COD-CT-38</v>
      </c>
      <c r="Y38" s="84" t="s">
        <v>5978</v>
      </c>
      <c r="Z38" s="84" t="s">
        <v>692</v>
      </c>
      <c r="AA38" s="84" t="s">
        <v>5474</v>
      </c>
      <c r="AB38" s="84" t="s">
        <v>692</v>
      </c>
      <c r="AC38" s="84" t="s">
        <v>5976</v>
      </c>
      <c r="AD38" s="54" t="s">
        <v>692</v>
      </c>
    </row>
    <row r="39" spans="1:30" ht="6.75" customHeight="1" x14ac:dyDescent="0.25">
      <c r="A39" s="85">
        <v>39</v>
      </c>
      <c r="B39" s="59" t="s">
        <v>5419</v>
      </c>
      <c r="C39" s="59" t="s">
        <v>5421</v>
      </c>
      <c r="D39" s="59" t="s">
        <v>1261</v>
      </c>
      <c r="E39" s="59" t="s">
        <v>1262</v>
      </c>
      <c r="F39" s="61" t="s">
        <v>1266</v>
      </c>
      <c r="G39" s="79" t="s">
        <v>692</v>
      </c>
      <c r="H39" s="79" t="s">
        <v>692</v>
      </c>
      <c r="I39" s="79" t="s">
        <v>692</v>
      </c>
      <c r="J39" s="79" t="s">
        <v>692</v>
      </c>
      <c r="K39" s="79" t="s">
        <v>692</v>
      </c>
      <c r="L39" s="53" t="str">
        <f t="shared" si="11"/>
        <v>Espaciais</v>
      </c>
      <c r="M39" s="53" t="str">
        <f t="shared" si="11"/>
        <v>Planos.Horizontais</v>
      </c>
      <c r="N39" s="53" t="str">
        <f t="shared" si="14"/>
        <v>Andares</v>
      </c>
      <c r="O39" s="53" t="str">
        <f t="shared" si="14"/>
        <v>Andar Tipo</v>
      </c>
      <c r="P39" s="54" t="s">
        <v>1267</v>
      </c>
      <c r="Q39" s="54" t="s">
        <v>1268</v>
      </c>
      <c r="R39" s="54" t="s">
        <v>6038</v>
      </c>
      <c r="S39" s="54" t="s">
        <v>692</v>
      </c>
      <c r="T39" s="55" t="str">
        <f t="shared" si="13"/>
        <v>Espaciais</v>
      </c>
      <c r="U39" s="55" t="str">
        <f t="shared" si="13"/>
        <v>Planos Horizontais</v>
      </c>
      <c r="V39" s="55" t="str">
        <f t="shared" si="13"/>
        <v>Andares</v>
      </c>
      <c r="W39" s="54" t="s">
        <v>7259</v>
      </c>
      <c r="X39" s="84" t="str">
        <f t="shared" si="10"/>
        <v>Key-COD-CT-39</v>
      </c>
      <c r="Y39" s="84" t="s">
        <v>5978</v>
      </c>
      <c r="Z39" s="84" t="s">
        <v>692</v>
      </c>
      <c r="AA39" s="84" t="s">
        <v>5474</v>
      </c>
      <c r="AB39" s="84" t="s">
        <v>692</v>
      </c>
      <c r="AC39" s="84" t="s">
        <v>5976</v>
      </c>
      <c r="AD39" s="54" t="s">
        <v>692</v>
      </c>
    </row>
    <row r="40" spans="1:30" ht="6.75" customHeight="1" x14ac:dyDescent="0.25">
      <c r="A40" s="85">
        <v>40</v>
      </c>
      <c r="B40" s="59" t="s">
        <v>5419</v>
      </c>
      <c r="C40" s="59" t="s">
        <v>5421</v>
      </c>
      <c r="D40" s="59" t="s">
        <v>1261</v>
      </c>
      <c r="E40" s="59" t="s">
        <v>1262</v>
      </c>
      <c r="F40" s="61" t="s">
        <v>1269</v>
      </c>
      <c r="G40" s="79" t="s">
        <v>692</v>
      </c>
      <c r="H40" s="79" t="s">
        <v>692</v>
      </c>
      <c r="I40" s="79" t="s">
        <v>692</v>
      </c>
      <c r="J40" s="79" t="s">
        <v>692</v>
      </c>
      <c r="K40" s="79" t="s">
        <v>692</v>
      </c>
      <c r="L40" s="53" t="str">
        <f t="shared" si="11"/>
        <v>Espaciais</v>
      </c>
      <c r="M40" s="53" t="str">
        <f t="shared" si="11"/>
        <v>Planos.Horizontais</v>
      </c>
      <c r="N40" s="53" t="str">
        <f t="shared" si="14"/>
        <v>Andares</v>
      </c>
      <c r="O40" s="53" t="str">
        <f t="shared" si="14"/>
        <v>Andar Customizado</v>
      </c>
      <c r="P40" s="54" t="s">
        <v>1270</v>
      </c>
      <c r="Q40" s="54" t="s">
        <v>1271</v>
      </c>
      <c r="R40" s="54" t="s">
        <v>6039</v>
      </c>
      <c r="S40" s="54" t="s">
        <v>692</v>
      </c>
      <c r="T40" s="55" t="str">
        <f t="shared" si="13"/>
        <v>Espaciais</v>
      </c>
      <c r="U40" s="55" t="str">
        <f t="shared" si="13"/>
        <v>Planos Horizontais</v>
      </c>
      <c r="V40" s="55" t="str">
        <f t="shared" si="13"/>
        <v>Andares</v>
      </c>
      <c r="W40" s="54" t="s">
        <v>7259</v>
      </c>
      <c r="X40" s="84" t="str">
        <f t="shared" si="10"/>
        <v>Key-COD-CT-40</v>
      </c>
      <c r="Y40" s="84" t="s">
        <v>5978</v>
      </c>
      <c r="Z40" s="84" t="s">
        <v>692</v>
      </c>
      <c r="AA40" s="84" t="s">
        <v>5474</v>
      </c>
      <c r="AB40" s="84" t="s">
        <v>692</v>
      </c>
      <c r="AC40" s="84" t="s">
        <v>5976</v>
      </c>
      <c r="AD40" s="54" t="s">
        <v>692</v>
      </c>
    </row>
    <row r="41" spans="1:30" ht="6.75" customHeight="1" x14ac:dyDescent="0.25">
      <c r="A41" s="85">
        <v>41</v>
      </c>
      <c r="B41" s="59" t="s">
        <v>5419</v>
      </c>
      <c r="C41" s="59" t="s">
        <v>5421</v>
      </c>
      <c r="D41" s="59" t="s">
        <v>1261</v>
      </c>
      <c r="E41" s="59" t="s">
        <v>1262</v>
      </c>
      <c r="F41" s="61" t="s">
        <v>1272</v>
      </c>
      <c r="G41" s="79" t="s">
        <v>692</v>
      </c>
      <c r="H41" s="79" t="s">
        <v>692</v>
      </c>
      <c r="I41" s="79" t="s">
        <v>692</v>
      </c>
      <c r="J41" s="79" t="s">
        <v>692</v>
      </c>
      <c r="K41" s="79" t="s">
        <v>692</v>
      </c>
      <c r="L41" s="53" t="str">
        <f t="shared" si="11"/>
        <v>Espaciais</v>
      </c>
      <c r="M41" s="53" t="str">
        <f t="shared" si="11"/>
        <v>Planos.Horizontais</v>
      </c>
      <c r="N41" s="53" t="str">
        <f t="shared" si="14"/>
        <v>Andares</v>
      </c>
      <c r="O41" s="53" t="str">
        <f t="shared" si="14"/>
        <v>Andar Variável</v>
      </c>
      <c r="P41" s="54" t="s">
        <v>1273</v>
      </c>
      <c r="Q41" s="54" t="s">
        <v>1274</v>
      </c>
      <c r="R41" s="54" t="s">
        <v>6040</v>
      </c>
      <c r="S41" s="54" t="s">
        <v>692</v>
      </c>
      <c r="T41" s="55" t="str">
        <f t="shared" si="13"/>
        <v>Espaciais</v>
      </c>
      <c r="U41" s="55" t="str">
        <f t="shared" si="13"/>
        <v>Planos Horizontais</v>
      </c>
      <c r="V41" s="55" t="str">
        <f t="shared" si="13"/>
        <v>Andares</v>
      </c>
      <c r="W41" s="54" t="s">
        <v>7259</v>
      </c>
      <c r="X41" s="84" t="str">
        <f t="shared" si="10"/>
        <v>Key-COD-CT-41</v>
      </c>
      <c r="Y41" s="84" t="s">
        <v>5978</v>
      </c>
      <c r="Z41" s="84" t="s">
        <v>692</v>
      </c>
      <c r="AA41" s="84" t="s">
        <v>5474</v>
      </c>
      <c r="AB41" s="84" t="s">
        <v>692</v>
      </c>
      <c r="AC41" s="84" t="s">
        <v>5976</v>
      </c>
      <c r="AD41" s="54" t="s">
        <v>692</v>
      </c>
    </row>
    <row r="42" spans="1:30" ht="6.75" customHeight="1" x14ac:dyDescent="0.25">
      <c r="A42" s="85">
        <v>42</v>
      </c>
      <c r="B42" s="59" t="s">
        <v>5419</v>
      </c>
      <c r="C42" s="59" t="s">
        <v>5421</v>
      </c>
      <c r="D42" s="59" t="s">
        <v>1261</v>
      </c>
      <c r="E42" s="59" t="s">
        <v>1262</v>
      </c>
      <c r="F42" s="61" t="s">
        <v>1275</v>
      </c>
      <c r="G42" s="79" t="s">
        <v>692</v>
      </c>
      <c r="H42" s="79" t="s">
        <v>692</v>
      </c>
      <c r="I42" s="79" t="s">
        <v>692</v>
      </c>
      <c r="J42" s="79" t="s">
        <v>692</v>
      </c>
      <c r="K42" s="79" t="s">
        <v>692</v>
      </c>
      <c r="L42" s="53" t="str">
        <f t="shared" si="11"/>
        <v>Espaciais</v>
      </c>
      <c r="M42" s="53" t="str">
        <f t="shared" si="11"/>
        <v>Planos.Horizontais</v>
      </c>
      <c r="N42" s="53" t="str">
        <f t="shared" si="14"/>
        <v>Andares</v>
      </c>
      <c r="O42" s="53" t="str">
        <f t="shared" si="14"/>
        <v>Andar Palco</v>
      </c>
      <c r="P42" s="54" t="s">
        <v>1276</v>
      </c>
      <c r="Q42" s="54" t="s">
        <v>1277</v>
      </c>
      <c r="R42" s="54" t="s">
        <v>6041</v>
      </c>
      <c r="S42" s="54" t="s">
        <v>692</v>
      </c>
      <c r="T42" s="55" t="str">
        <f t="shared" si="13"/>
        <v>Espaciais</v>
      </c>
      <c r="U42" s="55" t="str">
        <f t="shared" si="13"/>
        <v>Planos Horizontais</v>
      </c>
      <c r="V42" s="55" t="str">
        <f t="shared" si="13"/>
        <v>Andares</v>
      </c>
      <c r="W42" s="54" t="s">
        <v>7259</v>
      </c>
      <c r="X42" s="84" t="str">
        <f t="shared" si="10"/>
        <v>Key-COD-CT-42</v>
      </c>
      <c r="Y42" s="84" t="s">
        <v>5978</v>
      </c>
      <c r="Z42" s="84" t="s">
        <v>692</v>
      </c>
      <c r="AA42" s="84" t="s">
        <v>5474</v>
      </c>
      <c r="AB42" s="84" t="s">
        <v>692</v>
      </c>
      <c r="AC42" s="84" t="s">
        <v>5976</v>
      </c>
      <c r="AD42" s="54" t="s">
        <v>692</v>
      </c>
    </row>
    <row r="43" spans="1:30" ht="6.75" customHeight="1" x14ac:dyDescent="0.25">
      <c r="A43" s="85">
        <v>43</v>
      </c>
      <c r="B43" s="59" t="s">
        <v>5419</v>
      </c>
      <c r="C43" s="59" t="s">
        <v>5421</v>
      </c>
      <c r="D43" s="59" t="s">
        <v>1261</v>
      </c>
      <c r="E43" s="59" t="s">
        <v>1262</v>
      </c>
      <c r="F43" s="61" t="s">
        <v>1278</v>
      </c>
      <c r="G43" s="79" t="s">
        <v>692</v>
      </c>
      <c r="H43" s="79" t="s">
        <v>692</v>
      </c>
      <c r="I43" s="79" t="s">
        <v>692</v>
      </c>
      <c r="J43" s="79" t="s">
        <v>692</v>
      </c>
      <c r="K43" s="79" t="s">
        <v>692</v>
      </c>
      <c r="L43" s="53" t="str">
        <f t="shared" si="11"/>
        <v>Espaciais</v>
      </c>
      <c r="M43" s="53" t="str">
        <f t="shared" si="11"/>
        <v>Planos.Horizontais</v>
      </c>
      <c r="N43" s="53" t="str">
        <f t="shared" si="14"/>
        <v>Andares</v>
      </c>
      <c r="O43" s="53" t="str">
        <f t="shared" si="14"/>
        <v>Andar Especial</v>
      </c>
      <c r="P43" s="54" t="s">
        <v>1279</v>
      </c>
      <c r="Q43" s="54" t="s">
        <v>1280</v>
      </c>
      <c r="R43" s="54" t="s">
        <v>6042</v>
      </c>
      <c r="S43" s="54" t="s">
        <v>692</v>
      </c>
      <c r="T43" s="55" t="str">
        <f t="shared" si="13"/>
        <v>Espaciais</v>
      </c>
      <c r="U43" s="55" t="str">
        <f t="shared" si="13"/>
        <v>Planos Horizontais</v>
      </c>
      <c r="V43" s="55" t="str">
        <f t="shared" si="13"/>
        <v>Andares</v>
      </c>
      <c r="W43" s="54" t="s">
        <v>7259</v>
      </c>
      <c r="X43" s="84" t="str">
        <f t="shared" si="10"/>
        <v>Key-COD-CT-43</v>
      </c>
      <c r="Y43" s="84" t="s">
        <v>5978</v>
      </c>
      <c r="Z43" s="84" t="s">
        <v>692</v>
      </c>
      <c r="AA43" s="84" t="s">
        <v>5474</v>
      </c>
      <c r="AB43" s="84" t="s">
        <v>692</v>
      </c>
      <c r="AC43" s="84" t="s">
        <v>5976</v>
      </c>
      <c r="AD43" s="54" t="s">
        <v>692</v>
      </c>
    </row>
    <row r="44" spans="1:30" ht="6.75" customHeight="1" x14ac:dyDescent="0.25">
      <c r="A44" s="85">
        <v>44</v>
      </c>
      <c r="B44" s="59" t="s">
        <v>5419</v>
      </c>
      <c r="C44" s="59" t="s">
        <v>5421</v>
      </c>
      <c r="D44" s="59" t="s">
        <v>1261</v>
      </c>
      <c r="E44" s="59" t="s">
        <v>1262</v>
      </c>
      <c r="F44" s="61" t="s">
        <v>1281</v>
      </c>
      <c r="G44" s="79" t="s">
        <v>692</v>
      </c>
      <c r="H44" s="79" t="s">
        <v>692</v>
      </c>
      <c r="I44" s="79" t="s">
        <v>692</v>
      </c>
      <c r="J44" s="79" t="s">
        <v>692</v>
      </c>
      <c r="K44" s="79" t="s">
        <v>692</v>
      </c>
      <c r="L44" s="53" t="str">
        <f t="shared" si="11"/>
        <v>Espaciais</v>
      </c>
      <c r="M44" s="53" t="str">
        <f t="shared" si="11"/>
        <v>Planos.Horizontais</v>
      </c>
      <c r="N44" s="53" t="str">
        <f t="shared" si="14"/>
        <v>Andares</v>
      </c>
      <c r="O44" s="53" t="str">
        <f t="shared" si="14"/>
        <v>Andar Técnico</v>
      </c>
      <c r="P44" s="54" t="s">
        <v>1282</v>
      </c>
      <c r="Q44" s="54" t="s">
        <v>1283</v>
      </c>
      <c r="R44" s="54" t="s">
        <v>6043</v>
      </c>
      <c r="S44" s="54" t="s">
        <v>692</v>
      </c>
      <c r="T44" s="55" t="str">
        <f t="shared" si="13"/>
        <v>Espaciais</v>
      </c>
      <c r="U44" s="55" t="str">
        <f t="shared" si="13"/>
        <v>Planos Horizontais</v>
      </c>
      <c r="V44" s="55" t="str">
        <f t="shared" si="13"/>
        <v>Andares</v>
      </c>
      <c r="W44" s="54" t="s">
        <v>7259</v>
      </c>
      <c r="X44" s="84" t="str">
        <f t="shared" si="10"/>
        <v>Key-COD-CT-44</v>
      </c>
      <c r="Y44" s="84" t="s">
        <v>5978</v>
      </c>
      <c r="Z44" s="84" t="s">
        <v>692</v>
      </c>
      <c r="AA44" s="84" t="s">
        <v>5474</v>
      </c>
      <c r="AB44" s="84" t="s">
        <v>692</v>
      </c>
      <c r="AC44" s="84" t="s">
        <v>5976</v>
      </c>
      <c r="AD44" s="54" t="s">
        <v>692</v>
      </c>
    </row>
    <row r="45" spans="1:30" ht="6.75" customHeight="1" x14ac:dyDescent="0.25">
      <c r="A45" s="85">
        <v>45</v>
      </c>
      <c r="B45" s="59" t="s">
        <v>5419</v>
      </c>
      <c r="C45" s="59" t="s">
        <v>5421</v>
      </c>
      <c r="D45" s="59" t="s">
        <v>1261</v>
      </c>
      <c r="E45" s="59" t="s">
        <v>1262</v>
      </c>
      <c r="F45" s="61" t="s">
        <v>1284</v>
      </c>
      <c r="G45" s="79" t="s">
        <v>692</v>
      </c>
      <c r="H45" s="79" t="s">
        <v>692</v>
      </c>
      <c r="I45" s="79" t="s">
        <v>692</v>
      </c>
      <c r="J45" s="79" t="s">
        <v>692</v>
      </c>
      <c r="K45" s="79" t="s">
        <v>692</v>
      </c>
      <c r="L45" s="53" t="str">
        <f t="shared" si="11"/>
        <v>Espaciais</v>
      </c>
      <c r="M45" s="53" t="str">
        <f t="shared" si="11"/>
        <v>Planos.Horizontais</v>
      </c>
      <c r="N45" s="53" t="str">
        <f t="shared" si="14"/>
        <v>Andares</v>
      </c>
      <c r="O45" s="53" t="str">
        <f t="shared" si="14"/>
        <v>Andar Mezanino</v>
      </c>
      <c r="P45" s="54" t="s">
        <v>1285</v>
      </c>
      <c r="Q45" s="54" t="s">
        <v>1286</v>
      </c>
      <c r="R45" s="54" t="s">
        <v>6044</v>
      </c>
      <c r="S45" s="54" t="s">
        <v>692</v>
      </c>
      <c r="T45" s="55" t="str">
        <f t="shared" si="13"/>
        <v>Espaciais</v>
      </c>
      <c r="U45" s="55" t="str">
        <f t="shared" si="13"/>
        <v>Planos Horizontais</v>
      </c>
      <c r="V45" s="55" t="str">
        <f t="shared" si="13"/>
        <v>Andares</v>
      </c>
      <c r="W45" s="54" t="s">
        <v>7259</v>
      </c>
      <c r="X45" s="84" t="str">
        <f t="shared" si="10"/>
        <v>Key-COD-CT-45</v>
      </c>
      <c r="Y45" s="84" t="s">
        <v>5978</v>
      </c>
      <c r="Z45" s="84" t="s">
        <v>692</v>
      </c>
      <c r="AA45" s="84" t="s">
        <v>5474</v>
      </c>
      <c r="AB45" s="84" t="s">
        <v>692</v>
      </c>
      <c r="AC45" s="84" t="s">
        <v>5976</v>
      </c>
      <c r="AD45" s="54" t="s">
        <v>692</v>
      </c>
    </row>
    <row r="46" spans="1:30" ht="6.75" customHeight="1" x14ac:dyDescent="0.25">
      <c r="A46" s="85">
        <v>46</v>
      </c>
      <c r="B46" s="59" t="s">
        <v>5419</v>
      </c>
      <c r="C46" s="59" t="s">
        <v>5421</v>
      </c>
      <c r="D46" s="59" t="s">
        <v>1261</v>
      </c>
      <c r="E46" s="59" t="s">
        <v>1262</v>
      </c>
      <c r="F46" s="61" t="s">
        <v>1287</v>
      </c>
      <c r="G46" s="79" t="s">
        <v>692</v>
      </c>
      <c r="H46" s="79" t="s">
        <v>692</v>
      </c>
      <c r="I46" s="79" t="s">
        <v>692</v>
      </c>
      <c r="J46" s="79" t="s">
        <v>692</v>
      </c>
      <c r="K46" s="79" t="s">
        <v>692</v>
      </c>
      <c r="L46" s="53" t="str">
        <f t="shared" si="11"/>
        <v>Espaciais</v>
      </c>
      <c r="M46" s="53" t="str">
        <f t="shared" si="11"/>
        <v>Planos.Horizontais</v>
      </c>
      <c r="N46" s="53" t="str">
        <f t="shared" si="14"/>
        <v>Andares</v>
      </c>
      <c r="O46" s="53" t="str">
        <f t="shared" si="14"/>
        <v>Andar Acesso</v>
      </c>
      <c r="P46" s="54" t="s">
        <v>1288</v>
      </c>
      <c r="Q46" s="54" t="s">
        <v>1289</v>
      </c>
      <c r="R46" s="54" t="s">
        <v>6045</v>
      </c>
      <c r="S46" s="54" t="s">
        <v>692</v>
      </c>
      <c r="T46" s="55" t="str">
        <f t="shared" si="13"/>
        <v>Espaciais</v>
      </c>
      <c r="U46" s="55" t="str">
        <f t="shared" si="13"/>
        <v>Planos Horizontais</v>
      </c>
      <c r="V46" s="55" t="str">
        <f t="shared" si="13"/>
        <v>Andares</v>
      </c>
      <c r="W46" s="54" t="s">
        <v>7259</v>
      </c>
      <c r="X46" s="84" t="str">
        <f t="shared" si="10"/>
        <v>Key-COD-CT-46</v>
      </c>
      <c r="Y46" s="84" t="s">
        <v>5978</v>
      </c>
      <c r="Z46" s="84" t="s">
        <v>692</v>
      </c>
      <c r="AA46" s="84" t="s">
        <v>5474</v>
      </c>
      <c r="AB46" s="84" t="s">
        <v>692</v>
      </c>
      <c r="AC46" s="84" t="s">
        <v>5976</v>
      </c>
      <c r="AD46" s="54" t="s">
        <v>692</v>
      </c>
    </row>
    <row r="47" spans="1:30" ht="6.75" customHeight="1" x14ac:dyDescent="0.25">
      <c r="A47" s="85">
        <v>47</v>
      </c>
      <c r="B47" s="59" t="s">
        <v>5419</v>
      </c>
      <c r="C47" s="59" t="s">
        <v>5421</v>
      </c>
      <c r="D47" s="59" t="s">
        <v>1261</v>
      </c>
      <c r="E47" s="59" t="s">
        <v>1262</v>
      </c>
      <c r="F47" s="61" t="s">
        <v>1290</v>
      </c>
      <c r="G47" s="79" t="s">
        <v>692</v>
      </c>
      <c r="H47" s="79" t="s">
        <v>692</v>
      </c>
      <c r="I47" s="79" t="s">
        <v>692</v>
      </c>
      <c r="J47" s="79" t="s">
        <v>692</v>
      </c>
      <c r="K47" s="79" t="s">
        <v>692</v>
      </c>
      <c r="L47" s="53" t="str">
        <f t="shared" si="11"/>
        <v>Espaciais</v>
      </c>
      <c r="M47" s="53" t="str">
        <f t="shared" si="11"/>
        <v>Planos.Horizontais</v>
      </c>
      <c r="N47" s="53" t="str">
        <f t="shared" si="14"/>
        <v>Andares</v>
      </c>
      <c r="O47" s="53" t="str">
        <f t="shared" si="14"/>
        <v>Andar Subsolo</v>
      </c>
      <c r="P47" s="54" t="s">
        <v>1291</v>
      </c>
      <c r="Q47" s="54" t="s">
        <v>1292</v>
      </c>
      <c r="R47" s="54" t="s">
        <v>6046</v>
      </c>
      <c r="S47" s="54" t="s">
        <v>692</v>
      </c>
      <c r="T47" s="55" t="str">
        <f t="shared" si="13"/>
        <v>Espaciais</v>
      </c>
      <c r="U47" s="55" t="str">
        <f t="shared" si="13"/>
        <v>Planos Horizontais</v>
      </c>
      <c r="V47" s="55" t="str">
        <f t="shared" si="13"/>
        <v>Andares</v>
      </c>
      <c r="W47" s="54" t="s">
        <v>7259</v>
      </c>
      <c r="X47" s="84" t="str">
        <f t="shared" si="10"/>
        <v>Key-COD-CT-47</v>
      </c>
      <c r="Y47" s="84" t="s">
        <v>5978</v>
      </c>
      <c r="Z47" s="84" t="s">
        <v>692</v>
      </c>
      <c r="AA47" s="84" t="s">
        <v>5474</v>
      </c>
      <c r="AB47" s="84" t="s">
        <v>692</v>
      </c>
      <c r="AC47" s="84" t="s">
        <v>5976</v>
      </c>
      <c r="AD47" s="54" t="s">
        <v>692</v>
      </c>
    </row>
    <row r="48" spans="1:30" ht="6.75" customHeight="1" x14ac:dyDescent="0.25">
      <c r="A48" s="85">
        <v>48</v>
      </c>
      <c r="B48" s="59" t="s">
        <v>5419</v>
      </c>
      <c r="C48" s="59" t="s">
        <v>5421</v>
      </c>
      <c r="D48" s="59" t="s">
        <v>1261</v>
      </c>
      <c r="E48" s="59" t="s">
        <v>1293</v>
      </c>
      <c r="F48" s="61" t="s">
        <v>1294</v>
      </c>
      <c r="G48" s="81" t="s">
        <v>692</v>
      </c>
      <c r="H48" s="81" t="s">
        <v>692</v>
      </c>
      <c r="I48" s="81" t="s">
        <v>692</v>
      </c>
      <c r="J48" s="81" t="s">
        <v>692</v>
      </c>
      <c r="K48" s="81" t="s">
        <v>692</v>
      </c>
      <c r="L48" s="53" t="str">
        <f t="shared" si="11"/>
        <v>Espaciais</v>
      </c>
      <c r="M48" s="53" t="str">
        <f t="shared" si="11"/>
        <v>Planos.Horizontais</v>
      </c>
      <c r="N48" s="53" t="str">
        <f t="shared" si="14"/>
        <v>Planos Fundações</v>
      </c>
      <c r="O48" s="53" t="str">
        <f t="shared" si="14"/>
        <v>Plano de Bloco Fundação</v>
      </c>
      <c r="P48" s="54" t="s">
        <v>1295</v>
      </c>
      <c r="Q48" s="54" t="s">
        <v>1296</v>
      </c>
      <c r="R48" s="54" t="s">
        <v>6047</v>
      </c>
      <c r="S48" s="54" t="s">
        <v>692</v>
      </c>
      <c r="T48" s="55" t="str">
        <f t="shared" si="13"/>
        <v>Espaciais</v>
      </c>
      <c r="U48" s="55" t="str">
        <f t="shared" si="13"/>
        <v>Planos Horizontais</v>
      </c>
      <c r="V48" s="55" t="str">
        <f t="shared" si="13"/>
        <v>Planos Fundações</v>
      </c>
      <c r="W48" s="54" t="s">
        <v>7259</v>
      </c>
      <c r="X48" s="84" t="str">
        <f t="shared" si="10"/>
        <v>Key-COD-CT-48</v>
      </c>
      <c r="Y48" s="84" t="s">
        <v>5978</v>
      </c>
      <c r="Z48" s="84" t="s">
        <v>692</v>
      </c>
      <c r="AA48" s="84" t="s">
        <v>5474</v>
      </c>
      <c r="AB48" s="84" t="s">
        <v>692</v>
      </c>
      <c r="AC48" s="84" t="s">
        <v>5976</v>
      </c>
      <c r="AD48" s="54" t="s">
        <v>692</v>
      </c>
    </row>
    <row r="49" spans="1:30" ht="6.75" customHeight="1" x14ac:dyDescent="0.25">
      <c r="A49" s="85">
        <v>49</v>
      </c>
      <c r="B49" s="59" t="s">
        <v>5419</v>
      </c>
      <c r="C49" s="59" t="s">
        <v>5421</v>
      </c>
      <c r="D49" s="59" t="s">
        <v>1261</v>
      </c>
      <c r="E49" s="59" t="s">
        <v>1293</v>
      </c>
      <c r="F49" s="61" t="s">
        <v>1297</v>
      </c>
      <c r="G49" s="81" t="s">
        <v>692</v>
      </c>
      <c r="H49" s="81" t="s">
        <v>692</v>
      </c>
      <c r="I49" s="81" t="s">
        <v>692</v>
      </c>
      <c r="J49" s="81" t="s">
        <v>692</v>
      </c>
      <c r="K49" s="81" t="s">
        <v>692</v>
      </c>
      <c r="L49" s="53" t="str">
        <f t="shared" si="11"/>
        <v>Espaciais</v>
      </c>
      <c r="M49" s="53" t="str">
        <f t="shared" si="11"/>
        <v>Planos.Horizontais</v>
      </c>
      <c r="N49" s="53" t="str">
        <f t="shared" si="14"/>
        <v>Planos Fundações</v>
      </c>
      <c r="O49" s="53" t="str">
        <f t="shared" si="14"/>
        <v>Plano de Estacas</v>
      </c>
      <c r="P49" s="54" t="s">
        <v>1298</v>
      </c>
      <c r="Q49" s="54" t="s">
        <v>1299</v>
      </c>
      <c r="R49" s="54" t="s">
        <v>6048</v>
      </c>
      <c r="S49" s="54" t="s">
        <v>692</v>
      </c>
      <c r="T49" s="55" t="str">
        <f t="shared" si="13"/>
        <v>Espaciais</v>
      </c>
      <c r="U49" s="55" t="str">
        <f t="shared" si="13"/>
        <v>Planos Horizontais</v>
      </c>
      <c r="V49" s="55" t="str">
        <f t="shared" si="13"/>
        <v>Planos Fundações</v>
      </c>
      <c r="W49" s="54" t="s">
        <v>7259</v>
      </c>
      <c r="X49" s="84" t="str">
        <f t="shared" si="10"/>
        <v>Key-COD-CT-49</v>
      </c>
      <c r="Y49" s="84" t="s">
        <v>5978</v>
      </c>
      <c r="Z49" s="84" t="s">
        <v>692</v>
      </c>
      <c r="AA49" s="84" t="s">
        <v>5474</v>
      </c>
      <c r="AB49" s="84" t="s">
        <v>692</v>
      </c>
      <c r="AC49" s="84" t="s">
        <v>5976</v>
      </c>
      <c r="AD49" s="54" t="s">
        <v>692</v>
      </c>
    </row>
    <row r="50" spans="1:30" ht="6.75" customHeight="1" x14ac:dyDescent="0.25">
      <c r="A50" s="85">
        <v>50</v>
      </c>
      <c r="B50" s="59" t="s">
        <v>5419</v>
      </c>
      <c r="C50" s="59" t="s">
        <v>5421</v>
      </c>
      <c r="D50" s="59" t="s">
        <v>1261</v>
      </c>
      <c r="E50" s="59" t="s">
        <v>1300</v>
      </c>
      <c r="F50" s="61" t="s">
        <v>1301</v>
      </c>
      <c r="G50" s="81" t="s">
        <v>692</v>
      </c>
      <c r="H50" s="81" t="s">
        <v>692</v>
      </c>
      <c r="I50" s="81" t="s">
        <v>692</v>
      </c>
      <c r="J50" s="81" t="s">
        <v>692</v>
      </c>
      <c r="K50" s="81" t="s">
        <v>692</v>
      </c>
      <c r="L50" s="53" t="str">
        <f t="shared" ref="L50:M65" si="15">CONCATENATE("", C50)</f>
        <v>Espaciais</v>
      </c>
      <c r="M50" s="53" t="str">
        <f t="shared" si="15"/>
        <v>Planos.Horizontais</v>
      </c>
      <c r="N50" s="53" t="str">
        <f t="shared" si="14"/>
        <v>Gabaritos</v>
      </c>
      <c r="O50" s="53" t="str">
        <f t="shared" si="14"/>
        <v>Gabarito Freático</v>
      </c>
      <c r="P50" s="54" t="s">
        <v>1302</v>
      </c>
      <c r="Q50" s="54" t="s">
        <v>1303</v>
      </c>
      <c r="R50" s="54" t="s">
        <v>6049</v>
      </c>
      <c r="S50" s="54" t="s">
        <v>692</v>
      </c>
      <c r="T50" s="55" t="str">
        <f t="shared" si="13"/>
        <v>Espaciais</v>
      </c>
      <c r="U50" s="55" t="str">
        <f t="shared" si="13"/>
        <v>Planos Horizontais</v>
      </c>
      <c r="V50" s="55" t="str">
        <f t="shared" si="13"/>
        <v>Gabaritos</v>
      </c>
      <c r="W50" s="54" t="s">
        <v>7259</v>
      </c>
      <c r="X50" s="84" t="str">
        <f t="shared" si="10"/>
        <v>Key-COD-CT-50</v>
      </c>
      <c r="Y50" s="84" t="s">
        <v>5978</v>
      </c>
      <c r="Z50" s="84" t="s">
        <v>692</v>
      </c>
      <c r="AA50" s="84" t="s">
        <v>5474</v>
      </c>
      <c r="AB50" s="84" t="s">
        <v>692</v>
      </c>
      <c r="AC50" s="84" t="s">
        <v>5976</v>
      </c>
      <c r="AD50" s="54" t="s">
        <v>692</v>
      </c>
    </row>
    <row r="51" spans="1:30" ht="6.75" customHeight="1" x14ac:dyDescent="0.25">
      <c r="A51" s="85">
        <v>51</v>
      </c>
      <c r="B51" s="59" t="s">
        <v>5419</v>
      </c>
      <c r="C51" s="59" t="s">
        <v>5421</v>
      </c>
      <c r="D51" s="59" t="s">
        <v>1261</v>
      </c>
      <c r="E51" s="59" t="s">
        <v>1300</v>
      </c>
      <c r="F51" s="61" t="s">
        <v>1304</v>
      </c>
      <c r="G51" s="81" t="s">
        <v>692</v>
      </c>
      <c r="H51" s="81" t="s">
        <v>692</v>
      </c>
      <c r="I51" s="81" t="s">
        <v>692</v>
      </c>
      <c r="J51" s="81" t="s">
        <v>692</v>
      </c>
      <c r="K51" s="81" t="s">
        <v>692</v>
      </c>
      <c r="L51" s="53" t="str">
        <f t="shared" si="15"/>
        <v>Espaciais</v>
      </c>
      <c r="M51" s="53" t="str">
        <f t="shared" si="15"/>
        <v>Planos.Horizontais</v>
      </c>
      <c r="N51" s="53" t="str">
        <f t="shared" si="14"/>
        <v>Gabaritos</v>
      </c>
      <c r="O51" s="53" t="str">
        <f t="shared" si="14"/>
        <v>Gabarito Subterrâneo</v>
      </c>
      <c r="P51" s="54" t="s">
        <v>1305</v>
      </c>
      <c r="Q51" s="54" t="s">
        <v>1306</v>
      </c>
      <c r="R51" s="54" t="s">
        <v>6050</v>
      </c>
      <c r="S51" s="54" t="s">
        <v>692</v>
      </c>
      <c r="T51" s="55" t="str">
        <f t="shared" si="13"/>
        <v>Espaciais</v>
      </c>
      <c r="U51" s="55" t="str">
        <f t="shared" si="13"/>
        <v>Planos Horizontais</v>
      </c>
      <c r="V51" s="55" t="str">
        <f t="shared" si="13"/>
        <v>Gabaritos</v>
      </c>
      <c r="W51" s="54" t="s">
        <v>7259</v>
      </c>
      <c r="X51" s="84" t="str">
        <f t="shared" si="10"/>
        <v>Key-COD-CT-51</v>
      </c>
      <c r="Y51" s="84" t="s">
        <v>5978</v>
      </c>
      <c r="Z51" s="84" t="s">
        <v>692</v>
      </c>
      <c r="AA51" s="84" t="s">
        <v>5474</v>
      </c>
      <c r="AB51" s="84" t="s">
        <v>692</v>
      </c>
      <c r="AC51" s="84" t="s">
        <v>5976</v>
      </c>
      <c r="AD51" s="54" t="s">
        <v>692</v>
      </c>
    </row>
    <row r="52" spans="1:30" ht="6.75" customHeight="1" x14ac:dyDescent="0.25">
      <c r="A52" s="85">
        <v>52</v>
      </c>
      <c r="B52" s="59" t="s">
        <v>5419</v>
      </c>
      <c r="C52" s="59" t="s">
        <v>5421</v>
      </c>
      <c r="D52" s="59" t="s">
        <v>1261</v>
      </c>
      <c r="E52" s="59" t="s">
        <v>1300</v>
      </c>
      <c r="F52" s="61" t="s">
        <v>1307</v>
      </c>
      <c r="G52" s="81" t="s">
        <v>692</v>
      </c>
      <c r="H52" s="81" t="s">
        <v>692</v>
      </c>
      <c r="I52" s="81" t="s">
        <v>692</v>
      </c>
      <c r="J52" s="81" t="s">
        <v>692</v>
      </c>
      <c r="K52" s="81" t="s">
        <v>692</v>
      </c>
      <c r="L52" s="53" t="str">
        <f t="shared" si="15"/>
        <v>Espaciais</v>
      </c>
      <c r="M52" s="53" t="str">
        <f t="shared" si="15"/>
        <v>Planos.Horizontais</v>
      </c>
      <c r="N52" s="53" t="str">
        <f t="shared" si="14"/>
        <v>Gabaritos</v>
      </c>
      <c r="O52" s="53" t="str">
        <f t="shared" si="14"/>
        <v>Gabarito Aéreo</v>
      </c>
      <c r="P52" s="54" t="s">
        <v>1308</v>
      </c>
      <c r="Q52" s="54" t="s">
        <v>1309</v>
      </c>
      <c r="R52" s="54" t="s">
        <v>6051</v>
      </c>
      <c r="S52" s="54" t="s">
        <v>692</v>
      </c>
      <c r="T52" s="55" t="str">
        <f t="shared" si="13"/>
        <v>Espaciais</v>
      </c>
      <c r="U52" s="55" t="str">
        <f t="shared" si="13"/>
        <v>Planos Horizontais</v>
      </c>
      <c r="V52" s="55" t="str">
        <f t="shared" si="13"/>
        <v>Gabaritos</v>
      </c>
      <c r="W52" s="54" t="s">
        <v>7259</v>
      </c>
      <c r="X52" s="84" t="str">
        <f t="shared" si="10"/>
        <v>Key-COD-CT-52</v>
      </c>
      <c r="Y52" s="84" t="s">
        <v>5978</v>
      </c>
      <c r="Z52" s="84" t="s">
        <v>692</v>
      </c>
      <c r="AA52" s="84" t="s">
        <v>5474</v>
      </c>
      <c r="AB52" s="84" t="s">
        <v>692</v>
      </c>
      <c r="AC52" s="84" t="s">
        <v>5976</v>
      </c>
      <c r="AD52" s="54" t="s">
        <v>692</v>
      </c>
    </row>
    <row r="53" spans="1:30" ht="6.75" customHeight="1" x14ac:dyDescent="0.25">
      <c r="A53" s="85">
        <v>53</v>
      </c>
      <c r="B53" s="59" t="s">
        <v>5419</v>
      </c>
      <c r="C53" s="59" t="s">
        <v>5421</v>
      </c>
      <c r="D53" s="59" t="s">
        <v>1261</v>
      </c>
      <c r="E53" s="59" t="s">
        <v>1300</v>
      </c>
      <c r="F53" s="61" t="s">
        <v>1310</v>
      </c>
      <c r="G53" s="81" t="s">
        <v>692</v>
      </c>
      <c r="H53" s="81" t="s">
        <v>692</v>
      </c>
      <c r="I53" s="81" t="s">
        <v>692</v>
      </c>
      <c r="J53" s="81" t="s">
        <v>692</v>
      </c>
      <c r="K53" s="81" t="s">
        <v>692</v>
      </c>
      <c r="L53" s="53" t="str">
        <f t="shared" si="15"/>
        <v>Espaciais</v>
      </c>
      <c r="M53" s="53" t="str">
        <f t="shared" si="15"/>
        <v>Planos.Horizontais</v>
      </c>
      <c r="N53" s="53" t="str">
        <f t="shared" si="14"/>
        <v>Gabaritos</v>
      </c>
      <c r="O53" s="53" t="str">
        <f t="shared" si="14"/>
        <v>Gabarito Hídrico</v>
      </c>
      <c r="P53" s="54" t="s">
        <v>1311</v>
      </c>
      <c r="Q53" s="54" t="s">
        <v>1312</v>
      </c>
      <c r="R53" s="54" t="s">
        <v>6052</v>
      </c>
      <c r="S53" s="54" t="s">
        <v>692</v>
      </c>
      <c r="T53" s="55" t="str">
        <f t="shared" ref="T53:V68" si="16">SUBSTITUTE(C53, ".", " ")</f>
        <v>Espaciais</v>
      </c>
      <c r="U53" s="55" t="str">
        <f t="shared" si="16"/>
        <v>Planos Horizontais</v>
      </c>
      <c r="V53" s="55" t="str">
        <f t="shared" si="16"/>
        <v>Gabaritos</v>
      </c>
      <c r="W53" s="54" t="s">
        <v>7259</v>
      </c>
      <c r="X53" s="84" t="str">
        <f t="shared" si="10"/>
        <v>Key-COD-CT-53</v>
      </c>
      <c r="Y53" s="84" t="s">
        <v>5978</v>
      </c>
      <c r="Z53" s="84" t="s">
        <v>692</v>
      </c>
      <c r="AA53" s="84" t="s">
        <v>5474</v>
      </c>
      <c r="AB53" s="84" t="s">
        <v>692</v>
      </c>
      <c r="AC53" s="84" t="s">
        <v>5976</v>
      </c>
      <c r="AD53" s="54" t="s">
        <v>692</v>
      </c>
    </row>
    <row r="54" spans="1:30" ht="6.75" customHeight="1" x14ac:dyDescent="0.25">
      <c r="A54" s="85">
        <v>54</v>
      </c>
      <c r="B54" s="59" t="s">
        <v>5419</v>
      </c>
      <c r="C54" s="59" t="s">
        <v>5421</v>
      </c>
      <c r="D54" s="59" t="s">
        <v>1261</v>
      </c>
      <c r="E54" s="59" t="s">
        <v>1300</v>
      </c>
      <c r="F54" s="61" t="s">
        <v>1313</v>
      </c>
      <c r="G54" s="81" t="s">
        <v>692</v>
      </c>
      <c r="H54" s="81" t="s">
        <v>692</v>
      </c>
      <c r="I54" s="81" t="s">
        <v>692</v>
      </c>
      <c r="J54" s="81" t="s">
        <v>692</v>
      </c>
      <c r="K54" s="81" t="s">
        <v>692</v>
      </c>
      <c r="L54" s="53" t="str">
        <f t="shared" si="15"/>
        <v>Espaciais</v>
      </c>
      <c r="M54" s="53" t="str">
        <f t="shared" si="15"/>
        <v>Planos.Horizontais</v>
      </c>
      <c r="N54" s="53" t="str">
        <f t="shared" ref="N54:O180" si="17">(SUBSTITUTE(SUBSTITUTE(CONCATENATE("",E54),"."," ")," De "," de "))</f>
        <v>Gabaritos</v>
      </c>
      <c r="O54" s="53" t="str">
        <f t="shared" si="17"/>
        <v>Gabarito Municipal</v>
      </c>
      <c r="P54" s="54" t="s">
        <v>1314</v>
      </c>
      <c r="Q54" s="54" t="s">
        <v>1315</v>
      </c>
      <c r="R54" s="54" t="s">
        <v>6053</v>
      </c>
      <c r="S54" s="54" t="s">
        <v>692</v>
      </c>
      <c r="T54" s="55" t="str">
        <f t="shared" si="16"/>
        <v>Espaciais</v>
      </c>
      <c r="U54" s="55" t="str">
        <f t="shared" si="16"/>
        <v>Planos Horizontais</v>
      </c>
      <c r="V54" s="55" t="str">
        <f t="shared" si="16"/>
        <v>Gabaritos</v>
      </c>
      <c r="W54" s="54" t="s">
        <v>7259</v>
      </c>
      <c r="X54" s="84" t="str">
        <f t="shared" si="10"/>
        <v>Key-COD-CT-54</v>
      </c>
      <c r="Y54" s="84" t="s">
        <v>5978</v>
      </c>
      <c r="Z54" s="84" t="s">
        <v>692</v>
      </c>
      <c r="AA54" s="84" t="s">
        <v>5474</v>
      </c>
      <c r="AB54" s="84" t="s">
        <v>692</v>
      </c>
      <c r="AC54" s="84" t="s">
        <v>5976</v>
      </c>
      <c r="AD54" s="54" t="s">
        <v>692</v>
      </c>
    </row>
    <row r="55" spans="1:30" ht="6.75" customHeight="1" x14ac:dyDescent="0.25">
      <c r="A55" s="85">
        <v>55</v>
      </c>
      <c r="B55" s="59" t="s">
        <v>5419</v>
      </c>
      <c r="C55" s="59" t="s">
        <v>5421</v>
      </c>
      <c r="D55" s="59" t="s">
        <v>1316</v>
      </c>
      <c r="E55" s="59" t="s">
        <v>1317</v>
      </c>
      <c r="F55" s="61" t="s">
        <v>1318</v>
      </c>
      <c r="G55" s="81" t="s">
        <v>692</v>
      </c>
      <c r="H55" s="81" t="s">
        <v>692</v>
      </c>
      <c r="I55" s="81" t="s">
        <v>692</v>
      </c>
      <c r="J55" s="81" t="s">
        <v>692</v>
      </c>
      <c r="K55" s="81" t="s">
        <v>692</v>
      </c>
      <c r="L55" s="53" t="str">
        <f t="shared" si="15"/>
        <v>Espaciais</v>
      </c>
      <c r="M55" s="53" t="str">
        <f t="shared" si="15"/>
        <v>Planos.Verticais</v>
      </c>
      <c r="N55" s="53" t="str">
        <f t="shared" si="17"/>
        <v>Eixos Estruturais</v>
      </c>
      <c r="O55" s="53" t="str">
        <f t="shared" si="17"/>
        <v>Eixo Estrutural</v>
      </c>
      <c r="P55" s="54" t="s">
        <v>1319</v>
      </c>
      <c r="Q55" s="54" t="s">
        <v>1320</v>
      </c>
      <c r="R55" s="54" t="s">
        <v>6054</v>
      </c>
      <c r="S55" s="54" t="s">
        <v>692</v>
      </c>
      <c r="T55" s="55" t="str">
        <f t="shared" si="16"/>
        <v>Espaciais</v>
      </c>
      <c r="U55" s="55" t="str">
        <f t="shared" si="16"/>
        <v>Planos Verticais</v>
      </c>
      <c r="V55" s="55" t="str">
        <f t="shared" si="16"/>
        <v>Eixos Estruturais</v>
      </c>
      <c r="W55" s="54" t="s">
        <v>7259</v>
      </c>
      <c r="X55" s="84" t="str">
        <f t="shared" si="10"/>
        <v>Key-COD-CT-55</v>
      </c>
      <c r="Y55" s="84" t="s">
        <v>5521</v>
      </c>
      <c r="Z55" s="84" t="s">
        <v>692</v>
      </c>
      <c r="AA55" s="84" t="s">
        <v>5626</v>
      </c>
      <c r="AB55" s="84" t="s">
        <v>692</v>
      </c>
      <c r="AC55" s="84" t="s">
        <v>692</v>
      </c>
      <c r="AD55" s="54" t="s">
        <v>692</v>
      </c>
    </row>
    <row r="56" spans="1:30" ht="6.75" customHeight="1" x14ac:dyDescent="0.25">
      <c r="A56" s="85">
        <v>56</v>
      </c>
      <c r="B56" s="59" t="s">
        <v>5419</v>
      </c>
      <c r="C56" s="59" t="s">
        <v>5421</v>
      </c>
      <c r="D56" s="59" t="s">
        <v>1316</v>
      </c>
      <c r="E56" s="59" t="s">
        <v>1317</v>
      </c>
      <c r="F56" s="61" t="s">
        <v>1321</v>
      </c>
      <c r="G56" s="81" t="s">
        <v>692</v>
      </c>
      <c r="H56" s="81" t="s">
        <v>692</v>
      </c>
      <c r="I56" s="81" t="s">
        <v>692</v>
      </c>
      <c r="J56" s="81" t="s">
        <v>692</v>
      </c>
      <c r="K56" s="81" t="s">
        <v>692</v>
      </c>
      <c r="L56" s="53" t="str">
        <f t="shared" si="15"/>
        <v>Espaciais</v>
      </c>
      <c r="M56" s="53" t="str">
        <f t="shared" si="15"/>
        <v>Planos.Verticais</v>
      </c>
      <c r="N56" s="53" t="str">
        <f t="shared" si="17"/>
        <v>Eixos Estruturais</v>
      </c>
      <c r="O56" s="53" t="str">
        <f t="shared" si="17"/>
        <v>Eixo Estrutural Irregular</v>
      </c>
      <c r="P56" s="54" t="s">
        <v>1322</v>
      </c>
      <c r="Q56" s="54" t="s">
        <v>1323</v>
      </c>
      <c r="R56" s="54" t="s">
        <v>6055</v>
      </c>
      <c r="S56" s="54" t="s">
        <v>692</v>
      </c>
      <c r="T56" s="55" t="str">
        <f t="shared" si="16"/>
        <v>Espaciais</v>
      </c>
      <c r="U56" s="55" t="str">
        <f t="shared" si="16"/>
        <v>Planos Verticais</v>
      </c>
      <c r="V56" s="55" t="str">
        <f t="shared" si="16"/>
        <v>Eixos Estruturais</v>
      </c>
      <c r="W56" s="54" t="s">
        <v>7259</v>
      </c>
      <c r="X56" s="84" t="str">
        <f t="shared" si="10"/>
        <v>Key-COD-CT-56</v>
      </c>
      <c r="Y56" s="84" t="s">
        <v>5521</v>
      </c>
      <c r="Z56" s="84" t="s">
        <v>692</v>
      </c>
      <c r="AA56" s="84" t="s">
        <v>5627</v>
      </c>
      <c r="AB56" s="84" t="s">
        <v>692</v>
      </c>
      <c r="AC56" s="84" t="s">
        <v>692</v>
      </c>
      <c r="AD56" s="54" t="s">
        <v>692</v>
      </c>
    </row>
    <row r="57" spans="1:30" ht="6.75" customHeight="1" x14ac:dyDescent="0.25">
      <c r="A57" s="85">
        <v>57</v>
      </c>
      <c r="B57" s="59" t="s">
        <v>5419</v>
      </c>
      <c r="C57" s="59" t="s">
        <v>5421</v>
      </c>
      <c r="D57" s="59" t="s">
        <v>1316</v>
      </c>
      <c r="E57" s="59" t="s">
        <v>1317</v>
      </c>
      <c r="F57" s="61" t="s">
        <v>1324</v>
      </c>
      <c r="G57" s="81" t="s">
        <v>692</v>
      </c>
      <c r="H57" s="81" t="s">
        <v>692</v>
      </c>
      <c r="I57" s="81" t="s">
        <v>692</v>
      </c>
      <c r="J57" s="81" t="s">
        <v>692</v>
      </c>
      <c r="K57" s="81" t="s">
        <v>692</v>
      </c>
      <c r="L57" s="53" t="str">
        <f t="shared" si="15"/>
        <v>Espaciais</v>
      </c>
      <c r="M57" s="53" t="str">
        <f t="shared" si="15"/>
        <v>Planos.Verticais</v>
      </c>
      <c r="N57" s="53" t="str">
        <f t="shared" si="17"/>
        <v>Eixos Estruturais</v>
      </c>
      <c r="O57" s="53" t="str">
        <f t="shared" si="17"/>
        <v>Eixo Estrutural Radial</v>
      </c>
      <c r="P57" s="54" t="s">
        <v>1325</v>
      </c>
      <c r="Q57" s="54" t="s">
        <v>1326</v>
      </c>
      <c r="R57" s="54" t="s">
        <v>6056</v>
      </c>
      <c r="S57" s="54" t="s">
        <v>692</v>
      </c>
      <c r="T57" s="55" t="str">
        <f t="shared" si="16"/>
        <v>Espaciais</v>
      </c>
      <c r="U57" s="55" t="str">
        <f t="shared" si="16"/>
        <v>Planos Verticais</v>
      </c>
      <c r="V57" s="55" t="str">
        <f t="shared" si="16"/>
        <v>Eixos Estruturais</v>
      </c>
      <c r="W57" s="54" t="s">
        <v>7259</v>
      </c>
      <c r="X57" s="84" t="str">
        <f t="shared" si="10"/>
        <v>Key-COD-CT-57</v>
      </c>
      <c r="Y57" s="84" t="s">
        <v>5521</v>
      </c>
      <c r="Z57" s="84" t="s">
        <v>692</v>
      </c>
      <c r="AA57" s="84" t="s">
        <v>5628</v>
      </c>
      <c r="AB57" s="84" t="s">
        <v>692</v>
      </c>
      <c r="AC57" s="84" t="s">
        <v>692</v>
      </c>
      <c r="AD57" s="54" t="s">
        <v>692</v>
      </c>
    </row>
    <row r="58" spans="1:30" ht="6.75" customHeight="1" x14ac:dyDescent="0.25">
      <c r="A58" s="85">
        <v>58</v>
      </c>
      <c r="B58" s="59" t="s">
        <v>5419</v>
      </c>
      <c r="C58" s="59" t="s">
        <v>5421</v>
      </c>
      <c r="D58" s="59" t="s">
        <v>1316</v>
      </c>
      <c r="E58" s="59" t="s">
        <v>1317</v>
      </c>
      <c r="F58" s="61" t="s">
        <v>1327</v>
      </c>
      <c r="G58" s="81" t="s">
        <v>692</v>
      </c>
      <c r="H58" s="81" t="s">
        <v>692</v>
      </c>
      <c r="I58" s="81" t="s">
        <v>692</v>
      </c>
      <c r="J58" s="81" t="s">
        <v>692</v>
      </c>
      <c r="K58" s="81" t="s">
        <v>692</v>
      </c>
      <c r="L58" s="53" t="str">
        <f t="shared" si="15"/>
        <v>Espaciais</v>
      </c>
      <c r="M58" s="53" t="str">
        <f t="shared" si="15"/>
        <v>Planos.Verticais</v>
      </c>
      <c r="N58" s="53" t="str">
        <f t="shared" si="17"/>
        <v>Eixos Estruturais</v>
      </c>
      <c r="O58" s="53" t="str">
        <f t="shared" si="17"/>
        <v>Eixo Estrutural Retangular</v>
      </c>
      <c r="P58" s="54" t="s">
        <v>1328</v>
      </c>
      <c r="Q58" s="54" t="s">
        <v>1329</v>
      </c>
      <c r="R58" s="54" t="s">
        <v>6057</v>
      </c>
      <c r="S58" s="54" t="s">
        <v>692</v>
      </c>
      <c r="T58" s="55" t="str">
        <f t="shared" si="16"/>
        <v>Espaciais</v>
      </c>
      <c r="U58" s="55" t="str">
        <f t="shared" si="16"/>
        <v>Planos Verticais</v>
      </c>
      <c r="V58" s="55" t="str">
        <f t="shared" si="16"/>
        <v>Eixos Estruturais</v>
      </c>
      <c r="W58" s="54" t="s">
        <v>7259</v>
      </c>
      <c r="X58" s="84" t="str">
        <f t="shared" si="10"/>
        <v>Key-COD-CT-58</v>
      </c>
      <c r="Y58" s="84" t="s">
        <v>5521</v>
      </c>
      <c r="Z58" s="84" t="s">
        <v>692</v>
      </c>
      <c r="AA58" s="84" t="s">
        <v>5629</v>
      </c>
      <c r="AB58" s="84" t="s">
        <v>692</v>
      </c>
      <c r="AC58" s="84" t="s">
        <v>692</v>
      </c>
      <c r="AD58" s="54" t="s">
        <v>692</v>
      </c>
    </row>
    <row r="59" spans="1:30" ht="6.75" customHeight="1" x14ac:dyDescent="0.25">
      <c r="A59" s="85">
        <v>59</v>
      </c>
      <c r="B59" s="59" t="s">
        <v>5419</v>
      </c>
      <c r="C59" s="59" t="s">
        <v>5421</v>
      </c>
      <c r="D59" s="59" t="s">
        <v>1316</v>
      </c>
      <c r="E59" s="59" t="s">
        <v>1317</v>
      </c>
      <c r="F59" s="61" t="s">
        <v>1330</v>
      </c>
      <c r="G59" s="81" t="s">
        <v>692</v>
      </c>
      <c r="H59" s="81" t="s">
        <v>692</v>
      </c>
      <c r="I59" s="81" t="s">
        <v>692</v>
      </c>
      <c r="J59" s="81" t="s">
        <v>692</v>
      </c>
      <c r="K59" s="81" t="s">
        <v>692</v>
      </c>
      <c r="L59" s="53" t="str">
        <f t="shared" si="15"/>
        <v>Espaciais</v>
      </c>
      <c r="M59" s="53" t="str">
        <f t="shared" si="15"/>
        <v>Planos.Verticais</v>
      </c>
      <c r="N59" s="53" t="str">
        <f t="shared" si="17"/>
        <v>Eixos Estruturais</v>
      </c>
      <c r="O59" s="53" t="str">
        <f t="shared" si="17"/>
        <v>Eixo Estrutural Triangular</v>
      </c>
      <c r="P59" s="54" t="s">
        <v>1331</v>
      </c>
      <c r="Q59" s="54" t="s">
        <v>1332</v>
      </c>
      <c r="R59" s="54" t="s">
        <v>6058</v>
      </c>
      <c r="S59" s="54" t="s">
        <v>692</v>
      </c>
      <c r="T59" s="55" t="str">
        <f t="shared" si="16"/>
        <v>Espaciais</v>
      </c>
      <c r="U59" s="55" t="str">
        <f t="shared" si="16"/>
        <v>Planos Verticais</v>
      </c>
      <c r="V59" s="55" t="str">
        <f t="shared" si="16"/>
        <v>Eixos Estruturais</v>
      </c>
      <c r="W59" s="54" t="s">
        <v>7259</v>
      </c>
      <c r="X59" s="84" t="str">
        <f t="shared" si="10"/>
        <v>Key-COD-CT-59</v>
      </c>
      <c r="Y59" s="84" t="s">
        <v>5521</v>
      </c>
      <c r="Z59" s="84" t="s">
        <v>692</v>
      </c>
      <c r="AA59" s="84" t="s">
        <v>5630</v>
      </c>
      <c r="AB59" s="84" t="s">
        <v>692</v>
      </c>
      <c r="AC59" s="84" t="s">
        <v>692</v>
      </c>
      <c r="AD59" s="54" t="s">
        <v>692</v>
      </c>
    </row>
    <row r="60" spans="1:30" ht="6.75" customHeight="1" x14ac:dyDescent="0.25">
      <c r="A60" s="85">
        <v>60</v>
      </c>
      <c r="B60" s="59" t="s">
        <v>5419</v>
      </c>
      <c r="C60" s="59" t="s">
        <v>5421</v>
      </c>
      <c r="D60" s="59" t="s">
        <v>1316</v>
      </c>
      <c r="E60" s="59" t="s">
        <v>1333</v>
      </c>
      <c r="F60" s="80" t="s">
        <v>1334</v>
      </c>
      <c r="G60" s="81" t="s">
        <v>692</v>
      </c>
      <c r="H60" s="81" t="s">
        <v>692</v>
      </c>
      <c r="I60" s="81" t="s">
        <v>692</v>
      </c>
      <c r="J60" s="81" t="s">
        <v>692</v>
      </c>
      <c r="K60" s="81" t="s">
        <v>692</v>
      </c>
      <c r="L60" s="53" t="str">
        <f t="shared" si="15"/>
        <v>Espaciais</v>
      </c>
      <c r="M60" s="53" t="str">
        <f t="shared" si="15"/>
        <v>Planos.Verticais</v>
      </c>
      <c r="N60" s="53" t="str">
        <f t="shared" si="17"/>
        <v>Elevações de Projeto</v>
      </c>
      <c r="O60" s="53" t="str">
        <f t="shared" si="17"/>
        <v>Fachada Principal</v>
      </c>
      <c r="P60" s="54" t="s">
        <v>1335</v>
      </c>
      <c r="Q60" s="54" t="s">
        <v>1336</v>
      </c>
      <c r="R60" s="54" t="s">
        <v>6059</v>
      </c>
      <c r="S60" s="54" t="s">
        <v>692</v>
      </c>
      <c r="T60" s="55" t="str">
        <f t="shared" si="16"/>
        <v>Espaciais</v>
      </c>
      <c r="U60" s="55" t="str">
        <f t="shared" si="16"/>
        <v>Planos Verticais</v>
      </c>
      <c r="V60" s="55" t="str">
        <f t="shared" si="16"/>
        <v>Elevações de Projeto</v>
      </c>
      <c r="W60" s="54" t="s">
        <v>7259</v>
      </c>
      <c r="X60" s="84" t="str">
        <f t="shared" si="10"/>
        <v>Key-COD-CT-60</v>
      </c>
      <c r="Y60" s="84" t="s">
        <v>5522</v>
      </c>
      <c r="Z60" s="84" t="s">
        <v>692</v>
      </c>
      <c r="AA60" s="84" t="s">
        <v>5456</v>
      </c>
      <c r="AB60" s="84" t="s">
        <v>692</v>
      </c>
      <c r="AC60" s="84" t="s">
        <v>692</v>
      </c>
      <c r="AD60" s="54" t="s">
        <v>692</v>
      </c>
    </row>
    <row r="61" spans="1:30" ht="6.75" customHeight="1" x14ac:dyDescent="0.25">
      <c r="A61" s="85">
        <v>61</v>
      </c>
      <c r="B61" s="59" t="s">
        <v>5419</v>
      </c>
      <c r="C61" s="59" t="s">
        <v>5421</v>
      </c>
      <c r="D61" s="59" t="s">
        <v>1316</v>
      </c>
      <c r="E61" s="59" t="s">
        <v>1333</v>
      </c>
      <c r="F61" s="80" t="s">
        <v>1337</v>
      </c>
      <c r="G61" s="81" t="s">
        <v>692</v>
      </c>
      <c r="H61" s="81" t="s">
        <v>692</v>
      </c>
      <c r="I61" s="81" t="s">
        <v>692</v>
      </c>
      <c r="J61" s="81" t="s">
        <v>692</v>
      </c>
      <c r="K61" s="81" t="s">
        <v>692</v>
      </c>
      <c r="L61" s="53" t="str">
        <f t="shared" si="15"/>
        <v>Espaciais</v>
      </c>
      <c r="M61" s="53" t="str">
        <f t="shared" si="15"/>
        <v>Planos.Verticais</v>
      </c>
      <c r="N61" s="53" t="str">
        <f t="shared" si="17"/>
        <v>Elevações de Projeto</v>
      </c>
      <c r="O61" s="53" t="str">
        <f t="shared" si="17"/>
        <v>Fachada Fundos</v>
      </c>
      <c r="P61" s="54" t="s">
        <v>1338</v>
      </c>
      <c r="Q61" s="54" t="s">
        <v>1339</v>
      </c>
      <c r="R61" s="54" t="s">
        <v>6060</v>
      </c>
      <c r="S61" s="54" t="s">
        <v>692</v>
      </c>
      <c r="T61" s="55" t="str">
        <f t="shared" si="16"/>
        <v>Espaciais</v>
      </c>
      <c r="U61" s="55" t="str">
        <f t="shared" si="16"/>
        <v>Planos Verticais</v>
      </c>
      <c r="V61" s="55" t="str">
        <f t="shared" si="16"/>
        <v>Elevações de Projeto</v>
      </c>
      <c r="W61" s="54" t="s">
        <v>7259</v>
      </c>
      <c r="X61" s="84" t="str">
        <f t="shared" si="10"/>
        <v>Key-COD-CT-61</v>
      </c>
      <c r="Y61" s="84" t="s">
        <v>5522</v>
      </c>
      <c r="Z61" s="84" t="s">
        <v>692</v>
      </c>
      <c r="AA61" s="84" t="s">
        <v>5456</v>
      </c>
      <c r="AB61" s="84" t="s">
        <v>692</v>
      </c>
      <c r="AC61" s="84" t="s">
        <v>692</v>
      </c>
      <c r="AD61" s="54" t="s">
        <v>692</v>
      </c>
    </row>
    <row r="62" spans="1:30" ht="6.75" customHeight="1" x14ac:dyDescent="0.25">
      <c r="A62" s="85">
        <v>62</v>
      </c>
      <c r="B62" s="59" t="s">
        <v>5419</v>
      </c>
      <c r="C62" s="59" t="s">
        <v>5421</v>
      </c>
      <c r="D62" s="59" t="s">
        <v>1316</v>
      </c>
      <c r="E62" s="59" t="s">
        <v>1333</v>
      </c>
      <c r="F62" s="80" t="s">
        <v>1340</v>
      </c>
      <c r="G62" s="81" t="s">
        <v>692</v>
      </c>
      <c r="H62" s="81" t="s">
        <v>692</v>
      </c>
      <c r="I62" s="81" t="s">
        <v>692</v>
      </c>
      <c r="J62" s="81" t="s">
        <v>692</v>
      </c>
      <c r="K62" s="81" t="s">
        <v>692</v>
      </c>
      <c r="L62" s="53" t="str">
        <f t="shared" si="15"/>
        <v>Espaciais</v>
      </c>
      <c r="M62" s="53" t="str">
        <f t="shared" si="15"/>
        <v>Planos.Verticais</v>
      </c>
      <c r="N62" s="53" t="str">
        <f t="shared" si="17"/>
        <v>Elevações de Projeto</v>
      </c>
      <c r="O62" s="53" t="str">
        <f t="shared" si="17"/>
        <v>Fachada Lateral Leste</v>
      </c>
      <c r="P62" s="54" t="s">
        <v>1341</v>
      </c>
      <c r="Q62" s="54" t="s">
        <v>1342</v>
      </c>
      <c r="R62" s="54" t="s">
        <v>6061</v>
      </c>
      <c r="S62" s="54" t="s">
        <v>692</v>
      </c>
      <c r="T62" s="55" t="str">
        <f t="shared" si="16"/>
        <v>Espaciais</v>
      </c>
      <c r="U62" s="55" t="str">
        <f t="shared" si="16"/>
        <v>Planos Verticais</v>
      </c>
      <c r="V62" s="55" t="str">
        <f t="shared" si="16"/>
        <v>Elevações de Projeto</v>
      </c>
      <c r="W62" s="54" t="s">
        <v>7259</v>
      </c>
      <c r="X62" s="84" t="str">
        <f t="shared" si="10"/>
        <v>Key-COD-CT-62</v>
      </c>
      <c r="Y62" s="84" t="s">
        <v>5522</v>
      </c>
      <c r="Z62" s="84" t="s">
        <v>692</v>
      </c>
      <c r="AA62" s="84" t="s">
        <v>5456</v>
      </c>
      <c r="AB62" s="84" t="s">
        <v>692</v>
      </c>
      <c r="AC62" s="84" t="s">
        <v>692</v>
      </c>
      <c r="AD62" s="54" t="s">
        <v>692</v>
      </c>
    </row>
    <row r="63" spans="1:30" ht="6.75" customHeight="1" x14ac:dyDescent="0.25">
      <c r="A63" s="85">
        <v>63</v>
      </c>
      <c r="B63" s="59" t="s">
        <v>5419</v>
      </c>
      <c r="C63" s="59" t="s">
        <v>5421</v>
      </c>
      <c r="D63" s="59" t="s">
        <v>1316</v>
      </c>
      <c r="E63" s="59" t="s">
        <v>1333</v>
      </c>
      <c r="F63" s="80" t="s">
        <v>1343</v>
      </c>
      <c r="G63" s="81" t="s">
        <v>692</v>
      </c>
      <c r="H63" s="81" t="s">
        <v>692</v>
      </c>
      <c r="I63" s="81" t="s">
        <v>692</v>
      </c>
      <c r="J63" s="81" t="s">
        <v>692</v>
      </c>
      <c r="K63" s="81" t="s">
        <v>692</v>
      </c>
      <c r="L63" s="53" t="str">
        <f t="shared" si="15"/>
        <v>Espaciais</v>
      </c>
      <c r="M63" s="53" t="str">
        <f t="shared" si="15"/>
        <v>Planos.Verticais</v>
      </c>
      <c r="N63" s="53" t="str">
        <f t="shared" si="17"/>
        <v>Elevações de Projeto</v>
      </c>
      <c r="O63" s="53" t="str">
        <f t="shared" si="17"/>
        <v>Fachada Lateral Oeste</v>
      </c>
      <c r="P63" s="54" t="s">
        <v>1344</v>
      </c>
      <c r="Q63" s="54" t="s">
        <v>1345</v>
      </c>
      <c r="R63" s="54" t="s">
        <v>6062</v>
      </c>
      <c r="S63" s="54" t="s">
        <v>692</v>
      </c>
      <c r="T63" s="55" t="str">
        <f t="shared" si="16"/>
        <v>Espaciais</v>
      </c>
      <c r="U63" s="55" t="str">
        <f t="shared" si="16"/>
        <v>Planos Verticais</v>
      </c>
      <c r="V63" s="55" t="str">
        <f t="shared" si="16"/>
        <v>Elevações de Projeto</v>
      </c>
      <c r="W63" s="54" t="s">
        <v>7259</v>
      </c>
      <c r="X63" s="84" t="str">
        <f t="shared" si="10"/>
        <v>Key-COD-CT-63</v>
      </c>
      <c r="Y63" s="84" t="s">
        <v>5522</v>
      </c>
      <c r="Z63" s="84" t="s">
        <v>692</v>
      </c>
      <c r="AA63" s="84" t="s">
        <v>5456</v>
      </c>
      <c r="AB63" s="84" t="s">
        <v>692</v>
      </c>
      <c r="AC63" s="84" t="s">
        <v>692</v>
      </c>
      <c r="AD63" s="54" t="s">
        <v>692</v>
      </c>
    </row>
    <row r="64" spans="1:30" ht="6.75" customHeight="1" x14ac:dyDescent="0.25">
      <c r="A64" s="85">
        <v>64</v>
      </c>
      <c r="B64" s="59" t="s">
        <v>5419</v>
      </c>
      <c r="C64" s="59" t="s">
        <v>5421</v>
      </c>
      <c r="D64" s="59" t="s">
        <v>1316</v>
      </c>
      <c r="E64" s="59" t="s">
        <v>1333</v>
      </c>
      <c r="F64" s="80" t="s">
        <v>1346</v>
      </c>
      <c r="G64" s="81" t="s">
        <v>692</v>
      </c>
      <c r="H64" s="81" t="s">
        <v>692</v>
      </c>
      <c r="I64" s="81" t="s">
        <v>692</v>
      </c>
      <c r="J64" s="81" t="s">
        <v>692</v>
      </c>
      <c r="K64" s="81" t="s">
        <v>692</v>
      </c>
      <c r="L64" s="53" t="str">
        <f t="shared" si="15"/>
        <v>Espaciais</v>
      </c>
      <c r="M64" s="53" t="str">
        <f t="shared" si="15"/>
        <v>Planos.Verticais</v>
      </c>
      <c r="N64" s="53" t="str">
        <f t="shared" si="17"/>
        <v>Elevações de Projeto</v>
      </c>
      <c r="O64" s="53" t="str">
        <f t="shared" si="17"/>
        <v>Símbolo de Vista</v>
      </c>
      <c r="P64" s="54" t="s">
        <v>1347</v>
      </c>
      <c r="Q64" s="54" t="s">
        <v>1348</v>
      </c>
      <c r="R64" s="54" t="s">
        <v>6063</v>
      </c>
      <c r="S64" s="54" t="s">
        <v>692</v>
      </c>
      <c r="T64" s="55" t="str">
        <f t="shared" si="16"/>
        <v>Espaciais</v>
      </c>
      <c r="U64" s="55" t="str">
        <f t="shared" si="16"/>
        <v>Planos Verticais</v>
      </c>
      <c r="V64" s="55" t="str">
        <f t="shared" si="16"/>
        <v>Elevações de Projeto</v>
      </c>
      <c r="W64" s="54" t="s">
        <v>7259</v>
      </c>
      <c r="X64" s="84" t="str">
        <f t="shared" si="10"/>
        <v>Key-COD-CT-64</v>
      </c>
      <c r="Y64" s="84" t="s">
        <v>5523</v>
      </c>
      <c r="Z64" s="84" t="s">
        <v>692</v>
      </c>
      <c r="AA64" s="84" t="s">
        <v>5456</v>
      </c>
      <c r="AB64" s="84" t="s">
        <v>692</v>
      </c>
      <c r="AC64" s="84" t="s">
        <v>692</v>
      </c>
      <c r="AD64" s="54" t="s">
        <v>692</v>
      </c>
    </row>
    <row r="65" spans="1:30" ht="6.75" customHeight="1" x14ac:dyDescent="0.25">
      <c r="A65" s="85">
        <v>65</v>
      </c>
      <c r="B65" s="59" t="s">
        <v>5419</v>
      </c>
      <c r="C65" s="59" t="s">
        <v>5421</v>
      </c>
      <c r="D65" s="59" t="s">
        <v>1316</v>
      </c>
      <c r="E65" s="59" t="s">
        <v>1349</v>
      </c>
      <c r="F65" s="80" t="s">
        <v>1350</v>
      </c>
      <c r="G65" s="81" t="s">
        <v>692</v>
      </c>
      <c r="H65" s="81" t="s">
        <v>692</v>
      </c>
      <c r="I65" s="81" t="s">
        <v>692</v>
      </c>
      <c r="J65" s="81" t="s">
        <v>692</v>
      </c>
      <c r="K65" s="81" t="s">
        <v>692</v>
      </c>
      <c r="L65" s="53" t="str">
        <f t="shared" si="15"/>
        <v>Espaciais</v>
      </c>
      <c r="M65" s="53" t="str">
        <f t="shared" si="15"/>
        <v>Planos.Verticais</v>
      </c>
      <c r="N65" s="53" t="str">
        <f t="shared" si="17"/>
        <v>Elevações Solares</v>
      </c>
      <c r="O65" s="53" t="str">
        <f t="shared" si="17"/>
        <v>Vista Norte</v>
      </c>
      <c r="P65" s="54" t="s">
        <v>1351</v>
      </c>
      <c r="Q65" s="54" t="s">
        <v>1352</v>
      </c>
      <c r="R65" s="54" t="s">
        <v>6064</v>
      </c>
      <c r="S65" s="54" t="s">
        <v>692</v>
      </c>
      <c r="T65" s="55" t="str">
        <f t="shared" si="16"/>
        <v>Espaciais</v>
      </c>
      <c r="U65" s="55" t="str">
        <f t="shared" si="16"/>
        <v>Planos Verticais</v>
      </c>
      <c r="V65" s="55" t="str">
        <f t="shared" si="16"/>
        <v>Elevações Solares</v>
      </c>
      <c r="W65" s="54" t="s">
        <v>7259</v>
      </c>
      <c r="X65" s="84" t="str">
        <f t="shared" si="10"/>
        <v>Key-COD-CT-65</v>
      </c>
      <c r="Y65" s="84" t="s">
        <v>5522</v>
      </c>
      <c r="Z65" s="84" t="s">
        <v>692</v>
      </c>
      <c r="AA65" s="84" t="s">
        <v>5456</v>
      </c>
      <c r="AB65" s="84" t="s">
        <v>692</v>
      </c>
      <c r="AC65" s="84" t="s">
        <v>692</v>
      </c>
      <c r="AD65" s="54" t="s">
        <v>692</v>
      </c>
    </row>
    <row r="66" spans="1:30" ht="6.75" customHeight="1" x14ac:dyDescent="0.25">
      <c r="A66" s="85">
        <v>66</v>
      </c>
      <c r="B66" s="59" t="s">
        <v>5419</v>
      </c>
      <c r="C66" s="59" t="s">
        <v>5421</v>
      </c>
      <c r="D66" s="59" t="s">
        <v>1316</v>
      </c>
      <c r="E66" s="59" t="s">
        <v>1349</v>
      </c>
      <c r="F66" s="80" t="s">
        <v>1353</v>
      </c>
      <c r="G66" s="81" t="s">
        <v>692</v>
      </c>
      <c r="H66" s="81" t="s">
        <v>692</v>
      </c>
      <c r="I66" s="81" t="s">
        <v>692</v>
      </c>
      <c r="J66" s="81" t="s">
        <v>692</v>
      </c>
      <c r="K66" s="81" t="s">
        <v>692</v>
      </c>
      <c r="L66" s="53" t="str">
        <f t="shared" ref="L66:M192" si="18">CONCATENATE("", C66)</f>
        <v>Espaciais</v>
      </c>
      <c r="M66" s="53" t="str">
        <f t="shared" si="18"/>
        <v>Planos.Verticais</v>
      </c>
      <c r="N66" s="53" t="str">
        <f t="shared" si="17"/>
        <v>Elevações Solares</v>
      </c>
      <c r="O66" s="53" t="str">
        <f t="shared" si="17"/>
        <v>Vista Sul</v>
      </c>
      <c r="P66" s="54" t="s">
        <v>1354</v>
      </c>
      <c r="Q66" s="54" t="s">
        <v>1355</v>
      </c>
      <c r="R66" s="54" t="s">
        <v>6065</v>
      </c>
      <c r="S66" s="54" t="s">
        <v>692</v>
      </c>
      <c r="T66" s="55" t="str">
        <f t="shared" si="16"/>
        <v>Espaciais</v>
      </c>
      <c r="U66" s="55" t="str">
        <f t="shared" si="16"/>
        <v>Planos Verticais</v>
      </c>
      <c r="V66" s="55" t="str">
        <f t="shared" si="16"/>
        <v>Elevações Solares</v>
      </c>
      <c r="W66" s="54" t="s">
        <v>7259</v>
      </c>
      <c r="X66" s="84" t="str">
        <f t="shared" si="10"/>
        <v>Key-COD-CT-66</v>
      </c>
      <c r="Y66" s="84" t="s">
        <v>5522</v>
      </c>
      <c r="Z66" s="84" t="s">
        <v>692</v>
      </c>
      <c r="AA66" s="84" t="s">
        <v>5456</v>
      </c>
      <c r="AB66" s="84" t="s">
        <v>692</v>
      </c>
      <c r="AC66" s="84" t="s">
        <v>692</v>
      </c>
      <c r="AD66" s="54" t="s">
        <v>692</v>
      </c>
    </row>
    <row r="67" spans="1:30" ht="6.75" customHeight="1" x14ac:dyDescent="0.25">
      <c r="A67" s="85">
        <v>67</v>
      </c>
      <c r="B67" s="59" t="s">
        <v>5419</v>
      </c>
      <c r="C67" s="59" t="s">
        <v>5421</v>
      </c>
      <c r="D67" s="59" t="s">
        <v>1316</v>
      </c>
      <c r="E67" s="59" t="s">
        <v>1349</v>
      </c>
      <c r="F67" s="80" t="s">
        <v>1356</v>
      </c>
      <c r="G67" s="81" t="s">
        <v>692</v>
      </c>
      <c r="H67" s="81" t="s">
        <v>692</v>
      </c>
      <c r="I67" s="81" t="s">
        <v>692</v>
      </c>
      <c r="J67" s="81" t="s">
        <v>692</v>
      </c>
      <c r="K67" s="81" t="s">
        <v>692</v>
      </c>
      <c r="L67" s="53" t="str">
        <f t="shared" si="18"/>
        <v>Espaciais</v>
      </c>
      <c r="M67" s="53" t="str">
        <f t="shared" si="18"/>
        <v>Planos.Verticais</v>
      </c>
      <c r="N67" s="53" t="str">
        <f t="shared" si="17"/>
        <v>Elevações Solares</v>
      </c>
      <c r="O67" s="53" t="str">
        <f t="shared" si="17"/>
        <v>Vista Leste</v>
      </c>
      <c r="P67" s="54" t="s">
        <v>1357</v>
      </c>
      <c r="Q67" s="54" t="s">
        <v>1358</v>
      </c>
      <c r="R67" s="54" t="s">
        <v>6066</v>
      </c>
      <c r="S67" s="54" t="s">
        <v>692</v>
      </c>
      <c r="T67" s="55" t="str">
        <f t="shared" si="16"/>
        <v>Espaciais</v>
      </c>
      <c r="U67" s="55" t="str">
        <f t="shared" si="16"/>
        <v>Planos Verticais</v>
      </c>
      <c r="V67" s="55" t="str">
        <f t="shared" si="16"/>
        <v>Elevações Solares</v>
      </c>
      <c r="W67" s="54" t="s">
        <v>7259</v>
      </c>
      <c r="X67" s="84" t="str">
        <f t="shared" ref="X67:X130" si="19">CONCATENATE("Key-COD-CT-",A67)</f>
        <v>Key-COD-CT-67</v>
      </c>
      <c r="Y67" s="84" t="s">
        <v>5522</v>
      </c>
      <c r="Z67" s="84" t="s">
        <v>692</v>
      </c>
      <c r="AA67" s="84" t="s">
        <v>5456</v>
      </c>
      <c r="AB67" s="84" t="s">
        <v>692</v>
      </c>
      <c r="AC67" s="84" t="s">
        <v>692</v>
      </c>
      <c r="AD67" s="54" t="s">
        <v>692</v>
      </c>
    </row>
    <row r="68" spans="1:30" ht="6.75" customHeight="1" x14ac:dyDescent="0.25">
      <c r="A68" s="85">
        <v>68</v>
      </c>
      <c r="B68" s="59" t="s">
        <v>5419</v>
      </c>
      <c r="C68" s="59" t="s">
        <v>5421</v>
      </c>
      <c r="D68" s="59" t="s">
        <v>1316</v>
      </c>
      <c r="E68" s="59" t="s">
        <v>1349</v>
      </c>
      <c r="F68" s="80" t="s">
        <v>1359</v>
      </c>
      <c r="G68" s="81" t="s">
        <v>692</v>
      </c>
      <c r="H68" s="81" t="s">
        <v>692</v>
      </c>
      <c r="I68" s="81" t="s">
        <v>692</v>
      </c>
      <c r="J68" s="81" t="s">
        <v>692</v>
      </c>
      <c r="K68" s="81" t="s">
        <v>692</v>
      </c>
      <c r="L68" s="53" t="str">
        <f t="shared" si="18"/>
        <v>Espaciais</v>
      </c>
      <c r="M68" s="53" t="str">
        <f t="shared" si="18"/>
        <v>Planos.Verticais</v>
      </c>
      <c r="N68" s="53" t="str">
        <f t="shared" si="17"/>
        <v>Elevações Solares</v>
      </c>
      <c r="O68" s="53" t="str">
        <f t="shared" si="17"/>
        <v>Vista Oeste</v>
      </c>
      <c r="P68" s="54" t="s">
        <v>1360</v>
      </c>
      <c r="Q68" s="54" t="s">
        <v>1361</v>
      </c>
      <c r="R68" s="54" t="s">
        <v>6067</v>
      </c>
      <c r="S68" s="54" t="s">
        <v>692</v>
      </c>
      <c r="T68" s="55" t="str">
        <f t="shared" si="16"/>
        <v>Espaciais</v>
      </c>
      <c r="U68" s="55" t="str">
        <f t="shared" si="16"/>
        <v>Planos Verticais</v>
      </c>
      <c r="V68" s="55" t="str">
        <f t="shared" si="16"/>
        <v>Elevações Solares</v>
      </c>
      <c r="W68" s="54" t="s">
        <v>7259</v>
      </c>
      <c r="X68" s="84" t="str">
        <f t="shared" si="19"/>
        <v>Key-COD-CT-68</v>
      </c>
      <c r="Y68" s="84" t="s">
        <v>5522</v>
      </c>
      <c r="Z68" s="84" t="s">
        <v>692</v>
      </c>
      <c r="AA68" s="84" t="s">
        <v>5456</v>
      </c>
      <c r="AB68" s="84" t="s">
        <v>692</v>
      </c>
      <c r="AC68" s="84" t="s">
        <v>692</v>
      </c>
      <c r="AD68" s="54" t="s">
        <v>692</v>
      </c>
    </row>
    <row r="69" spans="1:30" ht="6.75" customHeight="1" x14ac:dyDescent="0.25">
      <c r="A69" s="85">
        <v>69</v>
      </c>
      <c r="B69" s="59" t="s">
        <v>5419</v>
      </c>
      <c r="C69" s="59" t="s">
        <v>5421</v>
      </c>
      <c r="D69" s="59" t="s">
        <v>1362</v>
      </c>
      <c r="E69" s="59" t="s">
        <v>1363</v>
      </c>
      <c r="F69" s="61" t="s">
        <v>1364</v>
      </c>
      <c r="G69" s="81" t="s">
        <v>692</v>
      </c>
      <c r="H69" s="81" t="s">
        <v>692</v>
      </c>
      <c r="I69" s="81" t="s">
        <v>692</v>
      </c>
      <c r="J69" s="81" t="s">
        <v>692</v>
      </c>
      <c r="K69" s="81" t="s">
        <v>692</v>
      </c>
      <c r="L69" s="53" t="str">
        <f t="shared" si="18"/>
        <v>Espaciais</v>
      </c>
      <c r="M69" s="53" t="str">
        <f t="shared" si="18"/>
        <v>Areas</v>
      </c>
      <c r="N69" s="53" t="str">
        <f t="shared" si="17"/>
        <v>Exteriores</v>
      </c>
      <c r="O69" s="53" t="str">
        <f t="shared" si="17"/>
        <v>Espaço Externo</v>
      </c>
      <c r="P69" s="54" t="s">
        <v>1365</v>
      </c>
      <c r="Q69" s="54" t="s">
        <v>1366</v>
      </c>
      <c r="R69" s="54" t="s">
        <v>6068</v>
      </c>
      <c r="S69" s="54" t="s">
        <v>692</v>
      </c>
      <c r="T69" s="55" t="str">
        <f t="shared" ref="T69:V158" si="20">SUBSTITUTE(C69, ".", " ")</f>
        <v>Espaciais</v>
      </c>
      <c r="U69" s="55" t="str">
        <f t="shared" si="20"/>
        <v>Areas</v>
      </c>
      <c r="V69" s="55" t="str">
        <f t="shared" si="20"/>
        <v>Exteriores</v>
      </c>
      <c r="W69" s="54" t="s">
        <v>7259</v>
      </c>
      <c r="X69" s="84" t="str">
        <f t="shared" si="19"/>
        <v>Key-COD-CT-69</v>
      </c>
      <c r="Y69" s="84" t="s">
        <v>5450</v>
      </c>
      <c r="Z69" s="84" t="s">
        <v>692</v>
      </c>
      <c r="AA69" s="84" t="s">
        <v>5631</v>
      </c>
      <c r="AB69" s="84" t="s">
        <v>692</v>
      </c>
      <c r="AC69" s="84" t="s">
        <v>5977</v>
      </c>
      <c r="AD69" s="54" t="s">
        <v>692</v>
      </c>
    </row>
    <row r="70" spans="1:30" ht="6.75" customHeight="1" x14ac:dyDescent="0.25">
      <c r="A70" s="85">
        <v>70</v>
      </c>
      <c r="B70" s="59" t="s">
        <v>5419</v>
      </c>
      <c r="C70" s="59" t="s">
        <v>5421</v>
      </c>
      <c r="D70" s="59" t="s">
        <v>1362</v>
      </c>
      <c r="E70" s="59" t="s">
        <v>1363</v>
      </c>
      <c r="F70" s="61" t="s">
        <v>1367</v>
      </c>
      <c r="G70" s="81" t="s">
        <v>692</v>
      </c>
      <c r="H70" s="81" t="s">
        <v>692</v>
      </c>
      <c r="I70" s="81" t="s">
        <v>692</v>
      </c>
      <c r="J70" s="81" t="s">
        <v>692</v>
      </c>
      <c r="K70" s="81" t="s">
        <v>692</v>
      </c>
      <c r="L70" s="53" t="str">
        <f t="shared" si="18"/>
        <v>Espaciais</v>
      </c>
      <c r="M70" s="53" t="str">
        <f t="shared" si="18"/>
        <v>Areas</v>
      </c>
      <c r="N70" s="53" t="str">
        <f t="shared" si="17"/>
        <v>Exteriores</v>
      </c>
      <c r="O70" s="53" t="str">
        <f t="shared" si="17"/>
        <v>Espaço Aéreo</v>
      </c>
      <c r="P70" s="54" t="s">
        <v>1368</v>
      </c>
      <c r="Q70" s="54" t="s">
        <v>1369</v>
      </c>
      <c r="R70" s="54" t="s">
        <v>6069</v>
      </c>
      <c r="S70" s="54" t="s">
        <v>692</v>
      </c>
      <c r="T70" s="55" t="str">
        <f t="shared" si="20"/>
        <v>Espaciais</v>
      </c>
      <c r="U70" s="55" t="str">
        <f t="shared" si="20"/>
        <v>Areas</v>
      </c>
      <c r="V70" s="55" t="str">
        <f t="shared" si="20"/>
        <v>Exteriores</v>
      </c>
      <c r="W70" s="54" t="s">
        <v>7259</v>
      </c>
      <c r="X70" s="84" t="str">
        <f t="shared" si="19"/>
        <v>Key-COD-CT-70</v>
      </c>
      <c r="Y70" s="84" t="s">
        <v>5450</v>
      </c>
      <c r="Z70" s="84" t="s">
        <v>692</v>
      </c>
      <c r="AA70" s="84" t="s">
        <v>5632</v>
      </c>
      <c r="AB70" s="84" t="s">
        <v>692</v>
      </c>
      <c r="AC70" s="84" t="s">
        <v>5977</v>
      </c>
      <c r="AD70" s="54" t="s">
        <v>692</v>
      </c>
    </row>
    <row r="71" spans="1:30" ht="6.75" customHeight="1" x14ac:dyDescent="0.25">
      <c r="A71" s="85">
        <v>71</v>
      </c>
      <c r="B71" s="59" t="s">
        <v>5419</v>
      </c>
      <c r="C71" s="59" t="s">
        <v>5421</v>
      </c>
      <c r="D71" s="59" t="s">
        <v>1362</v>
      </c>
      <c r="E71" s="59" t="s">
        <v>1363</v>
      </c>
      <c r="F71" s="61" t="s">
        <v>1370</v>
      </c>
      <c r="G71" s="81" t="s">
        <v>692</v>
      </c>
      <c r="H71" s="81" t="s">
        <v>692</v>
      </c>
      <c r="I71" s="81" t="s">
        <v>692</v>
      </c>
      <c r="J71" s="81" t="s">
        <v>692</v>
      </c>
      <c r="K71" s="81" t="s">
        <v>692</v>
      </c>
      <c r="L71" s="53" t="str">
        <f t="shared" si="18"/>
        <v>Espaciais</v>
      </c>
      <c r="M71" s="53" t="str">
        <f t="shared" si="18"/>
        <v>Areas</v>
      </c>
      <c r="N71" s="53" t="str">
        <f t="shared" si="17"/>
        <v>Exteriores</v>
      </c>
      <c r="O71" s="53" t="str">
        <f t="shared" si="17"/>
        <v>Espaço Construção Vizinha</v>
      </c>
      <c r="P71" s="54" t="s">
        <v>1371</v>
      </c>
      <c r="Q71" s="54" t="s">
        <v>1372</v>
      </c>
      <c r="R71" s="54" t="s">
        <v>6070</v>
      </c>
      <c r="S71" s="54" t="s">
        <v>692</v>
      </c>
      <c r="T71" s="55" t="str">
        <f t="shared" si="20"/>
        <v>Espaciais</v>
      </c>
      <c r="U71" s="55" t="str">
        <f t="shared" si="20"/>
        <v>Areas</v>
      </c>
      <c r="V71" s="55" t="str">
        <f t="shared" si="20"/>
        <v>Exteriores</v>
      </c>
      <c r="W71" s="54" t="s">
        <v>7259</v>
      </c>
      <c r="X71" s="84" t="str">
        <f t="shared" si="19"/>
        <v>Key-COD-CT-71</v>
      </c>
      <c r="Y71" s="84" t="s">
        <v>5450</v>
      </c>
      <c r="Z71" s="84" t="s">
        <v>692</v>
      </c>
      <c r="AA71" s="84" t="s">
        <v>5633</v>
      </c>
      <c r="AB71" s="84" t="s">
        <v>692</v>
      </c>
      <c r="AC71" s="84" t="s">
        <v>5977</v>
      </c>
      <c r="AD71" s="54" t="s">
        <v>692</v>
      </c>
    </row>
    <row r="72" spans="1:30" ht="6.75" customHeight="1" x14ac:dyDescent="0.25">
      <c r="A72" s="85">
        <v>72</v>
      </c>
      <c r="B72" s="59" t="s">
        <v>5419</v>
      </c>
      <c r="C72" s="59" t="s">
        <v>5421</v>
      </c>
      <c r="D72" s="59" t="s">
        <v>1362</v>
      </c>
      <c r="E72" s="59" t="s">
        <v>1363</v>
      </c>
      <c r="F72" s="61" t="s">
        <v>1373</v>
      </c>
      <c r="G72" s="81" t="s">
        <v>692</v>
      </c>
      <c r="H72" s="81" t="s">
        <v>692</v>
      </c>
      <c r="I72" s="81" t="s">
        <v>692</v>
      </c>
      <c r="J72" s="81" t="s">
        <v>692</v>
      </c>
      <c r="K72" s="81" t="s">
        <v>692</v>
      </c>
      <c r="L72" s="53" t="str">
        <f t="shared" si="18"/>
        <v>Espaciais</v>
      </c>
      <c r="M72" s="53" t="str">
        <f t="shared" si="18"/>
        <v>Areas</v>
      </c>
      <c r="N72" s="53" t="str">
        <f t="shared" si="17"/>
        <v>Exteriores</v>
      </c>
      <c r="O72" s="53" t="str">
        <f t="shared" si="17"/>
        <v>Espaço Espelho Agua</v>
      </c>
      <c r="P72" s="54" t="s">
        <v>1374</v>
      </c>
      <c r="Q72" s="54" t="s">
        <v>1375</v>
      </c>
      <c r="R72" s="54" t="s">
        <v>6071</v>
      </c>
      <c r="S72" s="54" t="s">
        <v>692</v>
      </c>
      <c r="T72" s="55" t="str">
        <f t="shared" si="20"/>
        <v>Espaciais</v>
      </c>
      <c r="U72" s="55" t="str">
        <f t="shared" si="20"/>
        <v>Areas</v>
      </c>
      <c r="V72" s="55" t="str">
        <f t="shared" si="20"/>
        <v>Exteriores</v>
      </c>
      <c r="W72" s="54" t="s">
        <v>7259</v>
      </c>
      <c r="X72" s="84" t="str">
        <f t="shared" si="19"/>
        <v>Key-COD-CT-72</v>
      </c>
      <c r="Y72" s="84" t="s">
        <v>5450</v>
      </c>
      <c r="Z72" s="84" t="s">
        <v>692</v>
      </c>
      <c r="AA72" s="84" t="s">
        <v>5634</v>
      </c>
      <c r="AB72" s="84" t="s">
        <v>692</v>
      </c>
      <c r="AC72" s="84" t="s">
        <v>5977</v>
      </c>
      <c r="AD72" s="54" t="s">
        <v>692</v>
      </c>
    </row>
    <row r="73" spans="1:30" ht="6.75" customHeight="1" x14ac:dyDescent="0.25">
      <c r="A73" s="85">
        <v>73</v>
      </c>
      <c r="B73" s="59" t="s">
        <v>5419</v>
      </c>
      <c r="C73" s="59" t="s">
        <v>5421</v>
      </c>
      <c r="D73" s="59" t="s">
        <v>1362</v>
      </c>
      <c r="E73" s="59" t="s">
        <v>1363</v>
      </c>
      <c r="F73" s="61" t="s">
        <v>1376</v>
      </c>
      <c r="G73" s="81" t="s">
        <v>692</v>
      </c>
      <c r="H73" s="81" t="s">
        <v>692</v>
      </c>
      <c r="I73" s="81" t="s">
        <v>692</v>
      </c>
      <c r="J73" s="81" t="s">
        <v>692</v>
      </c>
      <c r="K73" s="81" t="s">
        <v>692</v>
      </c>
      <c r="L73" s="53" t="str">
        <f t="shared" si="18"/>
        <v>Espaciais</v>
      </c>
      <c r="M73" s="53" t="str">
        <f t="shared" si="18"/>
        <v>Areas</v>
      </c>
      <c r="N73" s="53" t="str">
        <f t="shared" si="17"/>
        <v>Exteriores</v>
      </c>
      <c r="O73" s="53" t="str">
        <f t="shared" si="17"/>
        <v>Espaço Exterior</v>
      </c>
      <c r="P73" s="54" t="s">
        <v>1377</v>
      </c>
      <c r="Q73" s="54" t="s">
        <v>1378</v>
      </c>
      <c r="R73" s="54" t="s">
        <v>6072</v>
      </c>
      <c r="S73" s="54" t="s">
        <v>692</v>
      </c>
      <c r="T73" s="55" t="str">
        <f t="shared" si="20"/>
        <v>Espaciais</v>
      </c>
      <c r="U73" s="55" t="str">
        <f t="shared" si="20"/>
        <v>Areas</v>
      </c>
      <c r="V73" s="55" t="str">
        <f t="shared" si="20"/>
        <v>Exteriores</v>
      </c>
      <c r="W73" s="54" t="s">
        <v>7259</v>
      </c>
      <c r="X73" s="84" t="str">
        <f t="shared" si="19"/>
        <v>Key-COD-CT-73</v>
      </c>
      <c r="Y73" s="84" t="s">
        <v>5450</v>
      </c>
      <c r="Z73" s="84" t="s">
        <v>692</v>
      </c>
      <c r="AA73" s="84" t="s">
        <v>5635</v>
      </c>
      <c r="AB73" s="84" t="s">
        <v>692</v>
      </c>
      <c r="AC73" s="84" t="s">
        <v>5977</v>
      </c>
      <c r="AD73" s="54" t="s">
        <v>692</v>
      </c>
    </row>
    <row r="74" spans="1:30" ht="6.75" customHeight="1" x14ac:dyDescent="0.25">
      <c r="A74" s="85">
        <v>74</v>
      </c>
      <c r="B74" s="59" t="s">
        <v>5419</v>
      </c>
      <c r="C74" s="59" t="s">
        <v>5421</v>
      </c>
      <c r="D74" s="59" t="s">
        <v>1362</v>
      </c>
      <c r="E74" s="59" t="s">
        <v>1363</v>
      </c>
      <c r="F74" s="61" t="s">
        <v>1379</v>
      </c>
      <c r="G74" s="81" t="s">
        <v>692</v>
      </c>
      <c r="H74" s="81" t="s">
        <v>692</v>
      </c>
      <c r="I74" s="81" t="s">
        <v>692</v>
      </c>
      <c r="J74" s="81" t="s">
        <v>692</v>
      </c>
      <c r="K74" s="81" t="s">
        <v>692</v>
      </c>
      <c r="L74" s="53" t="str">
        <f t="shared" si="18"/>
        <v>Espaciais</v>
      </c>
      <c r="M74" s="53" t="str">
        <f t="shared" si="18"/>
        <v>Areas</v>
      </c>
      <c r="N74" s="53" t="str">
        <f t="shared" si="17"/>
        <v>Exteriores</v>
      </c>
      <c r="O74" s="53" t="str">
        <f t="shared" si="17"/>
        <v>Estacionamento</v>
      </c>
      <c r="P74" s="54" t="s">
        <v>1380</v>
      </c>
      <c r="Q74" s="54" t="s">
        <v>1381</v>
      </c>
      <c r="R74" s="54" t="s">
        <v>6073</v>
      </c>
      <c r="S74" s="54" t="s">
        <v>692</v>
      </c>
      <c r="T74" s="55" t="str">
        <f t="shared" si="20"/>
        <v>Espaciais</v>
      </c>
      <c r="U74" s="55" t="str">
        <f t="shared" si="20"/>
        <v>Areas</v>
      </c>
      <c r="V74" s="55" t="str">
        <f t="shared" si="20"/>
        <v>Exteriores</v>
      </c>
      <c r="W74" s="54" t="s">
        <v>7259</v>
      </c>
      <c r="X74" s="84" t="str">
        <f t="shared" si="19"/>
        <v>Key-COD-CT-74</v>
      </c>
      <c r="Y74" s="84" t="s">
        <v>5450</v>
      </c>
      <c r="Z74" s="84" t="s">
        <v>692</v>
      </c>
      <c r="AA74" s="84" t="s">
        <v>5636</v>
      </c>
      <c r="AB74" s="84" t="s">
        <v>692</v>
      </c>
      <c r="AC74" s="84" t="s">
        <v>5977</v>
      </c>
      <c r="AD74" s="54" t="s">
        <v>692</v>
      </c>
    </row>
    <row r="75" spans="1:30" ht="6.75" customHeight="1" x14ac:dyDescent="0.25">
      <c r="A75" s="85">
        <v>75</v>
      </c>
      <c r="B75" s="59" t="s">
        <v>5419</v>
      </c>
      <c r="C75" s="59" t="s">
        <v>5421</v>
      </c>
      <c r="D75" s="59" t="s">
        <v>1362</v>
      </c>
      <c r="E75" s="59" t="s">
        <v>1363</v>
      </c>
      <c r="F75" s="61" t="s">
        <v>1382</v>
      </c>
      <c r="G75" s="81" t="s">
        <v>692</v>
      </c>
      <c r="H75" s="81" t="s">
        <v>692</v>
      </c>
      <c r="I75" s="81" t="s">
        <v>692</v>
      </c>
      <c r="J75" s="81" t="s">
        <v>692</v>
      </c>
      <c r="K75" s="81" t="s">
        <v>692</v>
      </c>
      <c r="L75" s="53" t="str">
        <f t="shared" si="18"/>
        <v>Espaciais</v>
      </c>
      <c r="M75" s="53" t="str">
        <f t="shared" si="18"/>
        <v>Areas</v>
      </c>
      <c r="N75" s="53" t="str">
        <f t="shared" si="17"/>
        <v>Exteriores</v>
      </c>
      <c r="O75" s="53" t="str">
        <f t="shared" si="17"/>
        <v>Área Bruta</v>
      </c>
      <c r="P75" s="54" t="s">
        <v>1383</v>
      </c>
      <c r="Q75" s="54" t="s">
        <v>1384</v>
      </c>
      <c r="R75" s="54" t="s">
        <v>6074</v>
      </c>
      <c r="S75" s="54" t="s">
        <v>692</v>
      </c>
      <c r="T75" s="55" t="str">
        <f t="shared" si="20"/>
        <v>Espaciais</v>
      </c>
      <c r="U75" s="55" t="str">
        <f t="shared" si="20"/>
        <v>Areas</v>
      </c>
      <c r="V75" s="55" t="str">
        <f t="shared" si="20"/>
        <v>Exteriores</v>
      </c>
      <c r="W75" s="54" t="s">
        <v>7259</v>
      </c>
      <c r="X75" s="84" t="str">
        <f t="shared" si="19"/>
        <v>Key-COD-CT-75</v>
      </c>
      <c r="Y75" s="84" t="s">
        <v>5450</v>
      </c>
      <c r="Z75" s="84" t="s">
        <v>692</v>
      </c>
      <c r="AA75" s="84" t="s">
        <v>5637</v>
      </c>
      <c r="AB75" s="84" t="s">
        <v>692</v>
      </c>
      <c r="AC75" s="84" t="s">
        <v>5977</v>
      </c>
      <c r="AD75" s="54" t="s">
        <v>692</v>
      </c>
    </row>
    <row r="76" spans="1:30" ht="6.75" customHeight="1" x14ac:dyDescent="0.25">
      <c r="A76" s="85">
        <v>76</v>
      </c>
      <c r="B76" s="59" t="s">
        <v>5419</v>
      </c>
      <c r="C76" s="59" t="s">
        <v>5421</v>
      </c>
      <c r="D76" s="59" t="s">
        <v>1385</v>
      </c>
      <c r="E76" s="59" t="s">
        <v>1386</v>
      </c>
      <c r="F76" s="61" t="s">
        <v>1387</v>
      </c>
      <c r="G76" s="81" t="s">
        <v>692</v>
      </c>
      <c r="H76" s="81" t="s">
        <v>692</v>
      </c>
      <c r="I76" s="81" t="s">
        <v>692</v>
      </c>
      <c r="J76" s="81" t="s">
        <v>692</v>
      </c>
      <c r="K76" s="81" t="s">
        <v>692</v>
      </c>
      <c r="L76" s="53" t="str">
        <f t="shared" si="18"/>
        <v>Espaciais</v>
      </c>
      <c r="M76" s="53" t="str">
        <f t="shared" si="18"/>
        <v>Ambientes</v>
      </c>
      <c r="N76" s="53" t="str">
        <f t="shared" si="17"/>
        <v>Labs</v>
      </c>
      <c r="O76" s="53" t="str">
        <f t="shared" si="17"/>
        <v>Laboratório NB1</v>
      </c>
      <c r="P76" s="54" t="s">
        <v>1388</v>
      </c>
      <c r="Q76" s="54" t="s">
        <v>1389</v>
      </c>
      <c r="R76" s="54" t="s">
        <v>6075</v>
      </c>
      <c r="S76" s="54" t="s">
        <v>692</v>
      </c>
      <c r="T76" s="55" t="str">
        <f t="shared" si="20"/>
        <v>Espaciais</v>
      </c>
      <c r="U76" s="55" t="str">
        <f t="shared" si="20"/>
        <v>Ambientes</v>
      </c>
      <c r="V76" s="55" t="str">
        <f t="shared" si="20"/>
        <v>Labs</v>
      </c>
      <c r="W76" s="54" t="s">
        <v>7259</v>
      </c>
      <c r="X76" s="84" t="str">
        <f t="shared" si="19"/>
        <v>Key-COD-CT-76</v>
      </c>
      <c r="Y76" s="84" t="s">
        <v>5979</v>
      </c>
      <c r="Z76" s="84" t="s">
        <v>692</v>
      </c>
      <c r="AA76" s="84" t="s">
        <v>5455</v>
      </c>
      <c r="AB76" s="84" t="s">
        <v>692</v>
      </c>
      <c r="AC76" s="84" t="s">
        <v>5977</v>
      </c>
      <c r="AD76" s="54" t="s">
        <v>692</v>
      </c>
    </row>
    <row r="77" spans="1:30" ht="6.75" customHeight="1" x14ac:dyDescent="0.25">
      <c r="A77" s="85">
        <v>77</v>
      </c>
      <c r="B77" s="59" t="s">
        <v>5419</v>
      </c>
      <c r="C77" s="59" t="s">
        <v>5421</v>
      </c>
      <c r="D77" s="59" t="s">
        <v>1385</v>
      </c>
      <c r="E77" s="59" t="s">
        <v>1386</v>
      </c>
      <c r="F77" s="61" t="s">
        <v>1390</v>
      </c>
      <c r="G77" s="81" t="s">
        <v>692</v>
      </c>
      <c r="H77" s="81" t="s">
        <v>692</v>
      </c>
      <c r="I77" s="81" t="s">
        <v>692</v>
      </c>
      <c r="J77" s="81" t="s">
        <v>692</v>
      </c>
      <c r="K77" s="81" t="s">
        <v>692</v>
      </c>
      <c r="L77" s="53" t="str">
        <f t="shared" si="18"/>
        <v>Espaciais</v>
      </c>
      <c r="M77" s="53" t="str">
        <f t="shared" si="18"/>
        <v>Ambientes</v>
      </c>
      <c r="N77" s="53" t="str">
        <f t="shared" si="17"/>
        <v>Labs</v>
      </c>
      <c r="O77" s="53" t="str">
        <f t="shared" si="17"/>
        <v>Laboratório NB2</v>
      </c>
      <c r="P77" s="54" t="s">
        <v>1391</v>
      </c>
      <c r="Q77" s="54" t="s">
        <v>1392</v>
      </c>
      <c r="R77" s="54" t="s">
        <v>6076</v>
      </c>
      <c r="S77" s="54" t="s">
        <v>692</v>
      </c>
      <c r="T77" s="55" t="str">
        <f t="shared" si="20"/>
        <v>Espaciais</v>
      </c>
      <c r="U77" s="55" t="str">
        <f t="shared" si="20"/>
        <v>Ambientes</v>
      </c>
      <c r="V77" s="55" t="str">
        <f t="shared" si="20"/>
        <v>Labs</v>
      </c>
      <c r="W77" s="54" t="s">
        <v>7259</v>
      </c>
      <c r="X77" s="84" t="str">
        <f t="shared" si="19"/>
        <v>Key-COD-CT-77</v>
      </c>
      <c r="Y77" s="84" t="s">
        <v>5979</v>
      </c>
      <c r="Z77" s="84" t="s">
        <v>692</v>
      </c>
      <c r="AA77" s="84" t="s">
        <v>5455</v>
      </c>
      <c r="AB77" s="84" t="s">
        <v>692</v>
      </c>
      <c r="AC77" s="84" t="s">
        <v>5977</v>
      </c>
      <c r="AD77" s="54" t="s">
        <v>692</v>
      </c>
    </row>
    <row r="78" spans="1:30" ht="6.75" customHeight="1" x14ac:dyDescent="0.25">
      <c r="A78" s="85">
        <v>78</v>
      </c>
      <c r="B78" s="59" t="s">
        <v>5419</v>
      </c>
      <c r="C78" s="59" t="s">
        <v>5421</v>
      </c>
      <c r="D78" s="59" t="s">
        <v>1385</v>
      </c>
      <c r="E78" s="59" t="s">
        <v>1386</v>
      </c>
      <c r="F78" s="61" t="s">
        <v>1393</v>
      </c>
      <c r="G78" s="81" t="s">
        <v>692</v>
      </c>
      <c r="H78" s="81" t="s">
        <v>692</v>
      </c>
      <c r="I78" s="81" t="s">
        <v>692</v>
      </c>
      <c r="J78" s="81" t="s">
        <v>692</v>
      </c>
      <c r="K78" s="81" t="s">
        <v>692</v>
      </c>
      <c r="L78" s="53" t="str">
        <f t="shared" si="18"/>
        <v>Espaciais</v>
      </c>
      <c r="M78" s="53" t="str">
        <f t="shared" si="18"/>
        <v>Ambientes</v>
      </c>
      <c r="N78" s="53" t="str">
        <f t="shared" si="17"/>
        <v>Labs</v>
      </c>
      <c r="O78" s="53" t="str">
        <f t="shared" si="17"/>
        <v>Laboratório NB3</v>
      </c>
      <c r="P78" s="54" t="s">
        <v>1394</v>
      </c>
      <c r="Q78" s="54" t="s">
        <v>1395</v>
      </c>
      <c r="R78" s="54" t="s">
        <v>6077</v>
      </c>
      <c r="S78" s="54" t="s">
        <v>692</v>
      </c>
      <c r="T78" s="55" t="str">
        <f t="shared" si="20"/>
        <v>Espaciais</v>
      </c>
      <c r="U78" s="55" t="str">
        <f t="shared" si="20"/>
        <v>Ambientes</v>
      </c>
      <c r="V78" s="55" t="str">
        <f t="shared" si="20"/>
        <v>Labs</v>
      </c>
      <c r="W78" s="54" t="s">
        <v>7259</v>
      </c>
      <c r="X78" s="84" t="str">
        <f t="shared" si="19"/>
        <v>Key-COD-CT-78</v>
      </c>
      <c r="Y78" s="84" t="s">
        <v>5979</v>
      </c>
      <c r="Z78" s="84" t="s">
        <v>692</v>
      </c>
      <c r="AA78" s="84" t="s">
        <v>5455</v>
      </c>
      <c r="AB78" s="84" t="s">
        <v>692</v>
      </c>
      <c r="AC78" s="84" t="s">
        <v>5977</v>
      </c>
      <c r="AD78" s="54" t="s">
        <v>692</v>
      </c>
    </row>
    <row r="79" spans="1:30" ht="6.75" customHeight="1" x14ac:dyDescent="0.25">
      <c r="A79" s="85">
        <v>79</v>
      </c>
      <c r="B79" s="59" t="s">
        <v>5419</v>
      </c>
      <c r="C79" s="59" t="s">
        <v>5421</v>
      </c>
      <c r="D79" s="59" t="s">
        <v>1385</v>
      </c>
      <c r="E79" s="59" t="s">
        <v>1386</v>
      </c>
      <c r="F79" s="61" t="s">
        <v>1396</v>
      </c>
      <c r="G79" s="81" t="s">
        <v>692</v>
      </c>
      <c r="H79" s="81" t="s">
        <v>692</v>
      </c>
      <c r="I79" s="81" t="s">
        <v>692</v>
      </c>
      <c r="J79" s="81" t="s">
        <v>692</v>
      </c>
      <c r="K79" s="81" t="s">
        <v>692</v>
      </c>
      <c r="L79" s="53" t="str">
        <f t="shared" si="18"/>
        <v>Espaciais</v>
      </c>
      <c r="M79" s="53" t="str">
        <f t="shared" si="18"/>
        <v>Ambientes</v>
      </c>
      <c r="N79" s="53" t="str">
        <f t="shared" si="17"/>
        <v>Labs</v>
      </c>
      <c r="O79" s="53" t="str">
        <f t="shared" si="17"/>
        <v>Laboratório NB4</v>
      </c>
      <c r="P79" s="54" t="s">
        <v>1397</v>
      </c>
      <c r="Q79" s="54" t="s">
        <v>1398</v>
      </c>
      <c r="R79" s="54" t="s">
        <v>6078</v>
      </c>
      <c r="S79" s="54" t="s">
        <v>692</v>
      </c>
      <c r="T79" s="55" t="str">
        <f t="shared" si="20"/>
        <v>Espaciais</v>
      </c>
      <c r="U79" s="55" t="str">
        <f t="shared" si="20"/>
        <v>Ambientes</v>
      </c>
      <c r="V79" s="55" t="str">
        <f t="shared" si="20"/>
        <v>Labs</v>
      </c>
      <c r="W79" s="54" t="s">
        <v>7259</v>
      </c>
      <c r="X79" s="84" t="str">
        <f t="shared" si="19"/>
        <v>Key-COD-CT-79</v>
      </c>
      <c r="Y79" s="84" t="s">
        <v>5979</v>
      </c>
      <c r="Z79" s="84" t="s">
        <v>692</v>
      </c>
      <c r="AA79" s="84" t="s">
        <v>5455</v>
      </c>
      <c r="AB79" s="84" t="s">
        <v>692</v>
      </c>
      <c r="AC79" s="84" t="s">
        <v>5977</v>
      </c>
      <c r="AD79" s="54" t="s">
        <v>692</v>
      </c>
    </row>
    <row r="80" spans="1:30" ht="6.75" customHeight="1" x14ac:dyDescent="0.25">
      <c r="A80" s="85">
        <v>80</v>
      </c>
      <c r="B80" s="59" t="s">
        <v>5419</v>
      </c>
      <c r="C80" s="59" t="s">
        <v>5421</v>
      </c>
      <c r="D80" s="59" t="s">
        <v>1385</v>
      </c>
      <c r="E80" s="59" t="s">
        <v>1399</v>
      </c>
      <c r="F80" s="61" t="s">
        <v>1400</v>
      </c>
      <c r="G80" s="81" t="s">
        <v>692</v>
      </c>
      <c r="H80" s="81" t="s">
        <v>692</v>
      </c>
      <c r="I80" s="81" t="s">
        <v>692</v>
      </c>
      <c r="J80" s="81" t="s">
        <v>692</v>
      </c>
      <c r="K80" s="81" t="s">
        <v>692</v>
      </c>
      <c r="L80" s="53" t="str">
        <f t="shared" si="18"/>
        <v>Espaciais</v>
      </c>
      <c r="M80" s="53" t="str">
        <f t="shared" si="18"/>
        <v>Ambientes</v>
      </c>
      <c r="N80" s="53" t="str">
        <f t="shared" si="17"/>
        <v>Salas Especializadas</v>
      </c>
      <c r="O80" s="53" t="str">
        <f t="shared" si="17"/>
        <v>Salas Acústicas</v>
      </c>
      <c r="P80" s="54" t="s">
        <v>1401</v>
      </c>
      <c r="Q80" s="54" t="s">
        <v>1402</v>
      </c>
      <c r="R80" s="54" t="s">
        <v>6079</v>
      </c>
      <c r="S80" s="54" t="s">
        <v>692</v>
      </c>
      <c r="T80" s="55" t="str">
        <f t="shared" si="20"/>
        <v>Espaciais</v>
      </c>
      <c r="U80" s="55" t="str">
        <f t="shared" si="20"/>
        <v>Ambientes</v>
      </c>
      <c r="V80" s="55" t="str">
        <f t="shared" si="20"/>
        <v>Salas Especializadas</v>
      </c>
      <c r="W80" s="54" t="s">
        <v>7259</v>
      </c>
      <c r="X80" s="84" t="str">
        <f t="shared" si="19"/>
        <v>Key-COD-CT-80</v>
      </c>
      <c r="Y80" s="84" t="s">
        <v>5979</v>
      </c>
      <c r="Z80" s="84" t="s">
        <v>692</v>
      </c>
      <c r="AA80" s="84" t="s">
        <v>5455</v>
      </c>
      <c r="AB80" s="84" t="s">
        <v>692</v>
      </c>
      <c r="AC80" s="84" t="s">
        <v>5977</v>
      </c>
      <c r="AD80" s="54" t="s">
        <v>692</v>
      </c>
    </row>
    <row r="81" spans="1:30" ht="6.75" customHeight="1" x14ac:dyDescent="0.25">
      <c r="A81" s="85">
        <v>81</v>
      </c>
      <c r="B81" s="59" t="s">
        <v>5419</v>
      </c>
      <c r="C81" s="59" t="s">
        <v>5421</v>
      </c>
      <c r="D81" s="59" t="s">
        <v>1385</v>
      </c>
      <c r="E81" s="59" t="s">
        <v>1399</v>
      </c>
      <c r="F81" s="61" t="s">
        <v>1403</v>
      </c>
      <c r="G81" s="81" t="s">
        <v>692</v>
      </c>
      <c r="H81" s="81" t="s">
        <v>692</v>
      </c>
      <c r="I81" s="81" t="s">
        <v>692</v>
      </c>
      <c r="J81" s="81" t="s">
        <v>692</v>
      </c>
      <c r="K81" s="81" t="s">
        <v>692</v>
      </c>
      <c r="L81" s="53" t="str">
        <f t="shared" si="18"/>
        <v>Espaciais</v>
      </c>
      <c r="M81" s="53" t="str">
        <f t="shared" si="18"/>
        <v>Ambientes</v>
      </c>
      <c r="N81" s="53" t="str">
        <f t="shared" si="17"/>
        <v>Salas Especializadas</v>
      </c>
      <c r="O81" s="53" t="str">
        <f t="shared" si="17"/>
        <v>Salas Grandes</v>
      </c>
      <c r="P81" s="54" t="s">
        <v>1404</v>
      </c>
      <c r="Q81" s="54" t="s">
        <v>1405</v>
      </c>
      <c r="R81" s="54" t="s">
        <v>6080</v>
      </c>
      <c r="S81" s="54" t="s">
        <v>692</v>
      </c>
      <c r="T81" s="55" t="str">
        <f t="shared" si="20"/>
        <v>Espaciais</v>
      </c>
      <c r="U81" s="55" t="str">
        <f t="shared" si="20"/>
        <v>Ambientes</v>
      </c>
      <c r="V81" s="55" t="str">
        <f t="shared" si="20"/>
        <v>Salas Especializadas</v>
      </c>
      <c r="W81" s="54" t="s">
        <v>7259</v>
      </c>
      <c r="X81" s="84" t="str">
        <f t="shared" si="19"/>
        <v>Key-COD-CT-81</v>
      </c>
      <c r="Y81" s="84" t="s">
        <v>5979</v>
      </c>
      <c r="Z81" s="84" t="s">
        <v>692</v>
      </c>
      <c r="AA81" s="84" t="s">
        <v>5455</v>
      </c>
      <c r="AB81" s="84" t="s">
        <v>692</v>
      </c>
      <c r="AC81" s="84" t="s">
        <v>5977</v>
      </c>
      <c r="AD81" s="54" t="s">
        <v>692</v>
      </c>
    </row>
    <row r="82" spans="1:30" ht="6.75" customHeight="1" x14ac:dyDescent="0.25">
      <c r="A82" s="85">
        <v>82</v>
      </c>
      <c r="B82" s="59" t="s">
        <v>5419</v>
      </c>
      <c r="C82" s="59" t="s">
        <v>5421</v>
      </c>
      <c r="D82" s="59" t="s">
        <v>1385</v>
      </c>
      <c r="E82" s="59" t="s">
        <v>1399</v>
      </c>
      <c r="F82" s="61" t="s">
        <v>1406</v>
      </c>
      <c r="G82" s="81" t="s">
        <v>692</v>
      </c>
      <c r="H82" s="81" t="s">
        <v>692</v>
      </c>
      <c r="I82" s="81" t="s">
        <v>692</v>
      </c>
      <c r="J82" s="81" t="s">
        <v>692</v>
      </c>
      <c r="K82" s="81" t="s">
        <v>692</v>
      </c>
      <c r="L82" s="53" t="str">
        <f t="shared" si="18"/>
        <v>Espaciais</v>
      </c>
      <c r="M82" s="53" t="str">
        <f t="shared" si="18"/>
        <v>Ambientes</v>
      </c>
      <c r="N82" s="53" t="str">
        <f t="shared" si="17"/>
        <v>Salas Especializadas</v>
      </c>
      <c r="O82" s="53" t="str">
        <f t="shared" si="17"/>
        <v>Salas Expositivas</v>
      </c>
      <c r="P82" s="54" t="s">
        <v>1407</v>
      </c>
      <c r="Q82" s="54" t="s">
        <v>1408</v>
      </c>
      <c r="R82" s="54" t="s">
        <v>6081</v>
      </c>
      <c r="S82" s="54" t="s">
        <v>692</v>
      </c>
      <c r="T82" s="55" t="str">
        <f t="shared" si="20"/>
        <v>Espaciais</v>
      </c>
      <c r="U82" s="55" t="str">
        <f t="shared" si="20"/>
        <v>Ambientes</v>
      </c>
      <c r="V82" s="55" t="str">
        <f t="shared" si="20"/>
        <v>Salas Especializadas</v>
      </c>
      <c r="W82" s="54" t="s">
        <v>7259</v>
      </c>
      <c r="X82" s="84" t="str">
        <f t="shared" si="19"/>
        <v>Key-COD-CT-82</v>
      </c>
      <c r="Y82" s="84" t="s">
        <v>5979</v>
      </c>
      <c r="Z82" s="84" t="s">
        <v>692</v>
      </c>
      <c r="AA82" s="84" t="s">
        <v>5455</v>
      </c>
      <c r="AB82" s="84" t="s">
        <v>692</v>
      </c>
      <c r="AC82" s="84" t="s">
        <v>5977</v>
      </c>
      <c r="AD82" s="54" t="s">
        <v>692</v>
      </c>
    </row>
    <row r="83" spans="1:30" ht="6.75" customHeight="1" x14ac:dyDescent="0.25">
      <c r="A83" s="85">
        <v>83</v>
      </c>
      <c r="B83" s="59" t="s">
        <v>5419</v>
      </c>
      <c r="C83" s="59" t="s">
        <v>5421</v>
      </c>
      <c r="D83" s="59" t="s">
        <v>1385</v>
      </c>
      <c r="E83" s="59" t="s">
        <v>1409</v>
      </c>
      <c r="F83" s="61" t="s">
        <v>1410</v>
      </c>
      <c r="G83" s="81" t="s">
        <v>692</v>
      </c>
      <c r="H83" s="81" t="s">
        <v>692</v>
      </c>
      <c r="I83" s="81" t="s">
        <v>692</v>
      </c>
      <c r="J83" s="81" t="s">
        <v>692</v>
      </c>
      <c r="K83" s="81" t="s">
        <v>692</v>
      </c>
      <c r="L83" s="53" t="str">
        <f t="shared" si="18"/>
        <v>Espaciais</v>
      </c>
      <c r="M83" s="53" t="str">
        <f t="shared" si="18"/>
        <v>Ambientes</v>
      </c>
      <c r="N83" s="53" t="str">
        <f t="shared" si="17"/>
        <v>Esportivos</v>
      </c>
      <c r="O83" s="53" t="str">
        <f t="shared" si="17"/>
        <v>Local Esportivo</v>
      </c>
      <c r="P83" s="54" t="s">
        <v>1411</v>
      </c>
      <c r="Q83" s="54" t="s">
        <v>1412</v>
      </c>
      <c r="R83" s="54" t="s">
        <v>6082</v>
      </c>
      <c r="S83" s="54" t="s">
        <v>692</v>
      </c>
      <c r="T83" s="55" t="str">
        <f t="shared" si="20"/>
        <v>Espaciais</v>
      </c>
      <c r="U83" s="55" t="str">
        <f t="shared" si="20"/>
        <v>Ambientes</v>
      </c>
      <c r="V83" s="55" t="str">
        <f t="shared" si="20"/>
        <v>Esportivos</v>
      </c>
      <c r="W83" s="54" t="s">
        <v>7259</v>
      </c>
      <c r="X83" s="84" t="str">
        <f t="shared" si="19"/>
        <v>Key-COD-CT-83</v>
      </c>
      <c r="Y83" s="84" t="s">
        <v>5979</v>
      </c>
      <c r="Z83" s="84" t="s">
        <v>692</v>
      </c>
      <c r="AA83" s="84" t="s">
        <v>5455</v>
      </c>
      <c r="AB83" s="84" t="s">
        <v>692</v>
      </c>
      <c r="AC83" s="84" t="s">
        <v>5977</v>
      </c>
      <c r="AD83" s="54" t="s">
        <v>692</v>
      </c>
    </row>
    <row r="84" spans="1:30" ht="6.75" customHeight="1" x14ac:dyDescent="0.25">
      <c r="A84" s="85">
        <v>84</v>
      </c>
      <c r="B84" s="59" t="s">
        <v>5419</v>
      </c>
      <c r="C84" s="59" t="s">
        <v>5421</v>
      </c>
      <c r="D84" s="59" t="s">
        <v>1385</v>
      </c>
      <c r="E84" s="59" t="s">
        <v>1413</v>
      </c>
      <c r="F84" s="61" t="s">
        <v>1414</v>
      </c>
      <c r="G84" s="81" t="s">
        <v>692</v>
      </c>
      <c r="H84" s="81" t="s">
        <v>692</v>
      </c>
      <c r="I84" s="81" t="s">
        <v>692</v>
      </c>
      <c r="J84" s="81" t="s">
        <v>692</v>
      </c>
      <c r="K84" s="81" t="s">
        <v>692</v>
      </c>
      <c r="L84" s="53" t="str">
        <f t="shared" si="18"/>
        <v>Espaciais</v>
      </c>
      <c r="M84" s="53" t="str">
        <f t="shared" si="18"/>
        <v>Ambientes</v>
      </c>
      <c r="N84" s="53" t="str">
        <f t="shared" si="17"/>
        <v>Banheiros</v>
      </c>
      <c r="O84" s="53" t="str">
        <f t="shared" si="17"/>
        <v>Banheiro Masculino</v>
      </c>
      <c r="P84" s="54" t="s">
        <v>1415</v>
      </c>
      <c r="Q84" s="54" t="s">
        <v>1416</v>
      </c>
      <c r="R84" s="54" t="s">
        <v>6083</v>
      </c>
      <c r="S84" s="54" t="s">
        <v>692</v>
      </c>
      <c r="T84" s="55" t="str">
        <f t="shared" si="20"/>
        <v>Espaciais</v>
      </c>
      <c r="U84" s="55" t="str">
        <f t="shared" si="20"/>
        <v>Ambientes</v>
      </c>
      <c r="V84" s="55" t="str">
        <f t="shared" si="20"/>
        <v>Banheiros</v>
      </c>
      <c r="W84" s="54" t="s">
        <v>7259</v>
      </c>
      <c r="X84" s="84" t="str">
        <f t="shared" si="19"/>
        <v>Key-COD-CT-84</v>
      </c>
      <c r="Y84" s="84" t="s">
        <v>5979</v>
      </c>
      <c r="Z84" s="84" t="s">
        <v>692</v>
      </c>
      <c r="AA84" s="84" t="s">
        <v>5455</v>
      </c>
      <c r="AB84" s="84" t="s">
        <v>692</v>
      </c>
      <c r="AC84" s="84" t="s">
        <v>5977</v>
      </c>
      <c r="AD84" s="54" t="s">
        <v>692</v>
      </c>
    </row>
    <row r="85" spans="1:30" ht="6.75" customHeight="1" x14ac:dyDescent="0.25">
      <c r="A85" s="85">
        <v>85</v>
      </c>
      <c r="B85" s="59" t="s">
        <v>5419</v>
      </c>
      <c r="C85" s="59" t="s">
        <v>5421</v>
      </c>
      <c r="D85" s="59" t="s">
        <v>1385</v>
      </c>
      <c r="E85" s="59" t="s">
        <v>1413</v>
      </c>
      <c r="F85" s="61" t="s">
        <v>1417</v>
      </c>
      <c r="G85" s="81" t="s">
        <v>692</v>
      </c>
      <c r="H85" s="81" t="s">
        <v>692</v>
      </c>
      <c r="I85" s="81" t="s">
        <v>692</v>
      </c>
      <c r="J85" s="81" t="s">
        <v>692</v>
      </c>
      <c r="K85" s="81" t="s">
        <v>692</v>
      </c>
      <c r="L85" s="53" t="str">
        <f t="shared" si="18"/>
        <v>Espaciais</v>
      </c>
      <c r="M85" s="53" t="str">
        <f t="shared" si="18"/>
        <v>Ambientes</v>
      </c>
      <c r="N85" s="53" t="str">
        <f t="shared" si="17"/>
        <v>Banheiros</v>
      </c>
      <c r="O85" s="53" t="str">
        <f t="shared" si="17"/>
        <v>Banheiro Feminino</v>
      </c>
      <c r="P85" s="54" t="s">
        <v>1418</v>
      </c>
      <c r="Q85" s="54" t="s">
        <v>1419</v>
      </c>
      <c r="R85" s="54" t="s">
        <v>6084</v>
      </c>
      <c r="S85" s="54" t="s">
        <v>692</v>
      </c>
      <c r="T85" s="55" t="str">
        <f t="shared" si="20"/>
        <v>Espaciais</v>
      </c>
      <c r="U85" s="55" t="str">
        <f t="shared" si="20"/>
        <v>Ambientes</v>
      </c>
      <c r="V85" s="55" t="str">
        <f t="shared" si="20"/>
        <v>Banheiros</v>
      </c>
      <c r="W85" s="54" t="s">
        <v>7259</v>
      </c>
      <c r="X85" s="84" t="str">
        <f t="shared" si="19"/>
        <v>Key-COD-CT-85</v>
      </c>
      <c r="Y85" s="84" t="s">
        <v>5979</v>
      </c>
      <c r="Z85" s="84" t="s">
        <v>692</v>
      </c>
      <c r="AA85" s="84" t="s">
        <v>5455</v>
      </c>
      <c r="AB85" s="84" t="s">
        <v>692</v>
      </c>
      <c r="AC85" s="84" t="s">
        <v>5977</v>
      </c>
      <c r="AD85" s="54" t="s">
        <v>692</v>
      </c>
    </row>
    <row r="86" spans="1:30" ht="6.75" customHeight="1" x14ac:dyDescent="0.25">
      <c r="A86" s="85">
        <v>86</v>
      </c>
      <c r="B86" s="59" t="s">
        <v>5419</v>
      </c>
      <c r="C86" s="59" t="s">
        <v>5421</v>
      </c>
      <c r="D86" s="59" t="s">
        <v>1385</v>
      </c>
      <c r="E86" s="59" t="s">
        <v>1413</v>
      </c>
      <c r="F86" s="61" t="s">
        <v>1420</v>
      </c>
      <c r="G86" s="81" t="s">
        <v>692</v>
      </c>
      <c r="H86" s="81" t="s">
        <v>692</v>
      </c>
      <c r="I86" s="81" t="s">
        <v>692</v>
      </c>
      <c r="J86" s="81" t="s">
        <v>692</v>
      </c>
      <c r="K86" s="81" t="s">
        <v>692</v>
      </c>
      <c r="L86" s="53" t="str">
        <f t="shared" si="18"/>
        <v>Espaciais</v>
      </c>
      <c r="M86" s="53" t="str">
        <f t="shared" si="18"/>
        <v>Ambientes</v>
      </c>
      <c r="N86" s="53" t="str">
        <f t="shared" si="17"/>
        <v>Banheiros</v>
      </c>
      <c r="O86" s="53" t="str">
        <f t="shared" si="17"/>
        <v>Banheiro Acessível</v>
      </c>
      <c r="P86" s="54" t="s">
        <v>1421</v>
      </c>
      <c r="Q86" s="54" t="s">
        <v>1422</v>
      </c>
      <c r="R86" s="54" t="s">
        <v>6085</v>
      </c>
      <c r="S86" s="54" t="s">
        <v>692</v>
      </c>
      <c r="T86" s="55" t="str">
        <f t="shared" si="20"/>
        <v>Espaciais</v>
      </c>
      <c r="U86" s="55" t="str">
        <f t="shared" si="20"/>
        <v>Ambientes</v>
      </c>
      <c r="V86" s="55" t="str">
        <f t="shared" si="20"/>
        <v>Banheiros</v>
      </c>
      <c r="W86" s="54" t="s">
        <v>7259</v>
      </c>
      <c r="X86" s="84" t="str">
        <f t="shared" si="19"/>
        <v>Key-COD-CT-86</v>
      </c>
      <c r="Y86" s="84" t="s">
        <v>5979</v>
      </c>
      <c r="Z86" s="84" t="s">
        <v>692</v>
      </c>
      <c r="AA86" s="84" t="s">
        <v>5455</v>
      </c>
      <c r="AB86" s="84" t="s">
        <v>692</v>
      </c>
      <c r="AC86" s="84" t="s">
        <v>5977</v>
      </c>
      <c r="AD86" s="54" t="s">
        <v>692</v>
      </c>
    </row>
    <row r="87" spans="1:30" ht="6.75" customHeight="1" x14ac:dyDescent="0.25">
      <c r="A87" s="85">
        <v>87</v>
      </c>
      <c r="B87" s="59" t="s">
        <v>5419</v>
      </c>
      <c r="C87" s="59" t="s">
        <v>5421</v>
      </c>
      <c r="D87" s="59" t="s">
        <v>1385</v>
      </c>
      <c r="E87" s="59" t="s">
        <v>1413</v>
      </c>
      <c r="F87" s="61" t="s">
        <v>1423</v>
      </c>
      <c r="G87" s="81" t="s">
        <v>692</v>
      </c>
      <c r="H87" s="81" t="s">
        <v>692</v>
      </c>
      <c r="I87" s="81" t="s">
        <v>692</v>
      </c>
      <c r="J87" s="81" t="s">
        <v>692</v>
      </c>
      <c r="K87" s="81" t="s">
        <v>692</v>
      </c>
      <c r="L87" s="53" t="str">
        <f t="shared" si="18"/>
        <v>Espaciais</v>
      </c>
      <c r="M87" s="53" t="str">
        <f t="shared" si="18"/>
        <v>Ambientes</v>
      </c>
      <c r="N87" s="53" t="str">
        <f t="shared" si="17"/>
        <v>Banheiros</v>
      </c>
      <c r="O87" s="53" t="str">
        <f t="shared" si="17"/>
        <v>Banheiro</v>
      </c>
      <c r="P87" s="54" t="s">
        <v>1424</v>
      </c>
      <c r="Q87" s="54" t="s">
        <v>1425</v>
      </c>
      <c r="R87" s="54" t="s">
        <v>6086</v>
      </c>
      <c r="S87" s="54" t="s">
        <v>692</v>
      </c>
      <c r="T87" s="55" t="str">
        <f t="shared" si="20"/>
        <v>Espaciais</v>
      </c>
      <c r="U87" s="55" t="str">
        <f t="shared" si="20"/>
        <v>Ambientes</v>
      </c>
      <c r="V87" s="55" t="str">
        <f t="shared" si="20"/>
        <v>Banheiros</v>
      </c>
      <c r="W87" s="54" t="s">
        <v>7259</v>
      </c>
      <c r="X87" s="84" t="str">
        <f t="shared" si="19"/>
        <v>Key-COD-CT-87</v>
      </c>
      <c r="Y87" s="84" t="s">
        <v>5979</v>
      </c>
      <c r="Z87" s="84" t="s">
        <v>692</v>
      </c>
      <c r="AA87" s="84" t="s">
        <v>5455</v>
      </c>
      <c r="AB87" s="84" t="s">
        <v>692</v>
      </c>
      <c r="AC87" s="84" t="s">
        <v>5977</v>
      </c>
      <c r="AD87" s="54" t="s">
        <v>692</v>
      </c>
    </row>
    <row r="88" spans="1:30" ht="6.75" customHeight="1" x14ac:dyDescent="0.25">
      <c r="A88" s="85">
        <v>88</v>
      </c>
      <c r="B88" s="59" t="s">
        <v>5419</v>
      </c>
      <c r="C88" s="59" t="s">
        <v>5421</v>
      </c>
      <c r="D88" s="59" t="s">
        <v>1385</v>
      </c>
      <c r="E88" s="59" t="s">
        <v>1426</v>
      </c>
      <c r="F88" s="61" t="s">
        <v>1427</v>
      </c>
      <c r="G88" s="81" t="s">
        <v>692</v>
      </c>
      <c r="H88" s="81" t="s">
        <v>692</v>
      </c>
      <c r="I88" s="81" t="s">
        <v>692</v>
      </c>
      <c r="J88" s="81" t="s">
        <v>692</v>
      </c>
      <c r="K88" s="81" t="s">
        <v>692</v>
      </c>
      <c r="L88" s="53" t="str">
        <f t="shared" si="18"/>
        <v>Espaciais</v>
      </c>
      <c r="M88" s="53" t="str">
        <f t="shared" si="18"/>
        <v>Ambientes</v>
      </c>
      <c r="N88" s="53" t="str">
        <f t="shared" si="17"/>
        <v>Administrativos</v>
      </c>
      <c r="O88" s="53" t="str">
        <f t="shared" si="17"/>
        <v>Sala Administrativa</v>
      </c>
      <c r="P88" s="54" t="s">
        <v>1428</v>
      </c>
      <c r="Q88" s="54" t="s">
        <v>1429</v>
      </c>
      <c r="R88" s="54" t="s">
        <v>6087</v>
      </c>
      <c r="S88" s="54" t="s">
        <v>692</v>
      </c>
      <c r="T88" s="55" t="str">
        <f t="shared" si="20"/>
        <v>Espaciais</v>
      </c>
      <c r="U88" s="55" t="str">
        <f t="shared" si="20"/>
        <v>Ambientes</v>
      </c>
      <c r="V88" s="55" t="str">
        <f t="shared" si="20"/>
        <v>Administrativos</v>
      </c>
      <c r="W88" s="54" t="s">
        <v>7259</v>
      </c>
      <c r="X88" s="84" t="str">
        <f t="shared" si="19"/>
        <v>Key-COD-CT-88</v>
      </c>
      <c r="Y88" s="84" t="s">
        <v>5979</v>
      </c>
      <c r="Z88" s="84" t="s">
        <v>692</v>
      </c>
      <c r="AA88" s="84" t="s">
        <v>5455</v>
      </c>
      <c r="AB88" s="84" t="s">
        <v>692</v>
      </c>
      <c r="AC88" s="84" t="s">
        <v>5977</v>
      </c>
      <c r="AD88" s="54" t="s">
        <v>692</v>
      </c>
    </row>
    <row r="89" spans="1:30" ht="6.75" customHeight="1" x14ac:dyDescent="0.25">
      <c r="A89" s="85">
        <v>89</v>
      </c>
      <c r="B89" s="59" t="s">
        <v>5419</v>
      </c>
      <c r="C89" s="59" t="s">
        <v>5421</v>
      </c>
      <c r="D89" s="59" t="s">
        <v>1385</v>
      </c>
      <c r="E89" s="59" t="s">
        <v>1426</v>
      </c>
      <c r="F89" s="61" t="s">
        <v>1430</v>
      </c>
      <c r="G89" s="81" t="s">
        <v>692</v>
      </c>
      <c r="H89" s="81" t="s">
        <v>692</v>
      </c>
      <c r="I89" s="81" t="s">
        <v>692</v>
      </c>
      <c r="J89" s="81" t="s">
        <v>692</v>
      </c>
      <c r="K89" s="81" t="s">
        <v>692</v>
      </c>
      <c r="L89" s="53" t="str">
        <f t="shared" si="18"/>
        <v>Espaciais</v>
      </c>
      <c r="M89" s="53" t="str">
        <f t="shared" si="18"/>
        <v>Ambientes</v>
      </c>
      <c r="N89" s="53" t="str">
        <f t="shared" si="17"/>
        <v>Administrativos</v>
      </c>
      <c r="O89" s="53" t="str">
        <f t="shared" si="17"/>
        <v>Sala de Produção</v>
      </c>
      <c r="P89" s="54" t="s">
        <v>1431</v>
      </c>
      <c r="Q89" s="54" t="s">
        <v>1432</v>
      </c>
      <c r="R89" s="54" t="s">
        <v>6088</v>
      </c>
      <c r="S89" s="54" t="s">
        <v>692</v>
      </c>
      <c r="T89" s="55" t="str">
        <f t="shared" si="20"/>
        <v>Espaciais</v>
      </c>
      <c r="U89" s="55" t="str">
        <f t="shared" si="20"/>
        <v>Ambientes</v>
      </c>
      <c r="V89" s="55" t="str">
        <f t="shared" si="20"/>
        <v>Administrativos</v>
      </c>
      <c r="W89" s="54" t="s">
        <v>7259</v>
      </c>
      <c r="X89" s="84" t="str">
        <f t="shared" si="19"/>
        <v>Key-COD-CT-89</v>
      </c>
      <c r="Y89" s="84" t="s">
        <v>5979</v>
      </c>
      <c r="Z89" s="84" t="s">
        <v>692</v>
      </c>
      <c r="AA89" s="84" t="s">
        <v>5455</v>
      </c>
      <c r="AB89" s="84" t="s">
        <v>692</v>
      </c>
      <c r="AC89" s="84" t="s">
        <v>5977</v>
      </c>
      <c r="AD89" s="54" t="s">
        <v>692</v>
      </c>
    </row>
    <row r="90" spans="1:30" ht="6.75" customHeight="1" x14ac:dyDescent="0.25">
      <c r="A90" s="85">
        <v>90</v>
      </c>
      <c r="B90" s="59" t="s">
        <v>5419</v>
      </c>
      <c r="C90" s="59" t="s">
        <v>5421</v>
      </c>
      <c r="D90" s="59" t="s">
        <v>1385</v>
      </c>
      <c r="E90" s="59" t="s">
        <v>1426</v>
      </c>
      <c r="F90" s="61" t="s">
        <v>1433</v>
      </c>
      <c r="G90" s="81" t="s">
        <v>692</v>
      </c>
      <c r="H90" s="81" t="s">
        <v>692</v>
      </c>
      <c r="I90" s="81" t="s">
        <v>692</v>
      </c>
      <c r="J90" s="81" t="s">
        <v>692</v>
      </c>
      <c r="K90" s="81" t="s">
        <v>692</v>
      </c>
      <c r="L90" s="53" t="str">
        <f t="shared" si="18"/>
        <v>Espaciais</v>
      </c>
      <c r="M90" s="53" t="str">
        <f t="shared" si="18"/>
        <v>Ambientes</v>
      </c>
      <c r="N90" s="53" t="str">
        <f t="shared" si="17"/>
        <v>Administrativos</v>
      </c>
      <c r="O90" s="53" t="str">
        <f t="shared" si="17"/>
        <v>Sala Funcional</v>
      </c>
      <c r="P90" s="54" t="s">
        <v>1434</v>
      </c>
      <c r="Q90" s="54" t="s">
        <v>1435</v>
      </c>
      <c r="R90" s="54" t="s">
        <v>6089</v>
      </c>
      <c r="S90" s="54" t="s">
        <v>692</v>
      </c>
      <c r="T90" s="55" t="str">
        <f t="shared" si="20"/>
        <v>Espaciais</v>
      </c>
      <c r="U90" s="55" t="str">
        <f t="shared" si="20"/>
        <v>Ambientes</v>
      </c>
      <c r="V90" s="55" t="str">
        <f t="shared" si="20"/>
        <v>Administrativos</v>
      </c>
      <c r="W90" s="54" t="s">
        <v>7259</v>
      </c>
      <c r="X90" s="84" t="str">
        <f t="shared" si="19"/>
        <v>Key-COD-CT-90</v>
      </c>
      <c r="Y90" s="84" t="s">
        <v>5979</v>
      </c>
      <c r="Z90" s="84" t="s">
        <v>692</v>
      </c>
      <c r="AA90" s="84" t="s">
        <v>5638</v>
      </c>
      <c r="AB90" s="84" t="s">
        <v>692</v>
      </c>
      <c r="AC90" s="84" t="s">
        <v>5977</v>
      </c>
      <c r="AD90" s="54" t="s">
        <v>692</v>
      </c>
    </row>
    <row r="91" spans="1:30" ht="6.75" customHeight="1" x14ac:dyDescent="0.25">
      <c r="A91" s="85">
        <v>91</v>
      </c>
      <c r="B91" s="59" t="s">
        <v>5419</v>
      </c>
      <c r="C91" s="59" t="s">
        <v>5421</v>
      </c>
      <c r="D91" s="59" t="s">
        <v>1385</v>
      </c>
      <c r="E91" s="59" t="s">
        <v>1426</v>
      </c>
      <c r="F91" s="61" t="s">
        <v>1436</v>
      </c>
      <c r="G91" s="81" t="s">
        <v>692</v>
      </c>
      <c r="H91" s="81" t="s">
        <v>692</v>
      </c>
      <c r="I91" s="81" t="s">
        <v>692</v>
      </c>
      <c r="J91" s="81" t="s">
        <v>692</v>
      </c>
      <c r="K91" s="81" t="s">
        <v>692</v>
      </c>
      <c r="L91" s="53" t="str">
        <f t="shared" si="18"/>
        <v>Espaciais</v>
      </c>
      <c r="M91" s="53" t="str">
        <f t="shared" si="18"/>
        <v>Ambientes</v>
      </c>
      <c r="N91" s="53" t="str">
        <f t="shared" si="17"/>
        <v>Administrativos</v>
      </c>
      <c r="O91" s="53" t="str">
        <f t="shared" si="17"/>
        <v>Sala Interna</v>
      </c>
      <c r="P91" s="54" t="s">
        <v>1437</v>
      </c>
      <c r="Q91" s="54" t="s">
        <v>1438</v>
      </c>
      <c r="R91" s="54" t="s">
        <v>6090</v>
      </c>
      <c r="S91" s="54" t="s">
        <v>692</v>
      </c>
      <c r="T91" s="55" t="str">
        <f t="shared" si="20"/>
        <v>Espaciais</v>
      </c>
      <c r="U91" s="55" t="str">
        <f t="shared" si="20"/>
        <v>Ambientes</v>
      </c>
      <c r="V91" s="55" t="str">
        <f t="shared" si="20"/>
        <v>Administrativos</v>
      </c>
      <c r="W91" s="54" t="s">
        <v>7259</v>
      </c>
      <c r="X91" s="84" t="str">
        <f t="shared" si="19"/>
        <v>Key-COD-CT-91</v>
      </c>
      <c r="Y91" s="84" t="s">
        <v>5979</v>
      </c>
      <c r="Z91" s="84" t="s">
        <v>692</v>
      </c>
      <c r="AA91" s="84" t="s">
        <v>5639</v>
      </c>
      <c r="AB91" s="84" t="s">
        <v>692</v>
      </c>
      <c r="AC91" s="84" t="s">
        <v>5977</v>
      </c>
      <c r="AD91" s="54" t="s">
        <v>692</v>
      </c>
    </row>
    <row r="92" spans="1:30" ht="6.75" customHeight="1" x14ac:dyDescent="0.25">
      <c r="A92" s="85">
        <v>92</v>
      </c>
      <c r="B92" s="59" t="s">
        <v>5419</v>
      </c>
      <c r="C92" s="59" t="s">
        <v>5421</v>
      </c>
      <c r="D92" s="59" t="s">
        <v>1385</v>
      </c>
      <c r="E92" s="59" t="s">
        <v>1426</v>
      </c>
      <c r="F92" s="61" t="s">
        <v>1439</v>
      </c>
      <c r="G92" s="81" t="s">
        <v>692</v>
      </c>
      <c r="H92" s="81" t="s">
        <v>692</v>
      </c>
      <c r="I92" s="81" t="s">
        <v>692</v>
      </c>
      <c r="J92" s="81" t="s">
        <v>692</v>
      </c>
      <c r="K92" s="81" t="s">
        <v>692</v>
      </c>
      <c r="L92" s="53" t="str">
        <f t="shared" si="18"/>
        <v>Espaciais</v>
      </c>
      <c r="M92" s="53" t="str">
        <f t="shared" si="18"/>
        <v>Ambientes</v>
      </c>
      <c r="N92" s="53" t="str">
        <f t="shared" si="17"/>
        <v>Administrativos</v>
      </c>
      <c r="O92" s="53" t="str">
        <f t="shared" si="17"/>
        <v>Sala Utilizável</v>
      </c>
      <c r="P92" s="54" t="s">
        <v>1440</v>
      </c>
      <c r="Q92" s="54" t="s">
        <v>1441</v>
      </c>
      <c r="R92" s="54" t="s">
        <v>6091</v>
      </c>
      <c r="S92" s="54" t="s">
        <v>692</v>
      </c>
      <c r="T92" s="55" t="str">
        <f t="shared" si="20"/>
        <v>Espaciais</v>
      </c>
      <c r="U92" s="55" t="str">
        <f t="shared" si="20"/>
        <v>Ambientes</v>
      </c>
      <c r="V92" s="55" t="str">
        <f t="shared" si="20"/>
        <v>Administrativos</v>
      </c>
      <c r="W92" s="54" t="s">
        <v>7259</v>
      </c>
      <c r="X92" s="84" t="str">
        <f t="shared" si="19"/>
        <v>Key-COD-CT-92</v>
      </c>
      <c r="Y92" s="84" t="s">
        <v>5979</v>
      </c>
      <c r="Z92" s="84" t="s">
        <v>692</v>
      </c>
      <c r="AA92" s="84" t="s">
        <v>5640</v>
      </c>
      <c r="AB92" s="84" t="s">
        <v>692</v>
      </c>
      <c r="AC92" s="84" t="s">
        <v>5977</v>
      </c>
      <c r="AD92" s="54" t="s">
        <v>692</v>
      </c>
    </row>
    <row r="93" spans="1:30" ht="6.75" customHeight="1" x14ac:dyDescent="0.25">
      <c r="A93" s="85">
        <v>93</v>
      </c>
      <c r="B93" s="59" t="s">
        <v>5419</v>
      </c>
      <c r="C93" s="59" t="s">
        <v>5421</v>
      </c>
      <c r="D93" s="59" t="s">
        <v>1385</v>
      </c>
      <c r="E93" s="59" t="s">
        <v>1442</v>
      </c>
      <c r="F93" s="61" t="s">
        <v>1443</v>
      </c>
      <c r="G93" s="81" t="s">
        <v>692</v>
      </c>
      <c r="H93" s="81" t="s">
        <v>692</v>
      </c>
      <c r="I93" s="81" t="s">
        <v>692</v>
      </c>
      <c r="J93" s="81" t="s">
        <v>692</v>
      </c>
      <c r="K93" s="81" t="s">
        <v>692</v>
      </c>
      <c r="L93" s="53" t="str">
        <f t="shared" si="18"/>
        <v>Espaciais</v>
      </c>
      <c r="M93" s="53" t="str">
        <f t="shared" si="18"/>
        <v>Ambientes</v>
      </c>
      <c r="N93" s="53" t="str">
        <f t="shared" si="17"/>
        <v>Residenciais</v>
      </c>
      <c r="O93" s="53" t="str">
        <f t="shared" si="17"/>
        <v>Local Social</v>
      </c>
      <c r="P93" s="54" t="s">
        <v>1444</v>
      </c>
      <c r="Q93" s="54" t="s">
        <v>1445</v>
      </c>
      <c r="R93" s="54" t="s">
        <v>6092</v>
      </c>
      <c r="S93" s="54" t="s">
        <v>692</v>
      </c>
      <c r="T93" s="55" t="str">
        <f t="shared" si="20"/>
        <v>Espaciais</v>
      </c>
      <c r="U93" s="55" t="str">
        <f t="shared" si="20"/>
        <v>Ambientes</v>
      </c>
      <c r="V93" s="55" t="str">
        <f t="shared" si="20"/>
        <v>Residenciais</v>
      </c>
      <c r="W93" s="54" t="s">
        <v>7259</v>
      </c>
      <c r="X93" s="84" t="str">
        <f t="shared" si="19"/>
        <v>Key-COD-CT-93</v>
      </c>
      <c r="Y93" s="84" t="s">
        <v>5979</v>
      </c>
      <c r="Z93" s="84" t="s">
        <v>692</v>
      </c>
      <c r="AA93" s="84" t="s">
        <v>5455</v>
      </c>
      <c r="AB93" s="84" t="s">
        <v>692</v>
      </c>
      <c r="AC93" s="84" t="s">
        <v>5977</v>
      </c>
      <c r="AD93" s="54" t="s">
        <v>692</v>
      </c>
    </row>
    <row r="94" spans="1:30" ht="6.75" customHeight="1" x14ac:dyDescent="0.25">
      <c r="A94" s="85">
        <v>94</v>
      </c>
      <c r="B94" s="59" t="s">
        <v>5419</v>
      </c>
      <c r="C94" s="59" t="s">
        <v>5421</v>
      </c>
      <c r="D94" s="59" t="s">
        <v>1385</v>
      </c>
      <c r="E94" s="59" t="s">
        <v>1442</v>
      </c>
      <c r="F94" s="61" t="s">
        <v>1446</v>
      </c>
      <c r="G94" s="81" t="s">
        <v>692</v>
      </c>
      <c r="H94" s="81" t="s">
        <v>692</v>
      </c>
      <c r="I94" s="81" t="s">
        <v>692</v>
      </c>
      <c r="J94" s="81" t="s">
        <v>692</v>
      </c>
      <c r="K94" s="81" t="s">
        <v>692</v>
      </c>
      <c r="L94" s="53" t="str">
        <f t="shared" si="18"/>
        <v>Espaciais</v>
      </c>
      <c r="M94" s="53" t="str">
        <f t="shared" si="18"/>
        <v>Ambientes</v>
      </c>
      <c r="N94" s="53" t="str">
        <f t="shared" si="17"/>
        <v>Residenciais</v>
      </c>
      <c r="O94" s="53" t="str">
        <f t="shared" si="17"/>
        <v>Local Intimo</v>
      </c>
      <c r="P94" s="54" t="s">
        <v>1447</v>
      </c>
      <c r="Q94" s="54" t="s">
        <v>1448</v>
      </c>
      <c r="R94" s="54" t="s">
        <v>6093</v>
      </c>
      <c r="S94" s="54" t="s">
        <v>692</v>
      </c>
      <c r="T94" s="55" t="str">
        <f t="shared" si="20"/>
        <v>Espaciais</v>
      </c>
      <c r="U94" s="55" t="str">
        <f t="shared" si="20"/>
        <v>Ambientes</v>
      </c>
      <c r="V94" s="55" t="str">
        <f t="shared" si="20"/>
        <v>Residenciais</v>
      </c>
      <c r="W94" s="54" t="s">
        <v>7259</v>
      </c>
      <c r="X94" s="84" t="str">
        <f t="shared" si="19"/>
        <v>Key-COD-CT-94</v>
      </c>
      <c r="Y94" s="84" t="s">
        <v>5979</v>
      </c>
      <c r="Z94" s="84" t="s">
        <v>692</v>
      </c>
      <c r="AA94" s="84" t="s">
        <v>5455</v>
      </c>
      <c r="AB94" s="84" t="s">
        <v>692</v>
      </c>
      <c r="AC94" s="84" t="s">
        <v>5977</v>
      </c>
      <c r="AD94" s="54" t="s">
        <v>692</v>
      </c>
    </row>
    <row r="95" spans="1:30" ht="6.75" customHeight="1" x14ac:dyDescent="0.25">
      <c r="A95" s="85">
        <v>95</v>
      </c>
      <c r="B95" s="59" t="s">
        <v>5419</v>
      </c>
      <c r="C95" s="59" t="s">
        <v>5421</v>
      </c>
      <c r="D95" s="59" t="s">
        <v>1385</v>
      </c>
      <c r="E95" s="59" t="s">
        <v>1442</v>
      </c>
      <c r="F95" s="61" t="s">
        <v>1449</v>
      </c>
      <c r="G95" s="81" t="s">
        <v>692</v>
      </c>
      <c r="H95" s="81" t="s">
        <v>692</v>
      </c>
      <c r="I95" s="81" t="s">
        <v>692</v>
      </c>
      <c r="J95" s="81" t="s">
        <v>692</v>
      </c>
      <c r="K95" s="81" t="s">
        <v>692</v>
      </c>
      <c r="L95" s="53" t="str">
        <f t="shared" si="18"/>
        <v>Espaciais</v>
      </c>
      <c r="M95" s="53" t="str">
        <f t="shared" si="18"/>
        <v>Ambientes</v>
      </c>
      <c r="N95" s="53" t="str">
        <f t="shared" si="17"/>
        <v>Residenciais</v>
      </c>
      <c r="O95" s="53" t="str">
        <f t="shared" si="17"/>
        <v>Local Higiene</v>
      </c>
      <c r="P95" s="54" t="s">
        <v>1450</v>
      </c>
      <c r="Q95" s="54" t="s">
        <v>1451</v>
      </c>
      <c r="R95" s="54" t="s">
        <v>6094</v>
      </c>
      <c r="S95" s="54" t="s">
        <v>692</v>
      </c>
      <c r="T95" s="55" t="str">
        <f t="shared" si="20"/>
        <v>Espaciais</v>
      </c>
      <c r="U95" s="55" t="str">
        <f t="shared" si="20"/>
        <v>Ambientes</v>
      </c>
      <c r="V95" s="55" t="str">
        <f t="shared" si="20"/>
        <v>Residenciais</v>
      </c>
      <c r="W95" s="54" t="s">
        <v>7259</v>
      </c>
      <c r="X95" s="84" t="str">
        <f t="shared" si="19"/>
        <v>Key-COD-CT-95</v>
      </c>
      <c r="Y95" s="84" t="s">
        <v>5979</v>
      </c>
      <c r="Z95" s="84" t="s">
        <v>692</v>
      </c>
      <c r="AA95" s="84" t="s">
        <v>5455</v>
      </c>
      <c r="AB95" s="84" t="s">
        <v>692</v>
      </c>
      <c r="AC95" s="84" t="s">
        <v>5977</v>
      </c>
      <c r="AD95" s="54" t="s">
        <v>692</v>
      </c>
    </row>
    <row r="96" spans="1:30" ht="6.75" customHeight="1" x14ac:dyDescent="0.25">
      <c r="A96" s="85">
        <v>96</v>
      </c>
      <c r="B96" s="59" t="s">
        <v>5419</v>
      </c>
      <c r="C96" s="59" t="s">
        <v>5421</v>
      </c>
      <c r="D96" s="59" t="s">
        <v>1385</v>
      </c>
      <c r="E96" s="59" t="s">
        <v>1442</v>
      </c>
      <c r="F96" s="61" t="s">
        <v>1452</v>
      </c>
      <c r="G96" s="81" t="s">
        <v>692</v>
      </c>
      <c r="H96" s="81" t="s">
        <v>692</v>
      </c>
      <c r="I96" s="81" t="s">
        <v>692</v>
      </c>
      <c r="J96" s="81" t="s">
        <v>692</v>
      </c>
      <c r="K96" s="81" t="s">
        <v>692</v>
      </c>
      <c r="L96" s="53" t="str">
        <f t="shared" si="18"/>
        <v>Espaciais</v>
      </c>
      <c r="M96" s="53" t="str">
        <f t="shared" si="18"/>
        <v>Ambientes</v>
      </c>
      <c r="N96" s="53" t="str">
        <f t="shared" si="17"/>
        <v>Residenciais</v>
      </c>
      <c r="O96" s="53" t="str">
        <f t="shared" si="17"/>
        <v>Local Serviço</v>
      </c>
      <c r="P96" s="54" t="s">
        <v>1453</v>
      </c>
      <c r="Q96" s="54" t="s">
        <v>1454</v>
      </c>
      <c r="R96" s="54" t="s">
        <v>6095</v>
      </c>
      <c r="S96" s="54" t="s">
        <v>692</v>
      </c>
      <c r="T96" s="55" t="str">
        <f t="shared" si="20"/>
        <v>Espaciais</v>
      </c>
      <c r="U96" s="55" t="str">
        <f t="shared" si="20"/>
        <v>Ambientes</v>
      </c>
      <c r="V96" s="55" t="str">
        <f t="shared" si="20"/>
        <v>Residenciais</v>
      </c>
      <c r="W96" s="54" t="s">
        <v>7259</v>
      </c>
      <c r="X96" s="84" t="str">
        <f t="shared" si="19"/>
        <v>Key-COD-CT-96</v>
      </c>
      <c r="Y96" s="84" t="s">
        <v>5979</v>
      </c>
      <c r="Z96" s="84" t="s">
        <v>692</v>
      </c>
      <c r="AA96" s="84" t="s">
        <v>5455</v>
      </c>
      <c r="AB96" s="84" t="s">
        <v>692</v>
      </c>
      <c r="AC96" s="84" t="s">
        <v>5977</v>
      </c>
      <c r="AD96" s="54" t="s">
        <v>692</v>
      </c>
    </row>
    <row r="97" spans="1:30" ht="6.75" customHeight="1" x14ac:dyDescent="0.25">
      <c r="A97" s="85">
        <v>97</v>
      </c>
      <c r="B97" s="59" t="s">
        <v>5419</v>
      </c>
      <c r="C97" s="59" t="s">
        <v>5421</v>
      </c>
      <c r="D97" s="59" t="s">
        <v>1385</v>
      </c>
      <c r="E97" s="59" t="s">
        <v>1455</v>
      </c>
      <c r="F97" s="61" t="s">
        <v>1456</v>
      </c>
      <c r="G97" s="81" t="s">
        <v>692</v>
      </c>
      <c r="H97" s="81" t="s">
        <v>692</v>
      </c>
      <c r="I97" s="81" t="s">
        <v>692</v>
      </c>
      <c r="J97" s="81" t="s">
        <v>692</v>
      </c>
      <c r="K97" s="81" t="s">
        <v>692</v>
      </c>
      <c r="L97" s="53" t="str">
        <f t="shared" si="18"/>
        <v>Espaciais</v>
      </c>
      <c r="M97" s="53" t="str">
        <f t="shared" si="18"/>
        <v>Ambientes</v>
      </c>
      <c r="N97" s="53" t="str">
        <f t="shared" si="17"/>
        <v>Hospitalares</v>
      </c>
      <c r="O97" s="53" t="str">
        <f t="shared" si="17"/>
        <v>Sala Consulta</v>
      </c>
      <c r="P97" s="54" t="s">
        <v>1457</v>
      </c>
      <c r="Q97" s="54" t="s">
        <v>1458</v>
      </c>
      <c r="R97" s="54" t="s">
        <v>6096</v>
      </c>
      <c r="S97" s="54" t="s">
        <v>692</v>
      </c>
      <c r="T97" s="55" t="str">
        <f t="shared" si="20"/>
        <v>Espaciais</v>
      </c>
      <c r="U97" s="55" t="str">
        <f t="shared" si="20"/>
        <v>Ambientes</v>
      </c>
      <c r="V97" s="55" t="str">
        <f t="shared" si="20"/>
        <v>Hospitalares</v>
      </c>
      <c r="W97" s="54" t="s">
        <v>7259</v>
      </c>
      <c r="X97" s="84" t="str">
        <f t="shared" si="19"/>
        <v>Key-COD-CT-97</v>
      </c>
      <c r="Y97" s="84" t="s">
        <v>5979</v>
      </c>
      <c r="Z97" s="84" t="s">
        <v>692</v>
      </c>
      <c r="AA97" s="84" t="s">
        <v>5455</v>
      </c>
      <c r="AB97" s="84" t="s">
        <v>692</v>
      </c>
      <c r="AC97" s="84" t="s">
        <v>5977</v>
      </c>
      <c r="AD97" s="54" t="s">
        <v>692</v>
      </c>
    </row>
    <row r="98" spans="1:30" ht="6.75" customHeight="1" x14ac:dyDescent="0.25">
      <c r="A98" s="85">
        <v>98</v>
      </c>
      <c r="B98" s="59" t="s">
        <v>5419</v>
      </c>
      <c r="C98" s="59" t="s">
        <v>5421</v>
      </c>
      <c r="D98" s="59" t="s">
        <v>1385</v>
      </c>
      <c r="E98" s="59" t="s">
        <v>1455</v>
      </c>
      <c r="F98" s="61" t="s">
        <v>1459</v>
      </c>
      <c r="G98" s="81" t="s">
        <v>692</v>
      </c>
      <c r="H98" s="81" t="s">
        <v>692</v>
      </c>
      <c r="I98" s="81" t="s">
        <v>692</v>
      </c>
      <c r="J98" s="81" t="s">
        <v>692</v>
      </c>
      <c r="K98" s="81" t="s">
        <v>692</v>
      </c>
      <c r="L98" s="53" t="str">
        <f t="shared" si="18"/>
        <v>Espaciais</v>
      </c>
      <c r="M98" s="53" t="str">
        <f t="shared" si="18"/>
        <v>Ambientes</v>
      </c>
      <c r="N98" s="53" t="str">
        <f t="shared" si="17"/>
        <v>Hospitalares</v>
      </c>
      <c r="O98" s="53" t="str">
        <f t="shared" si="17"/>
        <v>Sala Quirúrgico</v>
      </c>
      <c r="P98" s="54" t="s">
        <v>1460</v>
      </c>
      <c r="Q98" s="54" t="s">
        <v>1461</v>
      </c>
      <c r="R98" s="54" t="s">
        <v>6097</v>
      </c>
      <c r="S98" s="54" t="s">
        <v>692</v>
      </c>
      <c r="T98" s="55" t="str">
        <f t="shared" si="20"/>
        <v>Espaciais</v>
      </c>
      <c r="U98" s="55" t="str">
        <f t="shared" si="20"/>
        <v>Ambientes</v>
      </c>
      <c r="V98" s="55" t="str">
        <f t="shared" si="20"/>
        <v>Hospitalares</v>
      </c>
      <c r="W98" s="54" t="s">
        <v>7259</v>
      </c>
      <c r="X98" s="84" t="str">
        <f t="shared" si="19"/>
        <v>Key-COD-CT-98</v>
      </c>
      <c r="Y98" s="84" t="s">
        <v>5979</v>
      </c>
      <c r="Z98" s="84" t="s">
        <v>692</v>
      </c>
      <c r="AA98" s="84" t="s">
        <v>5455</v>
      </c>
      <c r="AB98" s="84" t="s">
        <v>692</v>
      </c>
      <c r="AC98" s="84" t="s">
        <v>5977</v>
      </c>
      <c r="AD98" s="54" t="s">
        <v>692</v>
      </c>
    </row>
    <row r="99" spans="1:30" ht="6.75" customHeight="1" x14ac:dyDescent="0.25">
      <c r="A99" s="85">
        <v>99</v>
      </c>
      <c r="B99" s="59" t="s">
        <v>5419</v>
      </c>
      <c r="C99" s="59" t="s">
        <v>5421</v>
      </c>
      <c r="D99" s="59" t="s">
        <v>1385</v>
      </c>
      <c r="E99" s="59" t="s">
        <v>1455</v>
      </c>
      <c r="F99" s="61" t="s">
        <v>1462</v>
      </c>
      <c r="G99" s="81" t="s">
        <v>692</v>
      </c>
      <c r="H99" s="81" t="s">
        <v>692</v>
      </c>
      <c r="I99" s="81" t="s">
        <v>692</v>
      </c>
      <c r="J99" s="81" t="s">
        <v>692</v>
      </c>
      <c r="K99" s="81" t="s">
        <v>692</v>
      </c>
      <c r="L99" s="53" t="str">
        <f t="shared" si="18"/>
        <v>Espaciais</v>
      </c>
      <c r="M99" s="53" t="str">
        <f t="shared" si="18"/>
        <v>Ambientes</v>
      </c>
      <c r="N99" s="53" t="str">
        <f t="shared" si="17"/>
        <v>Hospitalares</v>
      </c>
      <c r="O99" s="53" t="str">
        <f t="shared" si="17"/>
        <v>Sala Triagem</v>
      </c>
      <c r="P99" s="54" t="s">
        <v>1463</v>
      </c>
      <c r="Q99" s="54" t="s">
        <v>1464</v>
      </c>
      <c r="R99" s="54" t="s">
        <v>6098</v>
      </c>
      <c r="S99" s="54" t="s">
        <v>692</v>
      </c>
      <c r="T99" s="55" t="str">
        <f t="shared" si="20"/>
        <v>Espaciais</v>
      </c>
      <c r="U99" s="55" t="str">
        <f t="shared" si="20"/>
        <v>Ambientes</v>
      </c>
      <c r="V99" s="55" t="str">
        <f t="shared" si="20"/>
        <v>Hospitalares</v>
      </c>
      <c r="W99" s="54" t="s">
        <v>7259</v>
      </c>
      <c r="X99" s="84" t="str">
        <f t="shared" si="19"/>
        <v>Key-COD-CT-99</v>
      </c>
      <c r="Y99" s="84" t="s">
        <v>5979</v>
      </c>
      <c r="Z99" s="84" t="s">
        <v>692</v>
      </c>
      <c r="AA99" s="84" t="s">
        <v>5455</v>
      </c>
      <c r="AB99" s="84" t="s">
        <v>692</v>
      </c>
      <c r="AC99" s="84" t="s">
        <v>5977</v>
      </c>
      <c r="AD99" s="54" t="s">
        <v>692</v>
      </c>
    </row>
    <row r="100" spans="1:30" ht="6.75" customHeight="1" x14ac:dyDescent="0.25">
      <c r="A100" s="85">
        <v>100</v>
      </c>
      <c r="B100" s="59" t="s">
        <v>5419</v>
      </c>
      <c r="C100" s="59" t="s">
        <v>5421</v>
      </c>
      <c r="D100" s="59" t="s">
        <v>1385</v>
      </c>
      <c r="E100" s="59" t="s">
        <v>1465</v>
      </c>
      <c r="F100" s="61" t="s">
        <v>1466</v>
      </c>
      <c r="G100" s="81" t="s">
        <v>692</v>
      </c>
      <c r="H100" s="81" t="s">
        <v>692</v>
      </c>
      <c r="I100" s="81" t="s">
        <v>692</v>
      </c>
      <c r="J100" s="81" t="s">
        <v>692</v>
      </c>
      <c r="K100" s="81" t="s">
        <v>692</v>
      </c>
      <c r="L100" s="53" t="str">
        <f t="shared" si="18"/>
        <v>Espaciais</v>
      </c>
      <c r="M100" s="53" t="str">
        <f t="shared" si="18"/>
        <v>Ambientes</v>
      </c>
      <c r="N100" s="53" t="str">
        <f t="shared" si="17"/>
        <v>Escolares</v>
      </c>
      <c r="O100" s="53" t="str">
        <f t="shared" si="17"/>
        <v>Sala Aula</v>
      </c>
      <c r="P100" s="54" t="s">
        <v>1467</v>
      </c>
      <c r="Q100" s="54" t="s">
        <v>1468</v>
      </c>
      <c r="R100" s="54" t="s">
        <v>6099</v>
      </c>
      <c r="S100" s="54" t="s">
        <v>692</v>
      </c>
      <c r="T100" s="55" t="str">
        <f t="shared" si="20"/>
        <v>Espaciais</v>
      </c>
      <c r="U100" s="55" t="str">
        <f t="shared" si="20"/>
        <v>Ambientes</v>
      </c>
      <c r="V100" s="55" t="str">
        <f t="shared" si="20"/>
        <v>Escolares</v>
      </c>
      <c r="W100" s="54" t="s">
        <v>7259</v>
      </c>
      <c r="X100" s="84" t="str">
        <f t="shared" si="19"/>
        <v>Key-COD-CT-100</v>
      </c>
      <c r="Y100" s="84" t="s">
        <v>5979</v>
      </c>
      <c r="Z100" s="84" t="s">
        <v>692</v>
      </c>
      <c r="AA100" s="84" t="s">
        <v>5455</v>
      </c>
      <c r="AB100" s="84" t="s">
        <v>692</v>
      </c>
      <c r="AC100" s="84" t="s">
        <v>5977</v>
      </c>
      <c r="AD100" s="54" t="s">
        <v>692</v>
      </c>
    </row>
    <row r="101" spans="1:30" ht="6.75" customHeight="1" x14ac:dyDescent="0.25">
      <c r="A101" s="85">
        <v>101</v>
      </c>
      <c r="B101" s="59" t="s">
        <v>5419</v>
      </c>
      <c r="C101" s="59" t="s">
        <v>5421</v>
      </c>
      <c r="D101" s="59" t="s">
        <v>1385</v>
      </c>
      <c r="E101" s="59" t="s">
        <v>1465</v>
      </c>
      <c r="F101" s="61" t="s">
        <v>1469</v>
      </c>
      <c r="G101" s="81" t="s">
        <v>692</v>
      </c>
      <c r="H101" s="81" t="s">
        <v>692</v>
      </c>
      <c r="I101" s="81" t="s">
        <v>692</v>
      </c>
      <c r="J101" s="81" t="s">
        <v>692</v>
      </c>
      <c r="K101" s="81" t="s">
        <v>692</v>
      </c>
      <c r="L101" s="53" t="str">
        <f t="shared" si="18"/>
        <v>Espaciais</v>
      </c>
      <c r="M101" s="53" t="str">
        <f t="shared" si="18"/>
        <v>Ambientes</v>
      </c>
      <c r="N101" s="53" t="str">
        <f t="shared" si="17"/>
        <v>Escolares</v>
      </c>
      <c r="O101" s="53" t="str">
        <f t="shared" si="17"/>
        <v>Sala Aula Arte</v>
      </c>
      <c r="P101" s="54" t="s">
        <v>1470</v>
      </c>
      <c r="Q101" s="54" t="s">
        <v>1471</v>
      </c>
      <c r="R101" s="54" t="s">
        <v>6100</v>
      </c>
      <c r="S101" s="54" t="s">
        <v>692</v>
      </c>
      <c r="T101" s="55" t="str">
        <f t="shared" si="20"/>
        <v>Espaciais</v>
      </c>
      <c r="U101" s="55" t="str">
        <f t="shared" si="20"/>
        <v>Ambientes</v>
      </c>
      <c r="V101" s="55" t="str">
        <f t="shared" si="20"/>
        <v>Escolares</v>
      </c>
      <c r="W101" s="54" t="s">
        <v>7259</v>
      </c>
      <c r="X101" s="84" t="str">
        <f t="shared" si="19"/>
        <v>Key-COD-CT-101</v>
      </c>
      <c r="Y101" s="84" t="s">
        <v>5979</v>
      </c>
      <c r="Z101" s="84" t="s">
        <v>692</v>
      </c>
      <c r="AA101" s="84" t="s">
        <v>5455</v>
      </c>
      <c r="AB101" s="84" t="s">
        <v>692</v>
      </c>
      <c r="AC101" s="84" t="s">
        <v>5977</v>
      </c>
      <c r="AD101" s="54" t="s">
        <v>692</v>
      </c>
    </row>
    <row r="102" spans="1:30" ht="6.75" customHeight="1" x14ac:dyDescent="0.25">
      <c r="A102" s="85">
        <v>102</v>
      </c>
      <c r="B102" s="59" t="s">
        <v>5419</v>
      </c>
      <c r="C102" s="59" t="s">
        <v>5421</v>
      </c>
      <c r="D102" s="59" t="s">
        <v>1385</v>
      </c>
      <c r="E102" s="59" t="s">
        <v>1465</v>
      </c>
      <c r="F102" s="61" t="s">
        <v>1472</v>
      </c>
      <c r="G102" s="81" t="s">
        <v>692</v>
      </c>
      <c r="H102" s="81" t="s">
        <v>692</v>
      </c>
      <c r="I102" s="81" t="s">
        <v>692</v>
      </c>
      <c r="J102" s="81" t="s">
        <v>692</v>
      </c>
      <c r="K102" s="81" t="s">
        <v>692</v>
      </c>
      <c r="L102" s="53" t="str">
        <f t="shared" si="18"/>
        <v>Espaciais</v>
      </c>
      <c r="M102" s="53" t="str">
        <f t="shared" si="18"/>
        <v>Ambientes</v>
      </c>
      <c r="N102" s="53" t="str">
        <f t="shared" si="17"/>
        <v>Escolares</v>
      </c>
      <c r="O102" s="53" t="str">
        <f t="shared" si="17"/>
        <v>Sala Aula Ciência</v>
      </c>
      <c r="P102" s="54" t="s">
        <v>1473</v>
      </c>
      <c r="Q102" s="54" t="s">
        <v>1474</v>
      </c>
      <c r="R102" s="54" t="s">
        <v>6101</v>
      </c>
      <c r="S102" s="54" t="s">
        <v>692</v>
      </c>
      <c r="T102" s="55" t="str">
        <f t="shared" si="20"/>
        <v>Espaciais</v>
      </c>
      <c r="U102" s="55" t="str">
        <f t="shared" si="20"/>
        <v>Ambientes</v>
      </c>
      <c r="V102" s="55" t="str">
        <f t="shared" si="20"/>
        <v>Escolares</v>
      </c>
      <c r="W102" s="54" t="s">
        <v>7259</v>
      </c>
      <c r="X102" s="84" t="str">
        <f t="shared" si="19"/>
        <v>Key-COD-CT-102</v>
      </c>
      <c r="Y102" s="84" t="s">
        <v>5979</v>
      </c>
      <c r="Z102" s="84" t="s">
        <v>692</v>
      </c>
      <c r="AA102" s="84" t="s">
        <v>5455</v>
      </c>
      <c r="AB102" s="84" t="s">
        <v>692</v>
      </c>
      <c r="AC102" s="84" t="s">
        <v>5977</v>
      </c>
      <c r="AD102" s="54" t="s">
        <v>692</v>
      </c>
    </row>
    <row r="103" spans="1:30" ht="6.75" customHeight="1" x14ac:dyDescent="0.25">
      <c r="A103" s="85">
        <v>103</v>
      </c>
      <c r="B103" s="59" t="s">
        <v>5419</v>
      </c>
      <c r="C103" s="59" t="s">
        <v>5421</v>
      </c>
      <c r="D103" s="59" t="s">
        <v>1385</v>
      </c>
      <c r="E103" s="59" t="s">
        <v>1465</v>
      </c>
      <c r="F103" s="61" t="s">
        <v>1475</v>
      </c>
      <c r="G103" s="81" t="s">
        <v>692</v>
      </c>
      <c r="H103" s="81" t="s">
        <v>692</v>
      </c>
      <c r="I103" s="81" t="s">
        <v>692</v>
      </c>
      <c r="J103" s="81" t="s">
        <v>692</v>
      </c>
      <c r="K103" s="81" t="s">
        <v>692</v>
      </c>
      <c r="L103" s="53" t="str">
        <f t="shared" si="18"/>
        <v>Espaciais</v>
      </c>
      <c r="M103" s="53" t="str">
        <f t="shared" si="18"/>
        <v>Ambientes</v>
      </c>
      <c r="N103" s="53" t="str">
        <f t="shared" si="17"/>
        <v>Escolares</v>
      </c>
      <c r="O103" s="53" t="str">
        <f t="shared" si="17"/>
        <v>Sala Aula Informática</v>
      </c>
      <c r="P103" s="54" t="s">
        <v>1476</v>
      </c>
      <c r="Q103" s="54" t="s">
        <v>1477</v>
      </c>
      <c r="R103" s="54" t="s">
        <v>6102</v>
      </c>
      <c r="S103" s="54" t="s">
        <v>692</v>
      </c>
      <c r="T103" s="55" t="str">
        <f t="shared" si="20"/>
        <v>Espaciais</v>
      </c>
      <c r="U103" s="55" t="str">
        <f t="shared" si="20"/>
        <v>Ambientes</v>
      </c>
      <c r="V103" s="55" t="str">
        <f t="shared" si="20"/>
        <v>Escolares</v>
      </c>
      <c r="W103" s="54" t="s">
        <v>7259</v>
      </c>
      <c r="X103" s="84" t="str">
        <f t="shared" si="19"/>
        <v>Key-COD-CT-103</v>
      </c>
      <c r="Y103" s="84" t="s">
        <v>5979</v>
      </c>
      <c r="Z103" s="84" t="s">
        <v>692</v>
      </c>
      <c r="AA103" s="84" t="s">
        <v>5455</v>
      </c>
      <c r="AB103" s="84" t="s">
        <v>692</v>
      </c>
      <c r="AC103" s="84" t="s">
        <v>5977</v>
      </c>
      <c r="AD103" s="54" t="s">
        <v>692</v>
      </c>
    </row>
    <row r="104" spans="1:30" ht="6.75" customHeight="1" x14ac:dyDescent="0.25">
      <c r="A104" s="85">
        <v>104</v>
      </c>
      <c r="B104" s="59" t="s">
        <v>5419</v>
      </c>
      <c r="C104" s="59" t="s">
        <v>5421</v>
      </c>
      <c r="D104" s="59" t="s">
        <v>1385</v>
      </c>
      <c r="E104" s="59" t="s">
        <v>1478</v>
      </c>
      <c r="F104" s="61" t="s">
        <v>1479</v>
      </c>
      <c r="G104" s="81" t="s">
        <v>692</v>
      </c>
      <c r="H104" s="81" t="s">
        <v>692</v>
      </c>
      <c r="I104" s="81" t="s">
        <v>692</v>
      </c>
      <c r="J104" s="81" t="s">
        <v>692</v>
      </c>
      <c r="K104" s="81" t="s">
        <v>692</v>
      </c>
      <c r="L104" s="53" t="str">
        <f t="shared" si="18"/>
        <v>Espaciais</v>
      </c>
      <c r="M104" s="53" t="str">
        <f t="shared" si="18"/>
        <v>Ambientes</v>
      </c>
      <c r="N104" s="53" t="str">
        <f t="shared" si="17"/>
        <v>Teatrais</v>
      </c>
      <c r="O104" s="53" t="str">
        <f t="shared" si="17"/>
        <v>Bilheteria</v>
      </c>
      <c r="P104" s="54" t="s">
        <v>1480</v>
      </c>
      <c r="Q104" s="54" t="s">
        <v>1481</v>
      </c>
      <c r="R104" s="54" t="s">
        <v>6103</v>
      </c>
      <c r="S104" s="54" t="s">
        <v>692</v>
      </c>
      <c r="T104" s="55" t="str">
        <f t="shared" si="20"/>
        <v>Espaciais</v>
      </c>
      <c r="U104" s="55" t="str">
        <f t="shared" si="20"/>
        <v>Ambientes</v>
      </c>
      <c r="V104" s="55" t="str">
        <f t="shared" si="20"/>
        <v>Teatrais</v>
      </c>
      <c r="W104" s="54" t="s">
        <v>7259</v>
      </c>
      <c r="X104" s="84" t="str">
        <f t="shared" si="19"/>
        <v>Key-COD-CT-104</v>
      </c>
      <c r="Y104" s="84" t="s">
        <v>5979</v>
      </c>
      <c r="Z104" s="84" t="s">
        <v>692</v>
      </c>
      <c r="AA104" s="84" t="s">
        <v>5455</v>
      </c>
      <c r="AB104" s="84" t="s">
        <v>692</v>
      </c>
      <c r="AC104" s="84" t="s">
        <v>5977</v>
      </c>
      <c r="AD104" s="54" t="s">
        <v>692</v>
      </c>
    </row>
    <row r="105" spans="1:30" ht="6.75" customHeight="1" x14ac:dyDescent="0.25">
      <c r="A105" s="85">
        <v>105</v>
      </c>
      <c r="B105" s="59" t="s">
        <v>5419</v>
      </c>
      <c r="C105" s="59" t="s">
        <v>5421</v>
      </c>
      <c r="D105" s="59" t="s">
        <v>1385</v>
      </c>
      <c r="E105" s="59" t="s">
        <v>1478</v>
      </c>
      <c r="F105" s="61" t="s">
        <v>1482</v>
      </c>
      <c r="G105" s="81" t="s">
        <v>692</v>
      </c>
      <c r="H105" s="81" t="s">
        <v>692</v>
      </c>
      <c r="I105" s="81" t="s">
        <v>692</v>
      </c>
      <c r="J105" s="81" t="s">
        <v>692</v>
      </c>
      <c r="K105" s="81" t="s">
        <v>692</v>
      </c>
      <c r="L105" s="53" t="str">
        <f t="shared" si="18"/>
        <v>Espaciais</v>
      </c>
      <c r="M105" s="53" t="str">
        <f t="shared" si="18"/>
        <v>Ambientes</v>
      </c>
      <c r="N105" s="53" t="str">
        <f t="shared" si="17"/>
        <v>Teatrais</v>
      </c>
      <c r="O105" s="53" t="str">
        <f t="shared" si="17"/>
        <v>Foyer</v>
      </c>
      <c r="P105" s="54" t="s">
        <v>1483</v>
      </c>
      <c r="Q105" s="54" t="s">
        <v>1484</v>
      </c>
      <c r="R105" s="54" t="s">
        <v>6104</v>
      </c>
      <c r="S105" s="54" t="s">
        <v>692</v>
      </c>
      <c r="T105" s="55" t="str">
        <f t="shared" si="20"/>
        <v>Espaciais</v>
      </c>
      <c r="U105" s="55" t="str">
        <f t="shared" si="20"/>
        <v>Ambientes</v>
      </c>
      <c r="V105" s="55" t="str">
        <f t="shared" si="20"/>
        <v>Teatrais</v>
      </c>
      <c r="W105" s="54" t="s">
        <v>7259</v>
      </c>
      <c r="X105" s="84" t="str">
        <f t="shared" si="19"/>
        <v>Key-COD-CT-105</v>
      </c>
      <c r="Y105" s="84" t="s">
        <v>5979</v>
      </c>
      <c r="Z105" s="84" t="s">
        <v>692</v>
      </c>
      <c r="AA105" s="84" t="s">
        <v>5455</v>
      </c>
      <c r="AB105" s="84" t="s">
        <v>692</v>
      </c>
      <c r="AC105" s="84" t="s">
        <v>5977</v>
      </c>
      <c r="AD105" s="54" t="s">
        <v>692</v>
      </c>
    </row>
    <row r="106" spans="1:30" ht="6.75" customHeight="1" x14ac:dyDescent="0.25">
      <c r="A106" s="85">
        <v>106</v>
      </c>
      <c r="B106" s="59" t="s">
        <v>5419</v>
      </c>
      <c r="C106" s="59" t="s">
        <v>5421</v>
      </c>
      <c r="D106" s="59" t="s">
        <v>1385</v>
      </c>
      <c r="E106" s="59" t="s">
        <v>1478</v>
      </c>
      <c r="F106" s="61" t="s">
        <v>1485</v>
      </c>
      <c r="G106" s="81" t="s">
        <v>692</v>
      </c>
      <c r="H106" s="81" t="s">
        <v>692</v>
      </c>
      <c r="I106" s="81" t="s">
        <v>692</v>
      </c>
      <c r="J106" s="81" t="s">
        <v>692</v>
      </c>
      <c r="K106" s="81" t="s">
        <v>692</v>
      </c>
      <c r="L106" s="53" t="str">
        <f t="shared" si="18"/>
        <v>Espaciais</v>
      </c>
      <c r="M106" s="53" t="str">
        <f t="shared" si="18"/>
        <v>Ambientes</v>
      </c>
      <c r="N106" s="53" t="str">
        <f t="shared" si="17"/>
        <v>Teatrais</v>
      </c>
      <c r="O106" s="53" t="str">
        <f t="shared" si="17"/>
        <v>Saída de Emergência</v>
      </c>
      <c r="P106" s="54" t="s">
        <v>1486</v>
      </c>
      <c r="Q106" s="54" t="s">
        <v>1487</v>
      </c>
      <c r="R106" s="54" t="s">
        <v>6105</v>
      </c>
      <c r="S106" s="54" t="s">
        <v>692</v>
      </c>
      <c r="T106" s="55" t="str">
        <f t="shared" si="20"/>
        <v>Espaciais</v>
      </c>
      <c r="U106" s="55" t="str">
        <f t="shared" si="20"/>
        <v>Ambientes</v>
      </c>
      <c r="V106" s="55" t="str">
        <f t="shared" si="20"/>
        <v>Teatrais</v>
      </c>
      <c r="W106" s="54" t="s">
        <v>7259</v>
      </c>
      <c r="X106" s="84" t="str">
        <f t="shared" si="19"/>
        <v>Key-COD-CT-106</v>
      </c>
      <c r="Y106" s="84" t="s">
        <v>5979</v>
      </c>
      <c r="Z106" s="84" t="s">
        <v>692</v>
      </c>
      <c r="AA106" s="84" t="s">
        <v>5455</v>
      </c>
      <c r="AB106" s="84" t="s">
        <v>692</v>
      </c>
      <c r="AC106" s="84" t="s">
        <v>5977</v>
      </c>
      <c r="AD106" s="54" t="s">
        <v>692</v>
      </c>
    </row>
    <row r="107" spans="1:30" ht="6.75" customHeight="1" x14ac:dyDescent="0.25">
      <c r="A107" s="85">
        <v>107</v>
      </c>
      <c r="B107" s="59" t="s">
        <v>5419</v>
      </c>
      <c r="C107" s="59" t="s">
        <v>5421</v>
      </c>
      <c r="D107" s="59" t="s">
        <v>1385</v>
      </c>
      <c r="E107" s="59" t="s">
        <v>1478</v>
      </c>
      <c r="F107" s="61" t="s">
        <v>1488</v>
      </c>
      <c r="G107" s="81" t="s">
        <v>692</v>
      </c>
      <c r="H107" s="81" t="s">
        <v>692</v>
      </c>
      <c r="I107" s="81" t="s">
        <v>692</v>
      </c>
      <c r="J107" s="81" t="s">
        <v>692</v>
      </c>
      <c r="K107" s="81" t="s">
        <v>692</v>
      </c>
      <c r="L107" s="53" t="str">
        <f t="shared" si="18"/>
        <v>Espaciais</v>
      </c>
      <c r="M107" s="53" t="str">
        <f t="shared" si="18"/>
        <v>Ambientes</v>
      </c>
      <c r="N107" s="53" t="str">
        <f t="shared" si="17"/>
        <v>Teatrais</v>
      </c>
      <c r="O107" s="53" t="str">
        <f t="shared" si="17"/>
        <v>Camarim</v>
      </c>
      <c r="P107" s="54" t="s">
        <v>1489</v>
      </c>
      <c r="Q107" s="54" t="s">
        <v>1490</v>
      </c>
      <c r="R107" s="54" t="s">
        <v>6106</v>
      </c>
      <c r="S107" s="54" t="s">
        <v>692</v>
      </c>
      <c r="T107" s="55" t="str">
        <f t="shared" si="20"/>
        <v>Espaciais</v>
      </c>
      <c r="U107" s="55" t="str">
        <f t="shared" si="20"/>
        <v>Ambientes</v>
      </c>
      <c r="V107" s="55" t="str">
        <f t="shared" si="20"/>
        <v>Teatrais</v>
      </c>
      <c r="W107" s="54" t="s">
        <v>7259</v>
      </c>
      <c r="X107" s="84" t="str">
        <f t="shared" si="19"/>
        <v>Key-COD-CT-107</v>
      </c>
      <c r="Y107" s="84" t="s">
        <v>5979</v>
      </c>
      <c r="Z107" s="84" t="s">
        <v>692</v>
      </c>
      <c r="AA107" s="84" t="s">
        <v>5455</v>
      </c>
      <c r="AB107" s="84" t="s">
        <v>692</v>
      </c>
      <c r="AC107" s="84" t="s">
        <v>5977</v>
      </c>
      <c r="AD107" s="54" t="s">
        <v>692</v>
      </c>
    </row>
    <row r="108" spans="1:30" ht="6.75" customHeight="1" x14ac:dyDescent="0.25">
      <c r="A108" s="85">
        <v>108</v>
      </c>
      <c r="B108" s="59" t="s">
        <v>5419</v>
      </c>
      <c r="C108" s="59" t="s">
        <v>5421</v>
      </c>
      <c r="D108" s="59" t="s">
        <v>1385</v>
      </c>
      <c r="E108" s="59" t="s">
        <v>1478</v>
      </c>
      <c r="F108" s="61" t="s">
        <v>1491</v>
      </c>
      <c r="G108" s="81" t="s">
        <v>692</v>
      </c>
      <c r="H108" s="81" t="s">
        <v>692</v>
      </c>
      <c r="I108" s="81" t="s">
        <v>692</v>
      </c>
      <c r="J108" s="81" t="s">
        <v>692</v>
      </c>
      <c r="K108" s="81" t="s">
        <v>692</v>
      </c>
      <c r="L108" s="53" t="str">
        <f t="shared" si="18"/>
        <v>Espaciais</v>
      </c>
      <c r="M108" s="53" t="str">
        <f t="shared" si="18"/>
        <v>Ambientes</v>
      </c>
      <c r="N108" s="53" t="str">
        <f t="shared" si="17"/>
        <v>Teatrais</v>
      </c>
      <c r="O108" s="53" t="str">
        <f t="shared" si="17"/>
        <v>Proscênio</v>
      </c>
      <c r="P108" s="54" t="s">
        <v>1492</v>
      </c>
      <c r="Q108" s="54" t="s">
        <v>1493</v>
      </c>
      <c r="R108" s="54" t="s">
        <v>6107</v>
      </c>
      <c r="S108" s="54" t="s">
        <v>692</v>
      </c>
      <c r="T108" s="55" t="str">
        <f t="shared" si="20"/>
        <v>Espaciais</v>
      </c>
      <c r="U108" s="55" t="str">
        <f t="shared" si="20"/>
        <v>Ambientes</v>
      </c>
      <c r="V108" s="55" t="str">
        <f t="shared" si="20"/>
        <v>Teatrais</v>
      </c>
      <c r="W108" s="54" t="s">
        <v>7259</v>
      </c>
      <c r="X108" s="84" t="str">
        <f t="shared" si="19"/>
        <v>Key-COD-CT-108</v>
      </c>
      <c r="Y108" s="84" t="s">
        <v>5979</v>
      </c>
      <c r="Z108" s="84" t="s">
        <v>692</v>
      </c>
      <c r="AA108" s="84" t="s">
        <v>5455</v>
      </c>
      <c r="AB108" s="84" t="s">
        <v>692</v>
      </c>
      <c r="AC108" s="84" t="s">
        <v>5977</v>
      </c>
      <c r="AD108" s="54" t="s">
        <v>692</v>
      </c>
    </row>
    <row r="109" spans="1:30" ht="6.75" customHeight="1" x14ac:dyDescent="0.25">
      <c r="A109" s="85">
        <v>109</v>
      </c>
      <c r="B109" s="59" t="s">
        <v>5419</v>
      </c>
      <c r="C109" s="59" t="s">
        <v>5421</v>
      </c>
      <c r="D109" s="59" t="s">
        <v>1385</v>
      </c>
      <c r="E109" s="59" t="s">
        <v>1478</v>
      </c>
      <c r="F109" s="61" t="s">
        <v>1494</v>
      </c>
      <c r="G109" s="81" t="s">
        <v>692</v>
      </c>
      <c r="H109" s="81" t="s">
        <v>692</v>
      </c>
      <c r="I109" s="81" t="s">
        <v>692</v>
      </c>
      <c r="J109" s="81" t="s">
        <v>692</v>
      </c>
      <c r="K109" s="81" t="s">
        <v>692</v>
      </c>
      <c r="L109" s="53" t="str">
        <f t="shared" si="18"/>
        <v>Espaciais</v>
      </c>
      <c r="M109" s="53" t="str">
        <f t="shared" si="18"/>
        <v>Ambientes</v>
      </c>
      <c r="N109" s="53" t="str">
        <f t="shared" si="17"/>
        <v>Teatrais</v>
      </c>
      <c r="O109" s="53" t="str">
        <f t="shared" si="17"/>
        <v>Palco</v>
      </c>
      <c r="P109" s="54" t="s">
        <v>1495</v>
      </c>
      <c r="Q109" s="54" t="s">
        <v>1496</v>
      </c>
      <c r="R109" s="54" t="s">
        <v>6108</v>
      </c>
      <c r="S109" s="54" t="s">
        <v>692</v>
      </c>
      <c r="T109" s="55" t="str">
        <f t="shared" si="20"/>
        <v>Espaciais</v>
      </c>
      <c r="U109" s="55" t="str">
        <f t="shared" si="20"/>
        <v>Ambientes</v>
      </c>
      <c r="V109" s="55" t="str">
        <f t="shared" si="20"/>
        <v>Teatrais</v>
      </c>
      <c r="W109" s="54" t="s">
        <v>7259</v>
      </c>
      <c r="X109" s="84" t="str">
        <f t="shared" si="19"/>
        <v>Key-COD-CT-109</v>
      </c>
      <c r="Y109" s="84" t="s">
        <v>5979</v>
      </c>
      <c r="Z109" s="84" t="s">
        <v>692</v>
      </c>
      <c r="AA109" s="84" t="s">
        <v>5455</v>
      </c>
      <c r="AB109" s="84" t="s">
        <v>692</v>
      </c>
      <c r="AC109" s="84" t="s">
        <v>5977</v>
      </c>
      <c r="AD109" s="54" t="s">
        <v>692</v>
      </c>
    </row>
    <row r="110" spans="1:30" ht="6.75" customHeight="1" x14ac:dyDescent="0.25">
      <c r="A110" s="85">
        <v>110</v>
      </c>
      <c r="B110" s="59" t="s">
        <v>5419</v>
      </c>
      <c r="C110" s="59" t="s">
        <v>5421</v>
      </c>
      <c r="D110" s="59" t="s">
        <v>1385</v>
      </c>
      <c r="E110" s="59" t="s">
        <v>1478</v>
      </c>
      <c r="F110" s="61" t="s">
        <v>1497</v>
      </c>
      <c r="G110" s="81" t="s">
        <v>692</v>
      </c>
      <c r="H110" s="81" t="s">
        <v>692</v>
      </c>
      <c r="I110" s="81" t="s">
        <v>692</v>
      </c>
      <c r="J110" s="81" t="s">
        <v>692</v>
      </c>
      <c r="K110" s="81" t="s">
        <v>692</v>
      </c>
      <c r="L110" s="53" t="str">
        <f t="shared" si="18"/>
        <v>Espaciais</v>
      </c>
      <c r="M110" s="53" t="str">
        <f t="shared" si="18"/>
        <v>Ambientes</v>
      </c>
      <c r="N110" s="53" t="str">
        <f t="shared" si="17"/>
        <v>Teatrais</v>
      </c>
      <c r="O110" s="53" t="str">
        <f t="shared" si="17"/>
        <v>Fundo do Palco</v>
      </c>
      <c r="P110" s="54" t="s">
        <v>1498</v>
      </c>
      <c r="Q110" s="54" t="s">
        <v>1499</v>
      </c>
      <c r="R110" s="54" t="s">
        <v>6109</v>
      </c>
      <c r="S110" s="54" t="s">
        <v>692</v>
      </c>
      <c r="T110" s="55" t="str">
        <f t="shared" si="20"/>
        <v>Espaciais</v>
      </c>
      <c r="U110" s="55" t="str">
        <f t="shared" si="20"/>
        <v>Ambientes</v>
      </c>
      <c r="V110" s="55" t="str">
        <f t="shared" si="20"/>
        <v>Teatrais</v>
      </c>
      <c r="W110" s="54" t="s">
        <v>7259</v>
      </c>
      <c r="X110" s="84" t="str">
        <f t="shared" si="19"/>
        <v>Key-COD-CT-110</v>
      </c>
      <c r="Y110" s="84" t="s">
        <v>5979</v>
      </c>
      <c r="Z110" s="84" t="s">
        <v>692</v>
      </c>
      <c r="AA110" s="84" t="s">
        <v>5455</v>
      </c>
      <c r="AB110" s="84" t="s">
        <v>692</v>
      </c>
      <c r="AC110" s="84" t="s">
        <v>5977</v>
      </c>
      <c r="AD110" s="54" t="s">
        <v>692</v>
      </c>
    </row>
    <row r="111" spans="1:30" ht="6.75" customHeight="1" x14ac:dyDescent="0.25">
      <c r="A111" s="85">
        <v>111</v>
      </c>
      <c r="B111" s="59" t="s">
        <v>5419</v>
      </c>
      <c r="C111" s="59" t="s">
        <v>5421</v>
      </c>
      <c r="D111" s="59" t="s">
        <v>1385</v>
      </c>
      <c r="E111" s="59" t="s">
        <v>1478</v>
      </c>
      <c r="F111" s="61" t="s">
        <v>1500</v>
      </c>
      <c r="G111" s="81" t="s">
        <v>692</v>
      </c>
      <c r="H111" s="81" t="s">
        <v>692</v>
      </c>
      <c r="I111" s="81" t="s">
        <v>692</v>
      </c>
      <c r="J111" s="81" t="s">
        <v>692</v>
      </c>
      <c r="K111" s="81" t="s">
        <v>692</v>
      </c>
      <c r="L111" s="53" t="str">
        <f t="shared" si="18"/>
        <v>Espaciais</v>
      </c>
      <c r="M111" s="53" t="str">
        <f t="shared" si="18"/>
        <v>Ambientes</v>
      </c>
      <c r="N111" s="53" t="str">
        <f t="shared" si="17"/>
        <v>Teatrais</v>
      </c>
      <c r="O111" s="53" t="str">
        <f t="shared" si="17"/>
        <v>Coxia</v>
      </c>
      <c r="P111" s="54" t="s">
        <v>1501</v>
      </c>
      <c r="Q111" s="54" t="s">
        <v>1502</v>
      </c>
      <c r="R111" s="54" t="s">
        <v>6110</v>
      </c>
      <c r="S111" s="54" t="s">
        <v>692</v>
      </c>
      <c r="T111" s="55" t="str">
        <f t="shared" si="20"/>
        <v>Espaciais</v>
      </c>
      <c r="U111" s="55" t="str">
        <f t="shared" si="20"/>
        <v>Ambientes</v>
      </c>
      <c r="V111" s="55" t="str">
        <f t="shared" si="20"/>
        <v>Teatrais</v>
      </c>
      <c r="W111" s="54" t="s">
        <v>7259</v>
      </c>
      <c r="X111" s="84" t="str">
        <f t="shared" si="19"/>
        <v>Key-COD-CT-111</v>
      </c>
      <c r="Y111" s="84" t="s">
        <v>5979</v>
      </c>
      <c r="Z111" s="84" t="s">
        <v>692</v>
      </c>
      <c r="AA111" s="84" t="s">
        <v>5455</v>
      </c>
      <c r="AB111" s="84" t="s">
        <v>692</v>
      </c>
      <c r="AC111" s="84" t="s">
        <v>5977</v>
      </c>
      <c r="AD111" s="54" t="s">
        <v>692</v>
      </c>
    </row>
    <row r="112" spans="1:30" ht="6.75" customHeight="1" x14ac:dyDescent="0.25">
      <c r="A112" s="85">
        <v>112</v>
      </c>
      <c r="B112" s="59" t="s">
        <v>5419</v>
      </c>
      <c r="C112" s="59" t="s">
        <v>5421</v>
      </c>
      <c r="D112" s="59" t="s">
        <v>1385</v>
      </c>
      <c r="E112" s="59" t="s">
        <v>1478</v>
      </c>
      <c r="F112" s="61" t="s">
        <v>1503</v>
      </c>
      <c r="G112" s="81" t="s">
        <v>692</v>
      </c>
      <c r="H112" s="81" t="s">
        <v>692</v>
      </c>
      <c r="I112" s="81" t="s">
        <v>692</v>
      </c>
      <c r="J112" s="81" t="s">
        <v>692</v>
      </c>
      <c r="K112" s="81" t="s">
        <v>692</v>
      </c>
      <c r="L112" s="53" t="str">
        <f t="shared" si="18"/>
        <v>Espaciais</v>
      </c>
      <c r="M112" s="53" t="str">
        <f t="shared" si="18"/>
        <v>Ambientes</v>
      </c>
      <c r="N112" s="53" t="str">
        <f t="shared" si="17"/>
        <v>Teatrais</v>
      </c>
      <c r="O112" s="53" t="str">
        <f t="shared" si="17"/>
        <v>Foso</v>
      </c>
      <c r="P112" s="54" t="s">
        <v>1504</v>
      </c>
      <c r="Q112" s="54" t="s">
        <v>1505</v>
      </c>
      <c r="R112" s="54" t="s">
        <v>6111</v>
      </c>
      <c r="S112" s="54" t="s">
        <v>692</v>
      </c>
      <c r="T112" s="55" t="str">
        <f t="shared" si="20"/>
        <v>Espaciais</v>
      </c>
      <c r="U112" s="55" t="str">
        <f t="shared" si="20"/>
        <v>Ambientes</v>
      </c>
      <c r="V112" s="55" t="str">
        <f t="shared" si="20"/>
        <v>Teatrais</v>
      </c>
      <c r="W112" s="54" t="s">
        <v>7259</v>
      </c>
      <c r="X112" s="84" t="str">
        <f t="shared" si="19"/>
        <v>Key-COD-CT-112</v>
      </c>
      <c r="Y112" s="84" t="s">
        <v>5979</v>
      </c>
      <c r="Z112" s="84" t="s">
        <v>692</v>
      </c>
      <c r="AA112" s="84" t="s">
        <v>5455</v>
      </c>
      <c r="AB112" s="84" t="s">
        <v>692</v>
      </c>
      <c r="AC112" s="84" t="s">
        <v>5977</v>
      </c>
      <c r="AD112" s="54" t="s">
        <v>692</v>
      </c>
    </row>
    <row r="113" spans="1:30" ht="6.75" customHeight="1" x14ac:dyDescent="0.25">
      <c r="A113" s="85">
        <v>113</v>
      </c>
      <c r="B113" s="59" t="s">
        <v>5419</v>
      </c>
      <c r="C113" s="59" t="s">
        <v>5421</v>
      </c>
      <c r="D113" s="59" t="s">
        <v>1385</v>
      </c>
      <c r="E113" s="59" t="s">
        <v>1478</v>
      </c>
      <c r="F113" s="61" t="s">
        <v>1506</v>
      </c>
      <c r="G113" s="81" t="s">
        <v>692</v>
      </c>
      <c r="H113" s="81" t="s">
        <v>692</v>
      </c>
      <c r="I113" s="81" t="s">
        <v>692</v>
      </c>
      <c r="J113" s="81" t="s">
        <v>692</v>
      </c>
      <c r="K113" s="81" t="s">
        <v>692</v>
      </c>
      <c r="L113" s="53" t="str">
        <f t="shared" si="18"/>
        <v>Espaciais</v>
      </c>
      <c r="M113" s="53" t="str">
        <f t="shared" si="18"/>
        <v>Ambientes</v>
      </c>
      <c r="N113" s="53" t="str">
        <f t="shared" si="17"/>
        <v>Teatrais</v>
      </c>
      <c r="O113" s="53" t="str">
        <f t="shared" si="17"/>
        <v>Plateia</v>
      </c>
      <c r="P113" s="54" t="s">
        <v>1507</v>
      </c>
      <c r="Q113" s="54" t="s">
        <v>1508</v>
      </c>
      <c r="R113" s="54" t="s">
        <v>6112</v>
      </c>
      <c r="S113" s="54" t="s">
        <v>692</v>
      </c>
      <c r="T113" s="55" t="str">
        <f t="shared" si="20"/>
        <v>Espaciais</v>
      </c>
      <c r="U113" s="55" t="str">
        <f t="shared" si="20"/>
        <v>Ambientes</v>
      </c>
      <c r="V113" s="55" t="str">
        <f t="shared" si="20"/>
        <v>Teatrais</v>
      </c>
      <c r="W113" s="54" t="s">
        <v>7259</v>
      </c>
      <c r="X113" s="84" t="str">
        <f t="shared" si="19"/>
        <v>Key-COD-CT-113</v>
      </c>
      <c r="Y113" s="84" t="s">
        <v>5979</v>
      </c>
      <c r="Z113" s="84" t="s">
        <v>692</v>
      </c>
      <c r="AA113" s="84" t="s">
        <v>5455</v>
      </c>
      <c r="AB113" s="84" t="s">
        <v>692</v>
      </c>
      <c r="AC113" s="84" t="s">
        <v>5977</v>
      </c>
      <c r="AD113" s="54" t="s">
        <v>692</v>
      </c>
    </row>
    <row r="114" spans="1:30" ht="6.75" customHeight="1" x14ac:dyDescent="0.25">
      <c r="A114" s="85">
        <v>114</v>
      </c>
      <c r="B114" s="59" t="s">
        <v>5419</v>
      </c>
      <c r="C114" s="59" t="s">
        <v>5421</v>
      </c>
      <c r="D114" s="59" t="s">
        <v>1385</v>
      </c>
      <c r="E114" s="59" t="s">
        <v>1478</v>
      </c>
      <c r="F114" s="61" t="s">
        <v>1509</v>
      </c>
      <c r="G114" s="81" t="s">
        <v>692</v>
      </c>
      <c r="H114" s="81" t="s">
        <v>692</v>
      </c>
      <c r="I114" s="81" t="s">
        <v>692</v>
      </c>
      <c r="J114" s="81" t="s">
        <v>692</v>
      </c>
      <c r="K114" s="81" t="s">
        <v>692</v>
      </c>
      <c r="L114" s="53" t="str">
        <f t="shared" si="18"/>
        <v>Espaciais</v>
      </c>
      <c r="M114" s="53" t="str">
        <f t="shared" si="18"/>
        <v>Ambientes</v>
      </c>
      <c r="N114" s="53" t="str">
        <f t="shared" si="17"/>
        <v>Teatrais</v>
      </c>
      <c r="O114" s="53" t="str">
        <f t="shared" si="17"/>
        <v>Balção</v>
      </c>
      <c r="P114" s="54" t="s">
        <v>1510</v>
      </c>
      <c r="Q114" s="54" t="s">
        <v>1511</v>
      </c>
      <c r="R114" s="54" t="s">
        <v>6113</v>
      </c>
      <c r="S114" s="54" t="s">
        <v>692</v>
      </c>
      <c r="T114" s="55" t="str">
        <f t="shared" si="20"/>
        <v>Espaciais</v>
      </c>
      <c r="U114" s="55" t="str">
        <f t="shared" si="20"/>
        <v>Ambientes</v>
      </c>
      <c r="V114" s="55" t="str">
        <f t="shared" si="20"/>
        <v>Teatrais</v>
      </c>
      <c r="W114" s="54" t="s">
        <v>7259</v>
      </c>
      <c r="X114" s="84" t="str">
        <f t="shared" si="19"/>
        <v>Key-COD-CT-114</v>
      </c>
      <c r="Y114" s="84" t="s">
        <v>5979</v>
      </c>
      <c r="Z114" s="84" t="s">
        <v>692</v>
      </c>
      <c r="AA114" s="84" t="s">
        <v>5455</v>
      </c>
      <c r="AB114" s="84" t="s">
        <v>692</v>
      </c>
      <c r="AC114" s="84" t="s">
        <v>5977</v>
      </c>
      <c r="AD114" s="54" t="s">
        <v>692</v>
      </c>
    </row>
    <row r="115" spans="1:30" ht="6.75" customHeight="1" x14ac:dyDescent="0.25">
      <c r="A115" s="85">
        <v>115</v>
      </c>
      <c r="B115" s="59" t="s">
        <v>5419</v>
      </c>
      <c r="C115" s="59" t="s">
        <v>5421</v>
      </c>
      <c r="D115" s="59" t="s">
        <v>1385</v>
      </c>
      <c r="E115" s="59" t="s">
        <v>1478</v>
      </c>
      <c r="F115" s="61" t="s">
        <v>1512</v>
      </c>
      <c r="G115" s="81" t="s">
        <v>692</v>
      </c>
      <c r="H115" s="81" t="s">
        <v>692</v>
      </c>
      <c r="I115" s="81" t="s">
        <v>692</v>
      </c>
      <c r="J115" s="81" t="s">
        <v>692</v>
      </c>
      <c r="K115" s="81" t="s">
        <v>692</v>
      </c>
      <c r="L115" s="53" t="str">
        <f t="shared" si="18"/>
        <v>Espaciais</v>
      </c>
      <c r="M115" s="53" t="str">
        <f t="shared" si="18"/>
        <v>Ambientes</v>
      </c>
      <c r="N115" s="53" t="str">
        <f t="shared" si="17"/>
        <v>Teatrais</v>
      </c>
      <c r="O115" s="53" t="str">
        <f t="shared" si="17"/>
        <v>Camarote</v>
      </c>
      <c r="P115" s="54" t="s">
        <v>1513</v>
      </c>
      <c r="Q115" s="54" t="s">
        <v>1514</v>
      </c>
      <c r="R115" s="54" t="s">
        <v>6114</v>
      </c>
      <c r="S115" s="54" t="s">
        <v>692</v>
      </c>
      <c r="T115" s="55" t="str">
        <f t="shared" si="20"/>
        <v>Espaciais</v>
      </c>
      <c r="U115" s="55" t="str">
        <f t="shared" si="20"/>
        <v>Ambientes</v>
      </c>
      <c r="V115" s="55" t="str">
        <f t="shared" si="20"/>
        <v>Teatrais</v>
      </c>
      <c r="W115" s="54" t="s">
        <v>7259</v>
      </c>
      <c r="X115" s="84" t="str">
        <f t="shared" si="19"/>
        <v>Key-COD-CT-115</v>
      </c>
      <c r="Y115" s="84" t="s">
        <v>5979</v>
      </c>
      <c r="Z115" s="84" t="s">
        <v>692</v>
      </c>
      <c r="AA115" s="84" t="s">
        <v>5455</v>
      </c>
      <c r="AB115" s="84" t="s">
        <v>692</v>
      </c>
      <c r="AC115" s="84" t="s">
        <v>5977</v>
      </c>
      <c r="AD115" s="54" t="s">
        <v>692</v>
      </c>
    </row>
    <row r="116" spans="1:30" ht="6.75" customHeight="1" x14ac:dyDescent="0.25">
      <c r="A116" s="85">
        <v>116</v>
      </c>
      <c r="B116" s="59" t="s">
        <v>5419</v>
      </c>
      <c r="C116" s="59" t="s">
        <v>5421</v>
      </c>
      <c r="D116" s="59" t="s">
        <v>1385</v>
      </c>
      <c r="E116" s="59" t="s">
        <v>1478</v>
      </c>
      <c r="F116" s="61" t="s">
        <v>1515</v>
      </c>
      <c r="G116" s="81" t="s">
        <v>692</v>
      </c>
      <c r="H116" s="81" t="s">
        <v>692</v>
      </c>
      <c r="I116" s="81" t="s">
        <v>692</v>
      </c>
      <c r="J116" s="81" t="s">
        <v>692</v>
      </c>
      <c r="K116" s="81" t="s">
        <v>692</v>
      </c>
      <c r="L116" s="53" t="str">
        <f t="shared" si="18"/>
        <v>Espaciais</v>
      </c>
      <c r="M116" s="53" t="str">
        <f t="shared" si="18"/>
        <v>Ambientes</v>
      </c>
      <c r="N116" s="53" t="str">
        <f t="shared" si="17"/>
        <v>Teatrais</v>
      </c>
      <c r="O116" s="53" t="str">
        <f t="shared" si="17"/>
        <v>Galeria</v>
      </c>
      <c r="P116" s="54" t="s">
        <v>1516</v>
      </c>
      <c r="Q116" s="54" t="s">
        <v>1517</v>
      </c>
      <c r="R116" s="54" t="s">
        <v>6115</v>
      </c>
      <c r="S116" s="54" t="s">
        <v>692</v>
      </c>
      <c r="T116" s="55" t="str">
        <f t="shared" si="20"/>
        <v>Espaciais</v>
      </c>
      <c r="U116" s="55" t="str">
        <f t="shared" si="20"/>
        <v>Ambientes</v>
      </c>
      <c r="V116" s="55" t="str">
        <f t="shared" si="20"/>
        <v>Teatrais</v>
      </c>
      <c r="W116" s="54" t="s">
        <v>7259</v>
      </c>
      <c r="X116" s="84" t="str">
        <f t="shared" si="19"/>
        <v>Key-COD-CT-116</v>
      </c>
      <c r="Y116" s="84" t="s">
        <v>5979</v>
      </c>
      <c r="Z116" s="84" t="s">
        <v>692</v>
      </c>
      <c r="AA116" s="84" t="s">
        <v>5455</v>
      </c>
      <c r="AB116" s="84" t="s">
        <v>692</v>
      </c>
      <c r="AC116" s="84" t="s">
        <v>5977</v>
      </c>
      <c r="AD116" s="54" t="s">
        <v>692</v>
      </c>
    </row>
    <row r="117" spans="1:30" ht="6.75" customHeight="1" x14ac:dyDescent="0.25">
      <c r="A117" s="85">
        <v>117</v>
      </c>
      <c r="B117" s="59" t="s">
        <v>5419</v>
      </c>
      <c r="C117" s="59" t="s">
        <v>5421</v>
      </c>
      <c r="D117" s="59" t="s">
        <v>1518</v>
      </c>
      <c r="E117" s="59" t="s">
        <v>1519</v>
      </c>
      <c r="F117" s="61" t="s">
        <v>1520</v>
      </c>
      <c r="G117" s="81" t="s">
        <v>692</v>
      </c>
      <c r="H117" s="81" t="s">
        <v>692</v>
      </c>
      <c r="I117" s="81" t="s">
        <v>692</v>
      </c>
      <c r="J117" s="81" t="s">
        <v>692</v>
      </c>
      <c r="K117" s="81" t="s">
        <v>692</v>
      </c>
      <c r="L117" s="53" t="str">
        <f t="shared" si="18"/>
        <v>Espaciais</v>
      </c>
      <c r="M117" s="53" t="str">
        <f t="shared" si="18"/>
        <v>Unidades.Prediais</v>
      </c>
      <c r="N117" s="53" t="str">
        <f t="shared" si="17"/>
        <v>Autônomas</v>
      </c>
      <c r="O117" s="53" t="str">
        <f t="shared" si="17"/>
        <v>Apartamento</v>
      </c>
      <c r="P117" s="54" t="s">
        <v>1521</v>
      </c>
      <c r="Q117" s="54" t="s">
        <v>1522</v>
      </c>
      <c r="R117" s="54" t="s">
        <v>6116</v>
      </c>
      <c r="S117" s="54" t="s">
        <v>692</v>
      </c>
      <c r="T117" s="55" t="str">
        <f t="shared" si="20"/>
        <v>Espaciais</v>
      </c>
      <c r="U117" s="55" t="str">
        <f t="shared" si="20"/>
        <v>Unidades Prediais</v>
      </c>
      <c r="V117" s="55" t="str">
        <f t="shared" si="20"/>
        <v>Autônomas</v>
      </c>
      <c r="W117" s="54" t="s">
        <v>7259</v>
      </c>
      <c r="X117" s="84" t="str">
        <f t="shared" si="19"/>
        <v>Key-COD-CT-117</v>
      </c>
      <c r="Y117" s="84" t="s">
        <v>5979</v>
      </c>
      <c r="Z117" s="84" t="s">
        <v>692</v>
      </c>
      <c r="AA117" s="84" t="s">
        <v>5640</v>
      </c>
      <c r="AB117" s="84" t="s">
        <v>692</v>
      </c>
      <c r="AC117" s="84" t="s">
        <v>5977</v>
      </c>
      <c r="AD117" s="54" t="s">
        <v>692</v>
      </c>
    </row>
    <row r="118" spans="1:30" ht="6.75" customHeight="1" x14ac:dyDescent="0.25">
      <c r="A118" s="85">
        <v>118</v>
      </c>
      <c r="B118" s="59" t="s">
        <v>5419</v>
      </c>
      <c r="C118" s="59" t="s">
        <v>5421</v>
      </c>
      <c r="D118" s="59" t="s">
        <v>1518</v>
      </c>
      <c r="E118" s="59" t="s">
        <v>1519</v>
      </c>
      <c r="F118" s="61" t="s">
        <v>1523</v>
      </c>
      <c r="G118" s="81" t="s">
        <v>692</v>
      </c>
      <c r="H118" s="81" t="s">
        <v>692</v>
      </c>
      <c r="I118" s="81" t="s">
        <v>692</v>
      </c>
      <c r="J118" s="81" t="s">
        <v>692</v>
      </c>
      <c r="K118" s="81" t="s">
        <v>692</v>
      </c>
      <c r="L118" s="53" t="str">
        <f t="shared" si="18"/>
        <v>Espaciais</v>
      </c>
      <c r="M118" s="53" t="str">
        <f t="shared" si="18"/>
        <v>Unidades.Prediais</v>
      </c>
      <c r="N118" s="53" t="str">
        <f t="shared" si="17"/>
        <v>Autônomas</v>
      </c>
      <c r="O118" s="53" t="str">
        <f t="shared" si="17"/>
        <v>Corpo Edificado</v>
      </c>
      <c r="P118" s="54" t="s">
        <v>1524</v>
      </c>
      <c r="Q118" s="54" t="s">
        <v>1525</v>
      </c>
      <c r="R118" s="54" t="s">
        <v>6117</v>
      </c>
      <c r="S118" s="54" t="s">
        <v>692</v>
      </c>
      <c r="T118" s="55" t="str">
        <f t="shared" si="20"/>
        <v>Espaciais</v>
      </c>
      <c r="U118" s="55" t="str">
        <f t="shared" si="20"/>
        <v>Unidades Prediais</v>
      </c>
      <c r="V118" s="55" t="str">
        <f t="shared" si="20"/>
        <v>Autônomas</v>
      </c>
      <c r="W118" s="54" t="s">
        <v>7259</v>
      </c>
      <c r="X118" s="84" t="str">
        <f t="shared" si="19"/>
        <v>Key-COD-CT-118</v>
      </c>
      <c r="Y118" s="84" t="s">
        <v>5979</v>
      </c>
      <c r="Z118" s="84" t="s">
        <v>692</v>
      </c>
      <c r="AA118" s="84" t="s">
        <v>5640</v>
      </c>
      <c r="AB118" s="84" t="s">
        <v>692</v>
      </c>
      <c r="AC118" s="84" t="s">
        <v>5977</v>
      </c>
      <c r="AD118" s="54" t="s">
        <v>692</v>
      </c>
    </row>
    <row r="119" spans="1:30" ht="6.75" customHeight="1" x14ac:dyDescent="0.25">
      <c r="A119" s="85">
        <v>119</v>
      </c>
      <c r="B119" s="59" t="s">
        <v>5419</v>
      </c>
      <c r="C119" s="59" t="s">
        <v>5421</v>
      </c>
      <c r="D119" s="59" t="s">
        <v>1518</v>
      </c>
      <c r="E119" s="59" t="s">
        <v>1519</v>
      </c>
      <c r="F119" s="61" t="s">
        <v>1526</v>
      </c>
      <c r="G119" s="81" t="s">
        <v>692</v>
      </c>
      <c r="H119" s="81" t="s">
        <v>692</v>
      </c>
      <c r="I119" s="81" t="s">
        <v>692</v>
      </c>
      <c r="J119" s="81" t="s">
        <v>692</v>
      </c>
      <c r="K119" s="81" t="s">
        <v>692</v>
      </c>
      <c r="L119" s="53" t="str">
        <f t="shared" si="18"/>
        <v>Espaciais</v>
      </c>
      <c r="M119" s="53" t="str">
        <f t="shared" si="18"/>
        <v>Unidades.Prediais</v>
      </c>
      <c r="N119" s="53" t="str">
        <f t="shared" si="17"/>
        <v>Autônomas</v>
      </c>
      <c r="O119" s="53" t="str">
        <f t="shared" si="17"/>
        <v>Loft</v>
      </c>
      <c r="P119" s="54" t="s">
        <v>1521</v>
      </c>
      <c r="Q119" s="54" t="s">
        <v>3648</v>
      </c>
      <c r="R119" s="54" t="s">
        <v>6116</v>
      </c>
      <c r="S119" s="54" t="s">
        <v>692</v>
      </c>
      <c r="T119" s="55" t="str">
        <f t="shared" si="20"/>
        <v>Espaciais</v>
      </c>
      <c r="U119" s="55" t="str">
        <f t="shared" si="20"/>
        <v>Unidades Prediais</v>
      </c>
      <c r="V119" s="55" t="str">
        <f t="shared" si="20"/>
        <v>Autônomas</v>
      </c>
      <c r="W119" s="54" t="s">
        <v>7259</v>
      </c>
      <c r="X119" s="84" t="str">
        <f t="shared" si="19"/>
        <v>Key-COD-CT-119</v>
      </c>
      <c r="Y119" s="84" t="s">
        <v>5979</v>
      </c>
      <c r="Z119" s="84" t="s">
        <v>692</v>
      </c>
      <c r="AA119" s="84" t="s">
        <v>5640</v>
      </c>
      <c r="AB119" s="84" t="s">
        <v>692</v>
      </c>
      <c r="AC119" s="84" t="s">
        <v>5977</v>
      </c>
      <c r="AD119" s="54" t="s">
        <v>692</v>
      </c>
    </row>
    <row r="120" spans="1:30" ht="6.75" customHeight="1" x14ac:dyDescent="0.25">
      <c r="A120" s="85">
        <v>120</v>
      </c>
      <c r="B120" s="59" t="s">
        <v>5419</v>
      </c>
      <c r="C120" s="59" t="s">
        <v>5421</v>
      </c>
      <c r="D120" s="59" t="s">
        <v>3635</v>
      </c>
      <c r="E120" s="59" t="s">
        <v>3634</v>
      </c>
      <c r="F120" s="28" t="s">
        <v>3638</v>
      </c>
      <c r="G120" s="81" t="s">
        <v>692</v>
      </c>
      <c r="H120" s="81" t="s">
        <v>692</v>
      </c>
      <c r="I120" s="81" t="s">
        <v>692</v>
      </c>
      <c r="J120" s="81" t="s">
        <v>692</v>
      </c>
      <c r="K120" s="81" t="s">
        <v>692</v>
      </c>
      <c r="L120" s="53" t="str">
        <f t="shared" ref="L120" si="21">CONCATENATE("", C120)</f>
        <v>Espaciais</v>
      </c>
      <c r="M120" s="53" t="str">
        <f t="shared" ref="M120" si="22">CONCATENATE("", D120)</f>
        <v>Unidades.Lógicas</v>
      </c>
      <c r="N120" s="53" t="str">
        <f t="shared" ref="N120" si="23">(SUBSTITUTE(SUBSTITUTE(CONCATENATE("",E120),"."," ")," De "," de "))</f>
        <v>Divisões</v>
      </c>
      <c r="O120" s="53" t="str">
        <f t="shared" ref="O120" si="24">(SUBSTITUTE(SUBSTITUTE(CONCATENATE("",F120),"."," ")," De "," de "))</f>
        <v>Órgão</v>
      </c>
      <c r="P120" s="54" t="s">
        <v>3673</v>
      </c>
      <c r="Q120" s="54" t="s">
        <v>3674</v>
      </c>
      <c r="R120" s="54" t="s">
        <v>6118</v>
      </c>
      <c r="S120" s="54" t="s">
        <v>692</v>
      </c>
      <c r="T120" s="55" t="str">
        <f t="shared" ref="T120" si="25">SUBSTITUTE(C120, ".", " ")</f>
        <v>Espaciais</v>
      </c>
      <c r="U120" s="55" t="str">
        <f t="shared" ref="U120" si="26">SUBSTITUTE(D120, ".", " ")</f>
        <v>Unidades Lógicas</v>
      </c>
      <c r="V120" s="55" t="str">
        <f t="shared" ref="V120" si="27">SUBSTITUTE(E120, ".", " ")</f>
        <v>Divisões</v>
      </c>
      <c r="W120" s="54" t="s">
        <v>7259</v>
      </c>
      <c r="X120" s="84" t="str">
        <f t="shared" si="19"/>
        <v>Key-COD-CT-120</v>
      </c>
      <c r="Y120" s="84" t="s">
        <v>5979</v>
      </c>
      <c r="Z120" s="84" t="s">
        <v>692</v>
      </c>
      <c r="AA120" s="84" t="s">
        <v>5640</v>
      </c>
      <c r="AB120" s="84" t="s">
        <v>692</v>
      </c>
      <c r="AC120" s="84" t="s">
        <v>5977</v>
      </c>
      <c r="AD120" s="54" t="s">
        <v>692</v>
      </c>
    </row>
    <row r="121" spans="1:30" ht="6.75" customHeight="1" x14ac:dyDescent="0.25">
      <c r="A121" s="85">
        <v>121</v>
      </c>
      <c r="B121" s="59" t="s">
        <v>5419</v>
      </c>
      <c r="C121" s="59" t="s">
        <v>5421</v>
      </c>
      <c r="D121" s="59" t="s">
        <v>3635</v>
      </c>
      <c r="E121" s="59" t="s">
        <v>3634</v>
      </c>
      <c r="F121" s="61" t="s">
        <v>3636</v>
      </c>
      <c r="G121" s="81" t="s">
        <v>692</v>
      </c>
      <c r="H121" s="81" t="s">
        <v>692</v>
      </c>
      <c r="I121" s="81" t="s">
        <v>692</v>
      </c>
      <c r="J121" s="81" t="s">
        <v>692</v>
      </c>
      <c r="K121" s="81" t="s">
        <v>692</v>
      </c>
      <c r="L121" s="53" t="str">
        <f t="shared" si="18"/>
        <v>Espaciais</v>
      </c>
      <c r="M121" s="53" t="str">
        <f t="shared" si="18"/>
        <v>Unidades.Lógicas</v>
      </c>
      <c r="N121" s="53" t="str">
        <f t="shared" si="17"/>
        <v>Divisões</v>
      </c>
      <c r="O121" s="53" t="str">
        <f t="shared" si="17"/>
        <v>Unidade Acadêmica</v>
      </c>
      <c r="P121" s="54" t="s">
        <v>3642</v>
      </c>
      <c r="Q121" s="54" t="s">
        <v>3649</v>
      </c>
      <c r="R121" s="54" t="s">
        <v>6119</v>
      </c>
      <c r="S121" s="54" t="s">
        <v>692</v>
      </c>
      <c r="T121" s="55" t="str">
        <f t="shared" ref="T121:T123" si="28">SUBSTITUTE(C121, ".", " ")</f>
        <v>Espaciais</v>
      </c>
      <c r="U121" s="55" t="str">
        <f t="shared" ref="U121:U123" si="29">SUBSTITUTE(D121, ".", " ")</f>
        <v>Unidades Lógicas</v>
      </c>
      <c r="V121" s="55" t="str">
        <f t="shared" ref="V121:V123" si="30">SUBSTITUTE(E121, ".", " ")</f>
        <v>Divisões</v>
      </c>
      <c r="W121" s="54" t="s">
        <v>7259</v>
      </c>
      <c r="X121" s="84" t="str">
        <f t="shared" si="19"/>
        <v>Key-COD-CT-121</v>
      </c>
      <c r="Y121" s="84" t="s">
        <v>5979</v>
      </c>
      <c r="Z121" s="84" t="s">
        <v>692</v>
      </c>
      <c r="AA121" s="84" t="s">
        <v>5640</v>
      </c>
      <c r="AB121" s="84" t="s">
        <v>692</v>
      </c>
      <c r="AC121" s="84" t="s">
        <v>5977</v>
      </c>
      <c r="AD121" s="54" t="s">
        <v>692</v>
      </c>
    </row>
    <row r="122" spans="1:30" ht="6.75" customHeight="1" x14ac:dyDescent="0.25">
      <c r="A122" s="85">
        <v>122</v>
      </c>
      <c r="B122" s="59" t="s">
        <v>5419</v>
      </c>
      <c r="C122" s="59" t="s">
        <v>5421</v>
      </c>
      <c r="D122" s="59" t="s">
        <v>3635</v>
      </c>
      <c r="E122" s="59" t="s">
        <v>3634</v>
      </c>
      <c r="F122" s="61" t="s">
        <v>3637</v>
      </c>
      <c r="G122" s="81" t="s">
        <v>692</v>
      </c>
      <c r="H122" s="81" t="s">
        <v>692</v>
      </c>
      <c r="I122" s="81" t="s">
        <v>692</v>
      </c>
      <c r="J122" s="81" t="s">
        <v>692</v>
      </c>
      <c r="K122" s="81" t="s">
        <v>692</v>
      </c>
      <c r="L122" s="53" t="str">
        <f t="shared" si="18"/>
        <v>Espaciais</v>
      </c>
      <c r="M122" s="53" t="str">
        <f t="shared" si="18"/>
        <v>Unidades.Lógicas</v>
      </c>
      <c r="N122" s="53" t="str">
        <f t="shared" si="17"/>
        <v>Divisões</v>
      </c>
      <c r="O122" s="53" t="str">
        <f t="shared" si="17"/>
        <v>Disciplina Acadêmica</v>
      </c>
      <c r="P122" s="54" t="s">
        <v>3643</v>
      </c>
      <c r="Q122" s="54" t="s">
        <v>3650</v>
      </c>
      <c r="R122" s="54" t="s">
        <v>6120</v>
      </c>
      <c r="S122" s="54" t="s">
        <v>692</v>
      </c>
      <c r="T122" s="55" t="str">
        <f t="shared" si="28"/>
        <v>Espaciais</v>
      </c>
      <c r="U122" s="55" t="str">
        <f t="shared" si="29"/>
        <v>Unidades Lógicas</v>
      </c>
      <c r="V122" s="55" t="str">
        <f t="shared" si="30"/>
        <v>Divisões</v>
      </c>
      <c r="W122" s="54" t="s">
        <v>7259</v>
      </c>
      <c r="X122" s="84" t="str">
        <f t="shared" si="19"/>
        <v>Key-COD-CT-122</v>
      </c>
      <c r="Y122" s="84" t="s">
        <v>5979</v>
      </c>
      <c r="Z122" s="84" t="s">
        <v>692</v>
      </c>
      <c r="AA122" s="84" t="s">
        <v>5640</v>
      </c>
      <c r="AB122" s="84" t="s">
        <v>692</v>
      </c>
      <c r="AC122" s="84" t="s">
        <v>5977</v>
      </c>
      <c r="AD122" s="54" t="s">
        <v>692</v>
      </c>
    </row>
    <row r="123" spans="1:30" ht="6.75" customHeight="1" x14ac:dyDescent="0.25">
      <c r="A123" s="85">
        <v>123</v>
      </c>
      <c r="B123" s="59" t="s">
        <v>5419</v>
      </c>
      <c r="C123" s="59" t="s">
        <v>5421</v>
      </c>
      <c r="D123" s="59" t="s">
        <v>3635</v>
      </c>
      <c r="E123" s="59" t="s">
        <v>3634</v>
      </c>
      <c r="F123" s="61" t="s">
        <v>3644</v>
      </c>
      <c r="G123" s="81" t="s">
        <v>692</v>
      </c>
      <c r="H123" s="81" t="s">
        <v>692</v>
      </c>
      <c r="I123" s="81" t="s">
        <v>692</v>
      </c>
      <c r="J123" s="81" t="s">
        <v>692</v>
      </c>
      <c r="K123" s="81" t="s">
        <v>692</v>
      </c>
      <c r="L123" s="53" t="str">
        <f t="shared" si="18"/>
        <v>Espaciais</v>
      </c>
      <c r="M123" s="53" t="str">
        <f t="shared" si="18"/>
        <v>Unidades.Lógicas</v>
      </c>
      <c r="N123" s="53" t="str">
        <f t="shared" si="17"/>
        <v>Divisões</v>
      </c>
      <c r="O123" s="53" t="str">
        <f t="shared" si="17"/>
        <v>Departamento Acadêmico</v>
      </c>
      <c r="P123" s="54" t="s">
        <v>3646</v>
      </c>
      <c r="Q123" s="54" t="s">
        <v>3651</v>
      </c>
      <c r="R123" s="54" t="s">
        <v>6121</v>
      </c>
      <c r="S123" s="54" t="s">
        <v>692</v>
      </c>
      <c r="T123" s="55" t="str">
        <f t="shared" si="28"/>
        <v>Espaciais</v>
      </c>
      <c r="U123" s="55" t="str">
        <f t="shared" si="29"/>
        <v>Unidades Lógicas</v>
      </c>
      <c r="V123" s="55" t="str">
        <f t="shared" si="30"/>
        <v>Divisões</v>
      </c>
      <c r="W123" s="54" t="s">
        <v>7259</v>
      </c>
      <c r="X123" s="84" t="str">
        <f t="shared" si="19"/>
        <v>Key-COD-CT-123</v>
      </c>
      <c r="Y123" s="84" t="s">
        <v>5979</v>
      </c>
      <c r="Z123" s="84" t="s">
        <v>692</v>
      </c>
      <c r="AA123" s="84" t="s">
        <v>5640</v>
      </c>
      <c r="AB123" s="84" t="s">
        <v>692</v>
      </c>
      <c r="AC123" s="84" t="s">
        <v>5977</v>
      </c>
      <c r="AD123" s="54" t="s">
        <v>692</v>
      </c>
    </row>
    <row r="124" spans="1:30" ht="6.75" customHeight="1" x14ac:dyDescent="0.25">
      <c r="A124" s="85">
        <v>124</v>
      </c>
      <c r="B124" s="59" t="s">
        <v>5419</v>
      </c>
      <c r="C124" s="59" t="s">
        <v>5421</v>
      </c>
      <c r="D124" s="59" t="s">
        <v>3635</v>
      </c>
      <c r="E124" s="59" t="s">
        <v>3634</v>
      </c>
      <c r="F124" s="61" t="s">
        <v>3645</v>
      </c>
      <c r="G124" s="81" t="s">
        <v>692</v>
      </c>
      <c r="H124" s="81" t="s">
        <v>692</v>
      </c>
      <c r="I124" s="81" t="s">
        <v>692</v>
      </c>
      <c r="J124" s="81" t="s">
        <v>692</v>
      </c>
      <c r="K124" s="81" t="s">
        <v>692</v>
      </c>
      <c r="L124" s="53" t="str">
        <f t="shared" ref="L124" si="31">CONCATENATE("", C124)</f>
        <v>Espaciais</v>
      </c>
      <c r="M124" s="53" t="str">
        <f t="shared" ref="M124" si="32">CONCATENATE("", D124)</f>
        <v>Unidades.Lógicas</v>
      </c>
      <c r="N124" s="53" t="str">
        <f t="shared" ref="N124" si="33">(SUBSTITUTE(SUBSTITUTE(CONCATENATE("",E124),"."," ")," De "," de "))</f>
        <v>Divisões</v>
      </c>
      <c r="O124" s="53" t="str">
        <f t="shared" ref="O124" si="34">(SUBSTITUTE(SUBSTITUTE(CONCATENATE("",F124),"."," ")," De "," de "))</f>
        <v>Programa de PósGraduação</v>
      </c>
      <c r="P124" s="54" t="s">
        <v>3647</v>
      </c>
      <c r="Q124" s="54" t="s">
        <v>3652</v>
      </c>
      <c r="R124" s="54" t="s">
        <v>6122</v>
      </c>
      <c r="S124" s="54" t="s">
        <v>692</v>
      </c>
      <c r="T124" s="55" t="str">
        <f t="shared" ref="T124:V124" si="35">SUBSTITUTE(C124, ".", " ")</f>
        <v>Espaciais</v>
      </c>
      <c r="U124" s="55" t="str">
        <f t="shared" si="35"/>
        <v>Unidades Lógicas</v>
      </c>
      <c r="V124" s="55" t="str">
        <f t="shared" si="35"/>
        <v>Divisões</v>
      </c>
      <c r="W124" s="54" t="s">
        <v>7259</v>
      </c>
      <c r="X124" s="84" t="str">
        <f t="shared" si="19"/>
        <v>Key-COD-CT-124</v>
      </c>
      <c r="Y124" s="84" t="s">
        <v>5979</v>
      </c>
      <c r="Z124" s="84" t="s">
        <v>692</v>
      </c>
      <c r="AA124" s="84" t="s">
        <v>5640</v>
      </c>
      <c r="AB124" s="84" t="s">
        <v>692</v>
      </c>
      <c r="AC124" s="84" t="s">
        <v>5977</v>
      </c>
      <c r="AD124" s="54" t="s">
        <v>692</v>
      </c>
    </row>
    <row r="125" spans="1:30" ht="6.75" customHeight="1" x14ac:dyDescent="0.25">
      <c r="A125" s="85">
        <v>125</v>
      </c>
      <c r="B125" s="59" t="s">
        <v>5419</v>
      </c>
      <c r="C125" s="59" t="s">
        <v>5421</v>
      </c>
      <c r="D125" s="59" t="s">
        <v>1527</v>
      </c>
      <c r="E125" s="59" t="s">
        <v>1528</v>
      </c>
      <c r="F125" s="61" t="s">
        <v>1529</v>
      </c>
      <c r="G125" s="81" t="s">
        <v>692</v>
      </c>
      <c r="H125" s="81" t="s">
        <v>692</v>
      </c>
      <c r="I125" s="81" t="s">
        <v>692</v>
      </c>
      <c r="J125" s="81" t="s">
        <v>692</v>
      </c>
      <c r="K125" s="81" t="s">
        <v>692</v>
      </c>
      <c r="L125" s="53" t="str">
        <f t="shared" si="18"/>
        <v>Espaciais</v>
      </c>
      <c r="M125" s="53" t="str">
        <f t="shared" si="18"/>
        <v>Zonificação</v>
      </c>
      <c r="N125" s="53" t="str">
        <f t="shared" si="17"/>
        <v>Zonas Construtivas</v>
      </c>
      <c r="O125" s="53" t="str">
        <f t="shared" si="17"/>
        <v>Zona Espacial</v>
      </c>
      <c r="P125" s="54" t="s">
        <v>1530</v>
      </c>
      <c r="Q125" s="54" t="s">
        <v>1531</v>
      </c>
      <c r="R125" s="54" t="s">
        <v>6123</v>
      </c>
      <c r="S125" s="54" t="s">
        <v>692</v>
      </c>
      <c r="T125" s="55" t="str">
        <f t="shared" si="20"/>
        <v>Espaciais</v>
      </c>
      <c r="U125" s="55" t="str">
        <f t="shared" si="20"/>
        <v>Zonificação</v>
      </c>
      <c r="V125" s="55" t="str">
        <f t="shared" si="20"/>
        <v>Zonas Construtivas</v>
      </c>
      <c r="W125" s="54" t="s">
        <v>7259</v>
      </c>
      <c r="X125" s="84" t="str">
        <f t="shared" si="19"/>
        <v>Key-COD-CT-125</v>
      </c>
      <c r="Y125" s="84" t="s">
        <v>5980</v>
      </c>
      <c r="Z125" s="84" t="s">
        <v>692</v>
      </c>
      <c r="AA125" s="84" t="s">
        <v>5641</v>
      </c>
      <c r="AB125" s="84" t="s">
        <v>692</v>
      </c>
      <c r="AC125" s="84" t="s">
        <v>5977</v>
      </c>
      <c r="AD125" s="54" t="s">
        <v>692</v>
      </c>
    </row>
    <row r="126" spans="1:30" ht="6.75" customHeight="1" x14ac:dyDescent="0.25">
      <c r="A126" s="85">
        <v>126</v>
      </c>
      <c r="B126" s="59" t="s">
        <v>5419</v>
      </c>
      <c r="C126" s="59" t="s">
        <v>5421</v>
      </c>
      <c r="D126" s="59" t="s">
        <v>1527</v>
      </c>
      <c r="E126" s="59" t="s">
        <v>1528</v>
      </c>
      <c r="F126" s="61" t="s">
        <v>1532</v>
      </c>
      <c r="G126" s="81" t="s">
        <v>692</v>
      </c>
      <c r="H126" s="81" t="s">
        <v>692</v>
      </c>
      <c r="I126" s="81" t="s">
        <v>692</v>
      </c>
      <c r="J126" s="81" t="s">
        <v>692</v>
      </c>
      <c r="K126" s="81" t="s">
        <v>692</v>
      </c>
      <c r="L126" s="53" t="str">
        <f t="shared" si="18"/>
        <v>Espaciais</v>
      </c>
      <c r="M126" s="53" t="str">
        <f t="shared" si="18"/>
        <v>Zonificação</v>
      </c>
      <c r="N126" s="53" t="str">
        <f t="shared" si="17"/>
        <v>Zonas Construtivas</v>
      </c>
      <c r="O126" s="53" t="str">
        <f t="shared" si="17"/>
        <v>Zona de Construção</v>
      </c>
      <c r="P126" s="54" t="s">
        <v>1533</v>
      </c>
      <c r="Q126" s="54" t="s">
        <v>1534</v>
      </c>
      <c r="R126" s="54" t="s">
        <v>6124</v>
      </c>
      <c r="S126" s="54" t="s">
        <v>692</v>
      </c>
      <c r="T126" s="55" t="str">
        <f t="shared" si="20"/>
        <v>Espaciais</v>
      </c>
      <c r="U126" s="55" t="str">
        <f t="shared" si="20"/>
        <v>Zonificação</v>
      </c>
      <c r="V126" s="55" t="str">
        <f t="shared" si="20"/>
        <v>Zonas Construtivas</v>
      </c>
      <c r="W126" s="54" t="s">
        <v>7259</v>
      </c>
      <c r="X126" s="84" t="str">
        <f t="shared" si="19"/>
        <v>Key-COD-CT-126</v>
      </c>
      <c r="Y126" s="84" t="s">
        <v>5980</v>
      </c>
      <c r="Z126" s="84" t="s">
        <v>692</v>
      </c>
      <c r="AA126" s="84" t="s">
        <v>5642</v>
      </c>
      <c r="AB126" s="84" t="s">
        <v>692</v>
      </c>
      <c r="AC126" s="84" t="s">
        <v>5977</v>
      </c>
      <c r="AD126" s="54" t="s">
        <v>692</v>
      </c>
    </row>
    <row r="127" spans="1:30" ht="6.75" customHeight="1" x14ac:dyDescent="0.25">
      <c r="A127" s="85">
        <v>127</v>
      </c>
      <c r="B127" s="59" t="s">
        <v>5419</v>
      </c>
      <c r="C127" s="59" t="s">
        <v>5421</v>
      </c>
      <c r="D127" s="59" t="s">
        <v>1527</v>
      </c>
      <c r="E127" s="59" t="s">
        <v>1528</v>
      </c>
      <c r="F127" s="61" t="s">
        <v>1535</v>
      </c>
      <c r="G127" s="81" t="s">
        <v>692</v>
      </c>
      <c r="H127" s="81" t="s">
        <v>692</v>
      </c>
      <c r="I127" s="81" t="s">
        <v>692</v>
      </c>
      <c r="J127" s="81" t="s">
        <v>692</v>
      </c>
      <c r="K127" s="81" t="s">
        <v>692</v>
      </c>
      <c r="L127" s="53" t="str">
        <f t="shared" si="18"/>
        <v>Espaciais</v>
      </c>
      <c r="M127" s="53" t="str">
        <f t="shared" si="18"/>
        <v>Zonificação</v>
      </c>
      <c r="N127" s="53" t="str">
        <f t="shared" si="17"/>
        <v>Zonas Construtivas</v>
      </c>
      <c r="O127" s="53" t="str">
        <f t="shared" si="17"/>
        <v>Zona de Interferência</v>
      </c>
      <c r="P127" s="54" t="s">
        <v>1536</v>
      </c>
      <c r="Q127" s="54" t="s">
        <v>1537</v>
      </c>
      <c r="R127" s="54" t="s">
        <v>6125</v>
      </c>
      <c r="S127" s="54" t="s">
        <v>692</v>
      </c>
      <c r="T127" s="55" t="str">
        <f t="shared" si="20"/>
        <v>Espaciais</v>
      </c>
      <c r="U127" s="55" t="str">
        <f t="shared" si="20"/>
        <v>Zonificação</v>
      </c>
      <c r="V127" s="55" t="str">
        <f t="shared" si="20"/>
        <v>Zonas Construtivas</v>
      </c>
      <c r="W127" s="54" t="s">
        <v>7259</v>
      </c>
      <c r="X127" s="84" t="str">
        <f t="shared" si="19"/>
        <v>Key-COD-CT-127</v>
      </c>
      <c r="Y127" s="84" t="s">
        <v>5980</v>
      </c>
      <c r="Z127" s="84" t="s">
        <v>692</v>
      </c>
      <c r="AA127" s="84" t="s">
        <v>5643</v>
      </c>
      <c r="AB127" s="84" t="s">
        <v>692</v>
      </c>
      <c r="AC127" s="84" t="s">
        <v>5977</v>
      </c>
      <c r="AD127" s="54" t="s">
        <v>692</v>
      </c>
    </row>
    <row r="128" spans="1:30" ht="6.75" customHeight="1" x14ac:dyDescent="0.25">
      <c r="A128" s="85">
        <v>128</v>
      </c>
      <c r="B128" s="59" t="s">
        <v>5419</v>
      </c>
      <c r="C128" s="59" t="s">
        <v>5421</v>
      </c>
      <c r="D128" s="59" t="s">
        <v>1527</v>
      </c>
      <c r="E128" s="59" t="s">
        <v>1528</v>
      </c>
      <c r="F128" s="61" t="s">
        <v>1538</v>
      </c>
      <c r="G128" s="81" t="s">
        <v>692</v>
      </c>
      <c r="H128" s="81" t="s">
        <v>692</v>
      </c>
      <c r="I128" s="81" t="s">
        <v>692</v>
      </c>
      <c r="J128" s="81" t="s">
        <v>692</v>
      </c>
      <c r="K128" s="81" t="s">
        <v>692</v>
      </c>
      <c r="L128" s="53" t="str">
        <f t="shared" si="18"/>
        <v>Espaciais</v>
      </c>
      <c r="M128" s="53" t="str">
        <f t="shared" si="18"/>
        <v>Zonificação</v>
      </c>
      <c r="N128" s="53" t="str">
        <f t="shared" si="17"/>
        <v>Zonas Construtivas</v>
      </c>
      <c r="O128" s="53" t="str">
        <f t="shared" si="17"/>
        <v>Zona de Ocupação</v>
      </c>
      <c r="P128" s="54" t="s">
        <v>1539</v>
      </c>
      <c r="Q128" s="54" t="s">
        <v>1540</v>
      </c>
      <c r="R128" s="54" t="s">
        <v>6126</v>
      </c>
      <c r="S128" s="54" t="s">
        <v>692</v>
      </c>
      <c r="T128" s="55" t="str">
        <f t="shared" si="20"/>
        <v>Espaciais</v>
      </c>
      <c r="U128" s="55" t="str">
        <f t="shared" si="20"/>
        <v>Zonificação</v>
      </c>
      <c r="V128" s="55" t="str">
        <f t="shared" si="20"/>
        <v>Zonas Construtivas</v>
      </c>
      <c r="W128" s="54" t="s">
        <v>7259</v>
      </c>
      <c r="X128" s="84" t="str">
        <f t="shared" si="19"/>
        <v>Key-COD-CT-128</v>
      </c>
      <c r="Y128" s="84" t="s">
        <v>5980</v>
      </c>
      <c r="Z128" s="84" t="s">
        <v>692</v>
      </c>
      <c r="AA128" s="84" t="s">
        <v>5644</v>
      </c>
      <c r="AB128" s="84" t="s">
        <v>692</v>
      </c>
      <c r="AC128" s="84" t="s">
        <v>5977</v>
      </c>
      <c r="AD128" s="54" t="s">
        <v>692</v>
      </c>
    </row>
    <row r="129" spans="1:30" ht="6.75" customHeight="1" x14ac:dyDescent="0.25">
      <c r="A129" s="85">
        <v>129</v>
      </c>
      <c r="B129" s="59" t="s">
        <v>5419</v>
      </c>
      <c r="C129" s="59" t="s">
        <v>5421</v>
      </c>
      <c r="D129" s="59" t="s">
        <v>1527</v>
      </c>
      <c r="E129" s="59" t="s">
        <v>1528</v>
      </c>
      <c r="F129" s="61" t="s">
        <v>1541</v>
      </c>
      <c r="G129" s="81" t="s">
        <v>692</v>
      </c>
      <c r="H129" s="81" t="s">
        <v>692</v>
      </c>
      <c r="I129" s="81" t="s">
        <v>692</v>
      </c>
      <c r="J129" s="81" t="s">
        <v>692</v>
      </c>
      <c r="K129" s="81" t="s">
        <v>692</v>
      </c>
      <c r="L129" s="53" t="str">
        <f t="shared" si="18"/>
        <v>Espaciais</v>
      </c>
      <c r="M129" s="53" t="str">
        <f t="shared" si="18"/>
        <v>Zonificação</v>
      </c>
      <c r="N129" s="53" t="str">
        <f t="shared" si="17"/>
        <v>Zonas Construtivas</v>
      </c>
      <c r="O129" s="53" t="str">
        <f t="shared" si="17"/>
        <v>Zona de Reserva</v>
      </c>
      <c r="P129" s="54" t="s">
        <v>1542</v>
      </c>
      <c r="Q129" s="54" t="s">
        <v>1543</v>
      </c>
      <c r="R129" s="54" t="s">
        <v>6127</v>
      </c>
      <c r="S129" s="54" t="s">
        <v>692</v>
      </c>
      <c r="T129" s="55" t="str">
        <f t="shared" si="20"/>
        <v>Espaciais</v>
      </c>
      <c r="U129" s="55" t="str">
        <f t="shared" si="20"/>
        <v>Zonificação</v>
      </c>
      <c r="V129" s="55" t="str">
        <f t="shared" si="20"/>
        <v>Zonas Construtivas</v>
      </c>
      <c r="W129" s="54" t="s">
        <v>7259</v>
      </c>
      <c r="X129" s="84" t="str">
        <f t="shared" si="19"/>
        <v>Key-COD-CT-129</v>
      </c>
      <c r="Y129" s="84" t="s">
        <v>5980</v>
      </c>
      <c r="Z129" s="84" t="s">
        <v>692</v>
      </c>
      <c r="AA129" s="84" t="s">
        <v>5645</v>
      </c>
      <c r="AB129" s="84" t="s">
        <v>692</v>
      </c>
      <c r="AC129" s="84" t="s">
        <v>5977</v>
      </c>
      <c r="AD129" s="54" t="s">
        <v>692</v>
      </c>
    </row>
    <row r="130" spans="1:30" ht="6.75" customHeight="1" x14ac:dyDescent="0.25">
      <c r="A130" s="85">
        <v>130</v>
      </c>
      <c r="B130" s="59" t="s">
        <v>5419</v>
      </c>
      <c r="C130" s="59" t="s">
        <v>5421</v>
      </c>
      <c r="D130" s="59" t="s">
        <v>1527</v>
      </c>
      <c r="E130" s="59" t="s">
        <v>1528</v>
      </c>
      <c r="F130" s="61" t="s">
        <v>1544</v>
      </c>
      <c r="G130" s="81" t="s">
        <v>692</v>
      </c>
      <c r="H130" s="81" t="s">
        <v>692</v>
      </c>
      <c r="I130" s="81" t="s">
        <v>692</v>
      </c>
      <c r="J130" s="81" t="s">
        <v>692</v>
      </c>
      <c r="K130" s="81" t="s">
        <v>692</v>
      </c>
      <c r="L130" s="53" t="str">
        <f t="shared" si="18"/>
        <v>Espaciais</v>
      </c>
      <c r="M130" s="53" t="str">
        <f t="shared" si="18"/>
        <v>Zonificação</v>
      </c>
      <c r="N130" s="53" t="str">
        <f t="shared" si="17"/>
        <v>Zonas Construtivas</v>
      </c>
      <c r="O130" s="53" t="str">
        <f t="shared" si="17"/>
        <v>Zona de Transporte</v>
      </c>
      <c r="P130" s="54" t="s">
        <v>1545</v>
      </c>
      <c r="Q130" s="54" t="s">
        <v>1546</v>
      </c>
      <c r="R130" s="54" t="s">
        <v>6128</v>
      </c>
      <c r="S130" s="54" t="s">
        <v>692</v>
      </c>
      <c r="T130" s="55" t="str">
        <f t="shared" si="20"/>
        <v>Espaciais</v>
      </c>
      <c r="U130" s="55" t="str">
        <f t="shared" si="20"/>
        <v>Zonificação</v>
      </c>
      <c r="V130" s="55" t="str">
        <f t="shared" si="20"/>
        <v>Zonas Construtivas</v>
      </c>
      <c r="W130" s="54" t="s">
        <v>7259</v>
      </c>
      <c r="X130" s="84" t="str">
        <f t="shared" si="19"/>
        <v>Key-COD-CT-130</v>
      </c>
      <c r="Y130" s="84" t="s">
        <v>5980</v>
      </c>
      <c r="Z130" s="84" t="s">
        <v>692</v>
      </c>
      <c r="AA130" s="84" t="s">
        <v>5646</v>
      </c>
      <c r="AB130" s="84" t="s">
        <v>692</v>
      </c>
      <c r="AC130" s="84" t="s">
        <v>5977</v>
      </c>
      <c r="AD130" s="54" t="s">
        <v>692</v>
      </c>
    </row>
    <row r="131" spans="1:30" ht="6.75" customHeight="1" x14ac:dyDescent="0.25">
      <c r="A131" s="85">
        <v>131</v>
      </c>
      <c r="B131" s="59" t="s">
        <v>5419</v>
      </c>
      <c r="C131" s="59" t="s">
        <v>5421</v>
      </c>
      <c r="D131" s="59" t="s">
        <v>1527</v>
      </c>
      <c r="E131" s="59" t="s">
        <v>1547</v>
      </c>
      <c r="F131" s="61" t="s">
        <v>1548</v>
      </c>
      <c r="G131" s="81" t="s">
        <v>692</v>
      </c>
      <c r="H131" s="81" t="s">
        <v>692</v>
      </c>
      <c r="I131" s="81" t="s">
        <v>692</v>
      </c>
      <c r="J131" s="81" t="s">
        <v>692</v>
      </c>
      <c r="K131" s="81" t="s">
        <v>692</v>
      </c>
      <c r="L131" s="53" t="str">
        <f t="shared" si="18"/>
        <v>Espaciais</v>
      </c>
      <c r="M131" s="53" t="str">
        <f t="shared" si="18"/>
        <v>Zonificação</v>
      </c>
      <c r="N131" s="53" t="str">
        <f t="shared" si="17"/>
        <v>Zonas de Sistemas</v>
      </c>
      <c r="O131" s="53" t="str">
        <f t="shared" si="17"/>
        <v>Zona de Térmica</v>
      </c>
      <c r="P131" s="54" t="s">
        <v>1549</v>
      </c>
      <c r="Q131" s="54" t="s">
        <v>1550</v>
      </c>
      <c r="R131" s="54" t="s">
        <v>6129</v>
      </c>
      <c r="S131" s="54" t="s">
        <v>692</v>
      </c>
      <c r="T131" s="55" t="str">
        <f t="shared" si="20"/>
        <v>Espaciais</v>
      </c>
      <c r="U131" s="55" t="str">
        <f t="shared" si="20"/>
        <v>Zonificação</v>
      </c>
      <c r="V131" s="55" t="str">
        <f t="shared" si="20"/>
        <v>Zonas de Sistemas</v>
      </c>
      <c r="W131" s="54" t="s">
        <v>7259</v>
      </c>
      <c r="X131" s="84" t="str">
        <f t="shared" ref="X131:X194" si="36">CONCATENATE("Key-COD-CT-",A131)</f>
        <v>Key-COD-CT-131</v>
      </c>
      <c r="Y131" s="84" t="s">
        <v>5980</v>
      </c>
      <c r="Z131" s="84" t="s">
        <v>692</v>
      </c>
      <c r="AA131" s="84" t="s">
        <v>5647</v>
      </c>
      <c r="AB131" s="84" t="s">
        <v>692</v>
      </c>
      <c r="AC131" s="84" t="s">
        <v>5977</v>
      </c>
      <c r="AD131" s="54" t="s">
        <v>692</v>
      </c>
    </row>
    <row r="132" spans="1:30" ht="6.75" customHeight="1" x14ac:dyDescent="0.25">
      <c r="A132" s="85">
        <v>132</v>
      </c>
      <c r="B132" s="59" t="s">
        <v>5419</v>
      </c>
      <c r="C132" s="59" t="s">
        <v>5421</v>
      </c>
      <c r="D132" s="59" t="s">
        <v>1527</v>
      </c>
      <c r="E132" s="59" t="s">
        <v>1547</v>
      </c>
      <c r="F132" s="61" t="s">
        <v>1551</v>
      </c>
      <c r="G132" s="81" t="s">
        <v>692</v>
      </c>
      <c r="H132" s="81" t="s">
        <v>692</v>
      </c>
      <c r="I132" s="81" t="s">
        <v>692</v>
      </c>
      <c r="J132" s="81" t="s">
        <v>692</v>
      </c>
      <c r="K132" s="81" t="s">
        <v>692</v>
      </c>
      <c r="L132" s="53" t="str">
        <f t="shared" si="18"/>
        <v>Espaciais</v>
      </c>
      <c r="M132" s="53" t="str">
        <f t="shared" si="18"/>
        <v>Zonificação</v>
      </c>
      <c r="N132" s="53" t="str">
        <f t="shared" si="17"/>
        <v>Zonas de Sistemas</v>
      </c>
      <c r="O132" s="53" t="str">
        <f t="shared" si="17"/>
        <v>Zona de Iluminação</v>
      </c>
      <c r="P132" s="54" t="s">
        <v>1552</v>
      </c>
      <c r="Q132" s="54" t="s">
        <v>1553</v>
      </c>
      <c r="R132" s="54" t="s">
        <v>6130</v>
      </c>
      <c r="S132" s="54" t="s">
        <v>692</v>
      </c>
      <c r="T132" s="55" t="str">
        <f t="shared" si="20"/>
        <v>Espaciais</v>
      </c>
      <c r="U132" s="55" t="str">
        <f t="shared" si="20"/>
        <v>Zonificação</v>
      </c>
      <c r="V132" s="55" t="str">
        <f t="shared" si="20"/>
        <v>Zonas de Sistemas</v>
      </c>
      <c r="W132" s="54" t="s">
        <v>7259</v>
      </c>
      <c r="X132" s="84" t="str">
        <f t="shared" si="36"/>
        <v>Key-COD-CT-132</v>
      </c>
      <c r="Y132" s="84" t="s">
        <v>5980</v>
      </c>
      <c r="Z132" s="84" t="s">
        <v>692</v>
      </c>
      <c r="AA132" s="84" t="s">
        <v>5648</v>
      </c>
      <c r="AB132" s="84" t="s">
        <v>692</v>
      </c>
      <c r="AC132" s="84" t="s">
        <v>5977</v>
      </c>
      <c r="AD132" s="54" t="s">
        <v>692</v>
      </c>
    </row>
    <row r="133" spans="1:30" ht="6.75" customHeight="1" x14ac:dyDescent="0.25">
      <c r="A133" s="85">
        <v>133</v>
      </c>
      <c r="B133" s="59" t="s">
        <v>5419</v>
      </c>
      <c r="C133" s="59" t="s">
        <v>5421</v>
      </c>
      <c r="D133" s="59" t="s">
        <v>1527</v>
      </c>
      <c r="E133" s="59" t="s">
        <v>1547</v>
      </c>
      <c r="F133" s="61" t="s">
        <v>1554</v>
      </c>
      <c r="G133" s="81" t="s">
        <v>692</v>
      </c>
      <c r="H133" s="81" t="s">
        <v>692</v>
      </c>
      <c r="I133" s="81" t="s">
        <v>692</v>
      </c>
      <c r="J133" s="81" t="s">
        <v>692</v>
      </c>
      <c r="K133" s="81" t="s">
        <v>692</v>
      </c>
      <c r="L133" s="53" t="str">
        <f t="shared" si="18"/>
        <v>Espaciais</v>
      </c>
      <c r="M133" s="53" t="str">
        <f t="shared" si="18"/>
        <v>Zonificação</v>
      </c>
      <c r="N133" s="53" t="str">
        <f t="shared" si="17"/>
        <v>Zonas de Sistemas</v>
      </c>
      <c r="O133" s="53" t="str">
        <f t="shared" si="17"/>
        <v>Zona de Ventilação</v>
      </c>
      <c r="P133" s="54" t="s">
        <v>1555</v>
      </c>
      <c r="Q133" s="54" t="s">
        <v>1556</v>
      </c>
      <c r="R133" s="54" t="s">
        <v>6131</v>
      </c>
      <c r="S133" s="54" t="s">
        <v>692</v>
      </c>
      <c r="T133" s="55" t="str">
        <f t="shared" si="20"/>
        <v>Espaciais</v>
      </c>
      <c r="U133" s="55" t="str">
        <f t="shared" si="20"/>
        <v>Zonificação</v>
      </c>
      <c r="V133" s="55" t="str">
        <f t="shared" si="20"/>
        <v>Zonas de Sistemas</v>
      </c>
      <c r="W133" s="54" t="s">
        <v>7259</v>
      </c>
      <c r="X133" s="84" t="str">
        <f t="shared" si="36"/>
        <v>Key-COD-CT-133</v>
      </c>
      <c r="Y133" s="84" t="s">
        <v>5980</v>
      </c>
      <c r="Z133" s="84" t="s">
        <v>692</v>
      </c>
      <c r="AA133" s="84" t="s">
        <v>5649</v>
      </c>
      <c r="AB133" s="84" t="s">
        <v>692</v>
      </c>
      <c r="AC133" s="84" t="s">
        <v>5977</v>
      </c>
      <c r="AD133" s="54" t="s">
        <v>692</v>
      </c>
    </row>
    <row r="134" spans="1:30" ht="6.75" customHeight="1" x14ac:dyDescent="0.25">
      <c r="A134" s="85">
        <v>134</v>
      </c>
      <c r="B134" s="59" t="s">
        <v>5419</v>
      </c>
      <c r="C134" s="59" t="s">
        <v>5421</v>
      </c>
      <c r="D134" s="59" t="s">
        <v>1527</v>
      </c>
      <c r="E134" s="59" t="s">
        <v>1557</v>
      </c>
      <c r="F134" s="61" t="s">
        <v>1558</v>
      </c>
      <c r="G134" s="81" t="s">
        <v>692</v>
      </c>
      <c r="H134" s="81" t="s">
        <v>692</v>
      </c>
      <c r="I134" s="81" t="s">
        <v>692</v>
      </c>
      <c r="J134" s="81" t="s">
        <v>692</v>
      </c>
      <c r="K134" s="81" t="s">
        <v>692</v>
      </c>
      <c r="L134" s="53" t="str">
        <f t="shared" si="18"/>
        <v>Espaciais</v>
      </c>
      <c r="M134" s="53" t="str">
        <f t="shared" si="18"/>
        <v>Zonificação</v>
      </c>
      <c r="N134" s="53" t="str">
        <f t="shared" si="17"/>
        <v>Zonas de Segurança</v>
      </c>
      <c r="O134" s="53" t="str">
        <f t="shared" si="17"/>
        <v>Zona de Segurança Incêndio</v>
      </c>
      <c r="P134" s="54" t="s">
        <v>1559</v>
      </c>
      <c r="Q134" s="54" t="s">
        <v>1560</v>
      </c>
      <c r="R134" s="54" t="s">
        <v>6132</v>
      </c>
      <c r="S134" s="54" t="s">
        <v>692</v>
      </c>
      <c r="T134" s="55" t="str">
        <f t="shared" si="20"/>
        <v>Espaciais</v>
      </c>
      <c r="U134" s="55" t="str">
        <f t="shared" si="20"/>
        <v>Zonificação</v>
      </c>
      <c r="V134" s="55" t="str">
        <f t="shared" si="20"/>
        <v>Zonas de Segurança</v>
      </c>
      <c r="W134" s="54" t="s">
        <v>7259</v>
      </c>
      <c r="X134" s="84" t="str">
        <f t="shared" si="36"/>
        <v>Key-COD-CT-134</v>
      </c>
      <c r="Y134" s="84" t="s">
        <v>5980</v>
      </c>
      <c r="Z134" s="84" t="s">
        <v>692</v>
      </c>
      <c r="AA134" s="84" t="s">
        <v>5650</v>
      </c>
      <c r="AB134" s="84" t="s">
        <v>692</v>
      </c>
      <c r="AC134" s="84" t="s">
        <v>5977</v>
      </c>
      <c r="AD134" s="54" t="s">
        <v>692</v>
      </c>
    </row>
    <row r="135" spans="1:30" ht="6.75" customHeight="1" x14ac:dyDescent="0.25">
      <c r="A135" s="85">
        <v>135</v>
      </c>
      <c r="B135" s="59" t="s">
        <v>5419</v>
      </c>
      <c r="C135" s="59" t="s">
        <v>5421</v>
      </c>
      <c r="D135" s="59" t="s">
        <v>1527</v>
      </c>
      <c r="E135" s="59" t="s">
        <v>1557</v>
      </c>
      <c r="F135" s="61" t="s">
        <v>1561</v>
      </c>
      <c r="G135" s="81" t="s">
        <v>692</v>
      </c>
      <c r="H135" s="81" t="s">
        <v>692</v>
      </c>
      <c r="I135" s="81" t="s">
        <v>692</v>
      </c>
      <c r="J135" s="81" t="s">
        <v>692</v>
      </c>
      <c r="K135" s="81" t="s">
        <v>692</v>
      </c>
      <c r="L135" s="53" t="str">
        <f t="shared" si="18"/>
        <v>Espaciais</v>
      </c>
      <c r="M135" s="53" t="str">
        <f t="shared" si="18"/>
        <v>Zonificação</v>
      </c>
      <c r="N135" s="53" t="str">
        <f t="shared" si="17"/>
        <v>Zonas de Segurança</v>
      </c>
      <c r="O135" s="53" t="str">
        <f t="shared" si="17"/>
        <v>Zona de Segurança</v>
      </c>
      <c r="P135" s="54" t="s">
        <v>1562</v>
      </c>
      <c r="Q135" s="54" t="s">
        <v>1563</v>
      </c>
      <c r="R135" s="54" t="s">
        <v>6133</v>
      </c>
      <c r="S135" s="54" t="s">
        <v>692</v>
      </c>
      <c r="T135" s="55" t="str">
        <f t="shared" si="20"/>
        <v>Espaciais</v>
      </c>
      <c r="U135" s="55" t="str">
        <f t="shared" si="20"/>
        <v>Zonificação</v>
      </c>
      <c r="V135" s="55" t="str">
        <f t="shared" si="20"/>
        <v>Zonas de Segurança</v>
      </c>
      <c r="W135" s="54" t="s">
        <v>7259</v>
      </c>
      <c r="X135" s="84" t="str">
        <f t="shared" si="36"/>
        <v>Key-COD-CT-135</v>
      </c>
      <c r="Y135" s="84" t="s">
        <v>5980</v>
      </c>
      <c r="Z135" s="84" t="s">
        <v>692</v>
      </c>
      <c r="AA135" s="84" t="s">
        <v>5651</v>
      </c>
      <c r="AB135" s="84" t="s">
        <v>692</v>
      </c>
      <c r="AC135" s="84" t="s">
        <v>5977</v>
      </c>
      <c r="AD135" s="54" t="s">
        <v>692</v>
      </c>
    </row>
    <row r="136" spans="1:30" ht="6.75" customHeight="1" x14ac:dyDescent="0.25">
      <c r="A136" s="85">
        <v>136</v>
      </c>
      <c r="B136" s="59" t="s">
        <v>5419</v>
      </c>
      <c r="C136" s="59" t="s">
        <v>5421</v>
      </c>
      <c r="D136" s="59" t="s">
        <v>1527</v>
      </c>
      <c r="E136" s="59" t="s">
        <v>1557</v>
      </c>
      <c r="F136" s="61" t="s">
        <v>1564</v>
      </c>
      <c r="G136" s="81" t="s">
        <v>692</v>
      </c>
      <c r="H136" s="81" t="s">
        <v>692</v>
      </c>
      <c r="I136" s="81" t="s">
        <v>692</v>
      </c>
      <c r="J136" s="81" t="s">
        <v>692</v>
      </c>
      <c r="K136" s="81" t="s">
        <v>1565</v>
      </c>
      <c r="L136" s="53" t="str">
        <f t="shared" si="18"/>
        <v>Espaciais</v>
      </c>
      <c r="M136" s="53" t="str">
        <f t="shared" si="18"/>
        <v>Zonificação</v>
      </c>
      <c r="N136" s="53" t="str">
        <f t="shared" si="17"/>
        <v>Zonas de Segurança</v>
      </c>
      <c r="O136" s="53" t="str">
        <f t="shared" si="17"/>
        <v>Zona de Biosegurança</v>
      </c>
      <c r="P136" s="54" t="s">
        <v>1566</v>
      </c>
      <c r="Q136" s="54" t="s">
        <v>1567</v>
      </c>
      <c r="R136" s="54" t="s">
        <v>6134</v>
      </c>
      <c r="S136" s="54" t="s">
        <v>692</v>
      </c>
      <c r="T136" s="55" t="str">
        <f t="shared" si="20"/>
        <v>Espaciais</v>
      </c>
      <c r="U136" s="55" t="str">
        <f t="shared" si="20"/>
        <v>Zonificação</v>
      </c>
      <c r="V136" s="55" t="str">
        <f t="shared" si="20"/>
        <v>Zonas de Segurança</v>
      </c>
      <c r="W136" s="54" t="s">
        <v>7259</v>
      </c>
      <c r="X136" s="84" t="str">
        <f t="shared" si="36"/>
        <v>Key-COD-CT-136</v>
      </c>
      <c r="Y136" s="84" t="s">
        <v>5980</v>
      </c>
      <c r="Z136" s="84" t="s">
        <v>692</v>
      </c>
      <c r="AA136" s="84" t="s">
        <v>5649</v>
      </c>
      <c r="AB136" s="84" t="s">
        <v>692</v>
      </c>
      <c r="AC136" s="84" t="s">
        <v>5977</v>
      </c>
      <c r="AD136" s="54" t="s">
        <v>692</v>
      </c>
    </row>
    <row r="137" spans="1:30" ht="6.75" customHeight="1" x14ac:dyDescent="0.25">
      <c r="A137" s="85">
        <v>137</v>
      </c>
      <c r="B137" s="59" t="s">
        <v>5419</v>
      </c>
      <c r="C137" s="59" t="s">
        <v>1568</v>
      </c>
      <c r="D137" s="59" t="s">
        <v>1569</v>
      </c>
      <c r="E137" s="59" t="s">
        <v>1570</v>
      </c>
      <c r="F137" s="59" t="s">
        <v>1571</v>
      </c>
      <c r="G137" s="81" t="s">
        <v>692</v>
      </c>
      <c r="H137" s="81" t="s">
        <v>692</v>
      </c>
      <c r="I137" s="81" t="s">
        <v>692</v>
      </c>
      <c r="J137" s="81" t="s">
        <v>692</v>
      </c>
      <c r="K137" s="81" t="s">
        <v>692</v>
      </c>
      <c r="L137" s="53" t="str">
        <f t="shared" si="18"/>
        <v>Composições</v>
      </c>
      <c r="M137" s="53" t="str">
        <f t="shared" si="18"/>
        <v>Camadas.Estruturantes</v>
      </c>
      <c r="N137" s="53" t="str">
        <f t="shared" si="17"/>
        <v>Estruturantes</v>
      </c>
      <c r="O137" s="53" t="str">
        <f t="shared" si="17"/>
        <v>Painel Maciço</v>
      </c>
      <c r="P137" s="54" t="s">
        <v>1572</v>
      </c>
      <c r="Q137" s="57" t="s">
        <v>1573</v>
      </c>
      <c r="R137" s="54" t="s">
        <v>6135</v>
      </c>
      <c r="S137" s="54" t="s">
        <v>692</v>
      </c>
      <c r="T137" s="55" t="str">
        <f t="shared" si="20"/>
        <v>Composições</v>
      </c>
      <c r="U137" s="55" t="str">
        <f t="shared" si="20"/>
        <v>Camadas Estruturantes</v>
      </c>
      <c r="V137" s="55" t="str">
        <f t="shared" si="20"/>
        <v>Estruturantes</v>
      </c>
      <c r="W137" s="54" t="s">
        <v>7259</v>
      </c>
      <c r="X137" s="84" t="str">
        <f t="shared" si="36"/>
        <v>Key-COD-CT-137</v>
      </c>
      <c r="Y137" s="84" t="s">
        <v>5981</v>
      </c>
      <c r="Z137" s="84" t="s">
        <v>692</v>
      </c>
      <c r="AA137" s="84" t="s">
        <v>5652</v>
      </c>
      <c r="AB137" s="84" t="s">
        <v>692</v>
      </c>
      <c r="AC137" s="84" t="s">
        <v>692</v>
      </c>
      <c r="AD137" s="54" t="s">
        <v>692</v>
      </c>
    </row>
    <row r="138" spans="1:30" ht="6.75" customHeight="1" x14ac:dyDescent="0.25">
      <c r="A138" s="85">
        <v>138</v>
      </c>
      <c r="B138" s="59" t="s">
        <v>5419</v>
      </c>
      <c r="C138" s="59" t="s">
        <v>1568</v>
      </c>
      <c r="D138" s="59" t="s">
        <v>1569</v>
      </c>
      <c r="E138" s="59" t="s">
        <v>1570</v>
      </c>
      <c r="F138" s="59" t="s">
        <v>1574</v>
      </c>
      <c r="G138" s="81" t="s">
        <v>692</v>
      </c>
      <c r="H138" s="81" t="s">
        <v>692</v>
      </c>
      <c r="I138" s="81" t="s">
        <v>692</v>
      </c>
      <c r="J138" s="81" t="s">
        <v>692</v>
      </c>
      <c r="K138" s="81" t="s">
        <v>692</v>
      </c>
      <c r="L138" s="53" t="str">
        <f t="shared" si="18"/>
        <v>Composições</v>
      </c>
      <c r="M138" s="53" t="str">
        <f t="shared" si="18"/>
        <v>Camadas.Estruturantes</v>
      </c>
      <c r="N138" s="53" t="str">
        <f t="shared" si="17"/>
        <v>Estruturantes</v>
      </c>
      <c r="O138" s="53" t="str">
        <f t="shared" si="17"/>
        <v>Painel Alveolar</v>
      </c>
      <c r="P138" s="54" t="s">
        <v>1575</v>
      </c>
      <c r="Q138" s="57" t="s">
        <v>1576</v>
      </c>
      <c r="R138" s="54" t="s">
        <v>6136</v>
      </c>
      <c r="S138" s="54" t="s">
        <v>692</v>
      </c>
      <c r="T138" s="55" t="str">
        <f t="shared" si="20"/>
        <v>Composições</v>
      </c>
      <c r="U138" s="55" t="str">
        <f t="shared" si="20"/>
        <v>Camadas Estruturantes</v>
      </c>
      <c r="V138" s="55" t="str">
        <f t="shared" si="20"/>
        <v>Estruturantes</v>
      </c>
      <c r="W138" s="54" t="s">
        <v>7259</v>
      </c>
      <c r="X138" s="84" t="str">
        <f t="shared" si="36"/>
        <v>Key-COD-CT-138</v>
      </c>
      <c r="Y138" s="84" t="s">
        <v>5981</v>
      </c>
      <c r="Z138" s="84" t="s">
        <v>692</v>
      </c>
      <c r="AA138" s="84" t="s">
        <v>5652</v>
      </c>
      <c r="AB138" s="84" t="s">
        <v>692</v>
      </c>
      <c r="AC138" s="84" t="s">
        <v>692</v>
      </c>
      <c r="AD138" s="54" t="s">
        <v>692</v>
      </c>
    </row>
    <row r="139" spans="1:30" ht="6.75" customHeight="1" x14ac:dyDescent="0.25">
      <c r="A139" s="85">
        <v>139</v>
      </c>
      <c r="B139" s="59" t="s">
        <v>5419</v>
      </c>
      <c r="C139" s="59" t="s">
        <v>1568</v>
      </c>
      <c r="D139" s="59" t="s">
        <v>1569</v>
      </c>
      <c r="E139" s="59" t="s">
        <v>1570</v>
      </c>
      <c r="F139" s="59" t="s">
        <v>1577</v>
      </c>
      <c r="G139" s="81" t="s">
        <v>692</v>
      </c>
      <c r="H139" s="81" t="s">
        <v>692</v>
      </c>
      <c r="I139" s="81" t="s">
        <v>692</v>
      </c>
      <c r="J139" s="81" t="s">
        <v>692</v>
      </c>
      <c r="K139" s="81" t="s">
        <v>692</v>
      </c>
      <c r="L139" s="53" t="str">
        <f t="shared" si="18"/>
        <v>Composições</v>
      </c>
      <c r="M139" s="53" t="str">
        <f t="shared" si="18"/>
        <v>Camadas.Estruturantes</v>
      </c>
      <c r="N139" s="53" t="str">
        <f t="shared" si="17"/>
        <v>Estruturantes</v>
      </c>
      <c r="O139" s="53" t="str">
        <f t="shared" si="17"/>
        <v>Parede CA</v>
      </c>
      <c r="P139" s="54" t="s">
        <v>1578</v>
      </c>
      <c r="Q139" s="57" t="s">
        <v>1579</v>
      </c>
      <c r="R139" s="54" t="s">
        <v>6137</v>
      </c>
      <c r="S139" s="54" t="s">
        <v>692</v>
      </c>
      <c r="T139" s="55" t="str">
        <f t="shared" si="20"/>
        <v>Composições</v>
      </c>
      <c r="U139" s="55" t="str">
        <f t="shared" si="20"/>
        <v>Camadas Estruturantes</v>
      </c>
      <c r="V139" s="55" t="str">
        <f t="shared" si="20"/>
        <v>Estruturantes</v>
      </c>
      <c r="W139" s="54" t="s">
        <v>7259</v>
      </c>
      <c r="X139" s="84" t="str">
        <f t="shared" si="36"/>
        <v>Key-COD-CT-139</v>
      </c>
      <c r="Y139" s="84" t="s">
        <v>5981</v>
      </c>
      <c r="Z139" s="84" t="s">
        <v>692</v>
      </c>
      <c r="AA139" s="84" t="s">
        <v>5652</v>
      </c>
      <c r="AB139" s="84" t="s">
        <v>692</v>
      </c>
      <c r="AC139" s="84" t="s">
        <v>692</v>
      </c>
      <c r="AD139" s="54" t="s">
        <v>692</v>
      </c>
    </row>
    <row r="140" spans="1:30" ht="6.75" customHeight="1" x14ac:dyDescent="0.25">
      <c r="A140" s="85">
        <v>140</v>
      </c>
      <c r="B140" s="59" t="s">
        <v>5419</v>
      </c>
      <c r="C140" s="59" t="s">
        <v>1568</v>
      </c>
      <c r="D140" s="59" t="s">
        <v>1569</v>
      </c>
      <c r="E140" s="59" t="s">
        <v>1570</v>
      </c>
      <c r="F140" s="59" t="s">
        <v>1580</v>
      </c>
      <c r="G140" s="81" t="s">
        <v>692</v>
      </c>
      <c r="H140" s="81" t="s">
        <v>692</v>
      </c>
      <c r="I140" s="81" t="s">
        <v>692</v>
      </c>
      <c r="J140" s="81" t="s">
        <v>692</v>
      </c>
      <c r="K140" s="81" t="s">
        <v>692</v>
      </c>
      <c r="L140" s="53" t="str">
        <f t="shared" si="18"/>
        <v>Composições</v>
      </c>
      <c r="M140" s="53" t="str">
        <f t="shared" si="18"/>
        <v>Camadas.Estruturantes</v>
      </c>
      <c r="N140" s="53" t="str">
        <f t="shared" si="17"/>
        <v>Estruturantes</v>
      </c>
      <c r="O140" s="53" t="str">
        <f t="shared" si="17"/>
        <v>Bloco CCA</v>
      </c>
      <c r="P140" s="54" t="s">
        <v>1581</v>
      </c>
      <c r="Q140" s="57" t="s">
        <v>1582</v>
      </c>
      <c r="R140" s="54" t="s">
        <v>6138</v>
      </c>
      <c r="S140" s="54" t="s">
        <v>692</v>
      </c>
      <c r="T140" s="55" t="str">
        <f t="shared" si="20"/>
        <v>Composições</v>
      </c>
      <c r="U140" s="55" t="str">
        <f t="shared" si="20"/>
        <v>Camadas Estruturantes</v>
      </c>
      <c r="V140" s="55" t="str">
        <f t="shared" si="20"/>
        <v>Estruturantes</v>
      </c>
      <c r="W140" s="54" t="s">
        <v>7259</v>
      </c>
      <c r="X140" s="84" t="str">
        <f t="shared" si="36"/>
        <v>Key-COD-CT-140</v>
      </c>
      <c r="Y140" s="84" t="s">
        <v>5981</v>
      </c>
      <c r="Z140" s="84" t="s">
        <v>692</v>
      </c>
      <c r="AA140" s="84" t="s">
        <v>5652</v>
      </c>
      <c r="AB140" s="84" t="s">
        <v>692</v>
      </c>
      <c r="AC140" s="84" t="s">
        <v>692</v>
      </c>
      <c r="AD140" s="54" t="s">
        <v>692</v>
      </c>
    </row>
    <row r="141" spans="1:30" ht="6.75" customHeight="1" x14ac:dyDescent="0.25">
      <c r="A141" s="85">
        <v>141</v>
      </c>
      <c r="B141" s="59" t="s">
        <v>5419</v>
      </c>
      <c r="C141" s="59" t="s">
        <v>1568</v>
      </c>
      <c r="D141" s="59" t="s">
        <v>1569</v>
      </c>
      <c r="E141" s="59" t="s">
        <v>1570</v>
      </c>
      <c r="F141" s="59" t="s">
        <v>1583</v>
      </c>
      <c r="G141" s="81" t="s">
        <v>692</v>
      </c>
      <c r="H141" s="81" t="s">
        <v>692</v>
      </c>
      <c r="I141" s="81" t="s">
        <v>692</v>
      </c>
      <c r="J141" s="81" t="s">
        <v>692</v>
      </c>
      <c r="K141" s="81" t="s">
        <v>692</v>
      </c>
      <c r="L141" s="53" t="str">
        <f t="shared" si="18"/>
        <v>Composições</v>
      </c>
      <c r="M141" s="53" t="str">
        <f t="shared" si="18"/>
        <v>Camadas.Estruturantes</v>
      </c>
      <c r="N141" s="53" t="str">
        <f t="shared" si="17"/>
        <v>Estruturantes</v>
      </c>
      <c r="O141" s="53" t="str">
        <f t="shared" si="17"/>
        <v>Bloco Concreto Estrutural</v>
      </c>
      <c r="P141" s="54" t="s">
        <v>1584</v>
      </c>
      <c r="Q141" s="57" t="s">
        <v>1585</v>
      </c>
      <c r="R141" s="54" t="s">
        <v>6139</v>
      </c>
      <c r="S141" s="54" t="s">
        <v>692</v>
      </c>
      <c r="T141" s="55" t="str">
        <f t="shared" si="20"/>
        <v>Composições</v>
      </c>
      <c r="U141" s="55" t="str">
        <f t="shared" si="20"/>
        <v>Camadas Estruturantes</v>
      </c>
      <c r="V141" s="55" t="str">
        <f t="shared" si="20"/>
        <v>Estruturantes</v>
      </c>
      <c r="W141" s="54" t="s">
        <v>7259</v>
      </c>
      <c r="X141" s="84" t="str">
        <f t="shared" si="36"/>
        <v>Key-COD-CT-141</v>
      </c>
      <c r="Y141" s="84" t="s">
        <v>5981</v>
      </c>
      <c r="Z141" s="84" t="s">
        <v>692</v>
      </c>
      <c r="AA141" s="84" t="s">
        <v>5652</v>
      </c>
      <c r="AB141" s="84" t="s">
        <v>692</v>
      </c>
      <c r="AC141" s="84" t="s">
        <v>692</v>
      </c>
      <c r="AD141" s="54" t="s">
        <v>692</v>
      </c>
    </row>
    <row r="142" spans="1:30" ht="6.75" customHeight="1" x14ac:dyDescent="0.25">
      <c r="A142" s="85">
        <v>142</v>
      </c>
      <c r="B142" s="59" t="s">
        <v>5419</v>
      </c>
      <c r="C142" s="59" t="s">
        <v>1568</v>
      </c>
      <c r="D142" s="59" t="s">
        <v>1569</v>
      </c>
      <c r="E142" s="59" t="s">
        <v>1570</v>
      </c>
      <c r="F142" s="59" t="s">
        <v>1586</v>
      </c>
      <c r="G142" s="81" t="s">
        <v>692</v>
      </c>
      <c r="H142" s="81" t="s">
        <v>692</v>
      </c>
      <c r="I142" s="81" t="s">
        <v>692</v>
      </c>
      <c r="J142" s="81" t="s">
        <v>692</v>
      </c>
      <c r="K142" s="81" t="s">
        <v>692</v>
      </c>
      <c r="L142" s="53" t="str">
        <f t="shared" si="18"/>
        <v>Composições</v>
      </c>
      <c r="M142" s="53" t="str">
        <f t="shared" si="18"/>
        <v>Camadas.Estruturantes</v>
      </c>
      <c r="N142" s="53" t="str">
        <f t="shared" si="17"/>
        <v>Estruturantes</v>
      </c>
      <c r="O142" s="53" t="str">
        <f t="shared" si="17"/>
        <v>Bloco Concreto Vedação</v>
      </c>
      <c r="P142" s="54" t="s">
        <v>1587</v>
      </c>
      <c r="Q142" s="57" t="s">
        <v>1588</v>
      </c>
      <c r="R142" s="54" t="s">
        <v>6140</v>
      </c>
      <c r="S142" s="54" t="s">
        <v>692</v>
      </c>
      <c r="T142" s="55" t="str">
        <f t="shared" si="20"/>
        <v>Composições</v>
      </c>
      <c r="U142" s="55" t="str">
        <f t="shared" si="20"/>
        <v>Camadas Estruturantes</v>
      </c>
      <c r="V142" s="55" t="str">
        <f t="shared" si="20"/>
        <v>Estruturantes</v>
      </c>
      <c r="W142" s="54" t="s">
        <v>7259</v>
      </c>
      <c r="X142" s="84" t="str">
        <f t="shared" si="36"/>
        <v>Key-COD-CT-142</v>
      </c>
      <c r="Y142" s="84" t="s">
        <v>5981</v>
      </c>
      <c r="Z142" s="84" t="s">
        <v>692</v>
      </c>
      <c r="AA142" s="84" t="s">
        <v>5652</v>
      </c>
      <c r="AB142" s="84" t="s">
        <v>692</v>
      </c>
      <c r="AC142" s="84" t="s">
        <v>692</v>
      </c>
      <c r="AD142" s="54" t="s">
        <v>692</v>
      </c>
    </row>
    <row r="143" spans="1:30" ht="6.75" customHeight="1" x14ac:dyDescent="0.25">
      <c r="A143" s="85">
        <v>143</v>
      </c>
      <c r="B143" s="59" t="s">
        <v>5419</v>
      </c>
      <c r="C143" s="59" t="s">
        <v>1568</v>
      </c>
      <c r="D143" s="59" t="s">
        <v>1569</v>
      </c>
      <c r="E143" s="59" t="s">
        <v>1570</v>
      </c>
      <c r="F143" s="59" t="s">
        <v>1589</v>
      </c>
      <c r="G143" s="81" t="s">
        <v>692</v>
      </c>
      <c r="H143" s="81" t="s">
        <v>692</v>
      </c>
      <c r="I143" s="81" t="s">
        <v>692</v>
      </c>
      <c r="J143" s="81" t="s">
        <v>692</v>
      </c>
      <c r="K143" s="81" t="s">
        <v>692</v>
      </c>
      <c r="L143" s="53" t="str">
        <f t="shared" si="18"/>
        <v>Composições</v>
      </c>
      <c r="M143" s="53" t="str">
        <f t="shared" si="18"/>
        <v>Camadas.Estruturantes</v>
      </c>
      <c r="N143" s="53" t="str">
        <f t="shared" si="17"/>
        <v>Estruturantes</v>
      </c>
      <c r="O143" s="53" t="str">
        <f t="shared" si="17"/>
        <v>Bloco Gesso Maciço</v>
      </c>
      <c r="P143" s="54" t="s">
        <v>1590</v>
      </c>
      <c r="Q143" s="57" t="s">
        <v>1591</v>
      </c>
      <c r="R143" s="54" t="s">
        <v>6141</v>
      </c>
      <c r="S143" s="54" t="s">
        <v>692</v>
      </c>
      <c r="T143" s="55" t="str">
        <f t="shared" si="20"/>
        <v>Composições</v>
      </c>
      <c r="U143" s="55" t="str">
        <f t="shared" si="20"/>
        <v>Camadas Estruturantes</v>
      </c>
      <c r="V143" s="55" t="str">
        <f t="shared" si="20"/>
        <v>Estruturantes</v>
      </c>
      <c r="W143" s="54" t="s">
        <v>7259</v>
      </c>
      <c r="X143" s="84" t="str">
        <f t="shared" si="36"/>
        <v>Key-COD-CT-143</v>
      </c>
      <c r="Y143" s="84" t="s">
        <v>5981</v>
      </c>
      <c r="Z143" s="84" t="s">
        <v>692</v>
      </c>
      <c r="AA143" s="84" t="s">
        <v>5652</v>
      </c>
      <c r="AB143" s="84" t="s">
        <v>692</v>
      </c>
      <c r="AC143" s="84" t="s">
        <v>692</v>
      </c>
      <c r="AD143" s="54" t="s">
        <v>692</v>
      </c>
    </row>
    <row r="144" spans="1:30" ht="6.75" customHeight="1" x14ac:dyDescent="0.25">
      <c r="A144" s="85">
        <v>144</v>
      </c>
      <c r="B144" s="59" t="s">
        <v>5419</v>
      </c>
      <c r="C144" s="59" t="s">
        <v>1568</v>
      </c>
      <c r="D144" s="59" t="s">
        <v>1569</v>
      </c>
      <c r="E144" s="59" t="s">
        <v>1570</v>
      </c>
      <c r="F144" s="59" t="s">
        <v>1592</v>
      </c>
      <c r="G144" s="81" t="s">
        <v>692</v>
      </c>
      <c r="H144" s="81" t="s">
        <v>692</v>
      </c>
      <c r="I144" s="81" t="s">
        <v>692</v>
      </c>
      <c r="J144" s="81" t="s">
        <v>692</v>
      </c>
      <c r="K144" s="81" t="s">
        <v>692</v>
      </c>
      <c r="L144" s="53" t="str">
        <f t="shared" si="18"/>
        <v>Composições</v>
      </c>
      <c r="M144" s="53" t="str">
        <f t="shared" si="18"/>
        <v>Camadas.Estruturantes</v>
      </c>
      <c r="N144" s="53" t="str">
        <f t="shared" si="17"/>
        <v>Estruturantes</v>
      </c>
      <c r="O144" s="53" t="str">
        <f t="shared" si="17"/>
        <v>Bloco Gesso Alveolar</v>
      </c>
      <c r="P144" s="54" t="s">
        <v>1593</v>
      </c>
      <c r="Q144" s="57" t="s">
        <v>1594</v>
      </c>
      <c r="R144" s="54" t="s">
        <v>6142</v>
      </c>
      <c r="S144" s="54" t="s">
        <v>692</v>
      </c>
      <c r="T144" s="55" t="str">
        <f t="shared" si="20"/>
        <v>Composições</v>
      </c>
      <c r="U144" s="55" t="str">
        <f t="shared" si="20"/>
        <v>Camadas Estruturantes</v>
      </c>
      <c r="V144" s="55" t="str">
        <f t="shared" si="20"/>
        <v>Estruturantes</v>
      </c>
      <c r="W144" s="54" t="s">
        <v>7259</v>
      </c>
      <c r="X144" s="84" t="str">
        <f t="shared" si="36"/>
        <v>Key-COD-CT-144</v>
      </c>
      <c r="Y144" s="84" t="s">
        <v>5981</v>
      </c>
      <c r="Z144" s="84" t="s">
        <v>692</v>
      </c>
      <c r="AA144" s="84" t="s">
        <v>5652</v>
      </c>
      <c r="AB144" s="84" t="s">
        <v>692</v>
      </c>
      <c r="AC144" s="84" t="s">
        <v>692</v>
      </c>
      <c r="AD144" s="54" t="s">
        <v>692</v>
      </c>
    </row>
    <row r="145" spans="1:30" ht="6.75" customHeight="1" x14ac:dyDescent="0.25">
      <c r="A145" s="85">
        <v>145</v>
      </c>
      <c r="B145" s="59" t="s">
        <v>5419</v>
      </c>
      <c r="C145" s="59" t="s">
        <v>1568</v>
      </c>
      <c r="D145" s="59" t="s">
        <v>1569</v>
      </c>
      <c r="E145" s="59" t="s">
        <v>1570</v>
      </c>
      <c r="F145" s="59" t="s">
        <v>1595</v>
      </c>
      <c r="G145" s="81" t="s">
        <v>692</v>
      </c>
      <c r="H145" s="81" t="s">
        <v>692</v>
      </c>
      <c r="I145" s="81" t="s">
        <v>692</v>
      </c>
      <c r="J145" s="81" t="s">
        <v>692</v>
      </c>
      <c r="K145" s="81" t="s">
        <v>692</v>
      </c>
      <c r="L145" s="53" t="str">
        <f t="shared" si="18"/>
        <v>Composições</v>
      </c>
      <c r="M145" s="53" t="str">
        <f t="shared" si="18"/>
        <v>Camadas.Estruturantes</v>
      </c>
      <c r="N145" s="53" t="str">
        <f t="shared" si="17"/>
        <v>Estruturantes</v>
      </c>
      <c r="O145" s="53" t="str">
        <f t="shared" si="17"/>
        <v>Tijolo Comúm</v>
      </c>
      <c r="P145" s="56" t="s">
        <v>1596</v>
      </c>
      <c r="Q145" s="57" t="s">
        <v>1597</v>
      </c>
      <c r="R145" s="54" t="s">
        <v>6143</v>
      </c>
      <c r="S145" s="54" t="s">
        <v>692</v>
      </c>
      <c r="T145" s="55" t="str">
        <f t="shared" si="20"/>
        <v>Composições</v>
      </c>
      <c r="U145" s="55" t="str">
        <f t="shared" si="20"/>
        <v>Camadas Estruturantes</v>
      </c>
      <c r="V145" s="55" t="str">
        <f t="shared" si="20"/>
        <v>Estruturantes</v>
      </c>
      <c r="W145" s="54" t="s">
        <v>7259</v>
      </c>
      <c r="X145" s="84" t="str">
        <f t="shared" si="36"/>
        <v>Key-COD-CT-145</v>
      </c>
      <c r="Y145" s="84" t="s">
        <v>5981</v>
      </c>
      <c r="Z145" s="84" t="s">
        <v>692</v>
      </c>
      <c r="AA145" s="84" t="s">
        <v>5652</v>
      </c>
      <c r="AB145" s="84" t="s">
        <v>692</v>
      </c>
      <c r="AC145" s="84" t="s">
        <v>692</v>
      </c>
      <c r="AD145" s="54" t="s">
        <v>692</v>
      </c>
    </row>
    <row r="146" spans="1:30" ht="6.75" customHeight="1" x14ac:dyDescent="0.25">
      <c r="A146" s="85">
        <v>146</v>
      </c>
      <c r="B146" s="59" t="s">
        <v>5419</v>
      </c>
      <c r="C146" s="59" t="s">
        <v>1568</v>
      </c>
      <c r="D146" s="59" t="s">
        <v>1569</v>
      </c>
      <c r="E146" s="59" t="s">
        <v>1570</v>
      </c>
      <c r="F146" s="59" t="s">
        <v>1598</v>
      </c>
      <c r="G146" s="81" t="s">
        <v>692</v>
      </c>
      <c r="H146" s="81" t="s">
        <v>692</v>
      </c>
      <c r="I146" s="81" t="s">
        <v>692</v>
      </c>
      <c r="J146" s="81" t="s">
        <v>692</v>
      </c>
      <c r="K146" s="81" t="s">
        <v>692</v>
      </c>
      <c r="L146" s="53" t="str">
        <f t="shared" si="18"/>
        <v>Composições</v>
      </c>
      <c r="M146" s="53" t="str">
        <f t="shared" si="18"/>
        <v>Camadas.Estruturantes</v>
      </c>
      <c r="N146" s="53" t="str">
        <f t="shared" si="17"/>
        <v>Estruturantes</v>
      </c>
      <c r="O146" s="53" t="str">
        <f t="shared" si="17"/>
        <v>Tijolo Laminado</v>
      </c>
      <c r="P146" s="54" t="s">
        <v>1599</v>
      </c>
      <c r="Q146" s="57" t="s">
        <v>1600</v>
      </c>
      <c r="R146" s="54" t="s">
        <v>6144</v>
      </c>
      <c r="S146" s="54" t="s">
        <v>692</v>
      </c>
      <c r="T146" s="55" t="str">
        <f t="shared" si="20"/>
        <v>Composições</v>
      </c>
      <c r="U146" s="55" t="str">
        <f t="shared" si="20"/>
        <v>Camadas Estruturantes</v>
      </c>
      <c r="V146" s="55" t="str">
        <f t="shared" si="20"/>
        <v>Estruturantes</v>
      </c>
      <c r="W146" s="54" t="s">
        <v>7259</v>
      </c>
      <c r="X146" s="84" t="str">
        <f t="shared" si="36"/>
        <v>Key-COD-CT-146</v>
      </c>
      <c r="Y146" s="84" t="s">
        <v>5981</v>
      </c>
      <c r="Z146" s="84" t="s">
        <v>692</v>
      </c>
      <c r="AA146" s="84" t="s">
        <v>5652</v>
      </c>
      <c r="AB146" s="84" t="s">
        <v>692</v>
      </c>
      <c r="AC146" s="84" t="s">
        <v>692</v>
      </c>
      <c r="AD146" s="54" t="s">
        <v>692</v>
      </c>
    </row>
    <row r="147" spans="1:30" ht="6.75" customHeight="1" x14ac:dyDescent="0.25">
      <c r="A147" s="85">
        <v>147</v>
      </c>
      <c r="B147" s="59" t="s">
        <v>5419</v>
      </c>
      <c r="C147" s="59" t="s">
        <v>1568</v>
      </c>
      <c r="D147" s="59" t="s">
        <v>1569</v>
      </c>
      <c r="E147" s="59" t="s">
        <v>1570</v>
      </c>
      <c r="F147" s="59" t="s">
        <v>1601</v>
      </c>
      <c r="G147" s="81" t="s">
        <v>692</v>
      </c>
      <c r="H147" s="81" t="s">
        <v>692</v>
      </c>
      <c r="I147" s="81" t="s">
        <v>692</v>
      </c>
      <c r="J147" s="81" t="s">
        <v>692</v>
      </c>
      <c r="K147" s="81" t="s">
        <v>692</v>
      </c>
      <c r="L147" s="53" t="str">
        <f t="shared" si="18"/>
        <v>Composições</v>
      </c>
      <c r="M147" s="53" t="str">
        <f t="shared" si="18"/>
        <v>Camadas.Estruturantes</v>
      </c>
      <c r="N147" s="53" t="str">
        <f t="shared" si="17"/>
        <v>Estruturantes</v>
      </c>
      <c r="O147" s="53" t="str">
        <f t="shared" si="17"/>
        <v>Tijolo Refratário</v>
      </c>
      <c r="P147" s="57" t="s">
        <v>1602</v>
      </c>
      <c r="Q147" s="57" t="s">
        <v>1603</v>
      </c>
      <c r="R147" s="54" t="s">
        <v>6145</v>
      </c>
      <c r="S147" s="54" t="s">
        <v>692</v>
      </c>
      <c r="T147" s="55" t="str">
        <f t="shared" si="20"/>
        <v>Composições</v>
      </c>
      <c r="U147" s="55" t="str">
        <f t="shared" si="20"/>
        <v>Camadas Estruturantes</v>
      </c>
      <c r="V147" s="55" t="str">
        <f t="shared" si="20"/>
        <v>Estruturantes</v>
      </c>
      <c r="W147" s="54" t="s">
        <v>7259</v>
      </c>
      <c r="X147" s="84" t="str">
        <f t="shared" si="36"/>
        <v>Key-COD-CT-147</v>
      </c>
      <c r="Y147" s="84" t="s">
        <v>5981</v>
      </c>
      <c r="Z147" s="84" t="s">
        <v>692</v>
      </c>
      <c r="AA147" s="84" t="s">
        <v>5652</v>
      </c>
      <c r="AB147" s="84" t="s">
        <v>692</v>
      </c>
      <c r="AC147" s="84" t="s">
        <v>692</v>
      </c>
      <c r="AD147" s="54" t="s">
        <v>692</v>
      </c>
    </row>
    <row r="148" spans="1:30" ht="6.75" customHeight="1" x14ac:dyDescent="0.25">
      <c r="A148" s="85">
        <v>148</v>
      </c>
      <c r="B148" s="59" t="s">
        <v>5419</v>
      </c>
      <c r="C148" s="59" t="s">
        <v>1568</v>
      </c>
      <c r="D148" s="59" t="s">
        <v>1569</v>
      </c>
      <c r="E148" s="59" t="s">
        <v>1570</v>
      </c>
      <c r="F148" s="59" t="s">
        <v>1604</v>
      </c>
      <c r="G148" s="81" t="s">
        <v>692</v>
      </c>
      <c r="H148" s="81" t="s">
        <v>692</v>
      </c>
      <c r="I148" s="81" t="s">
        <v>692</v>
      </c>
      <c r="J148" s="81" t="s">
        <v>692</v>
      </c>
      <c r="K148" s="81" t="s">
        <v>692</v>
      </c>
      <c r="L148" s="53" t="str">
        <f t="shared" si="18"/>
        <v>Composições</v>
      </c>
      <c r="M148" s="53" t="str">
        <f t="shared" si="18"/>
        <v>Camadas.Estruturantes</v>
      </c>
      <c r="N148" s="53" t="str">
        <f t="shared" si="17"/>
        <v>Estruturantes</v>
      </c>
      <c r="O148" s="53" t="str">
        <f t="shared" si="17"/>
        <v>Tijolo Ecológico</v>
      </c>
      <c r="P148" s="54" t="s">
        <v>1605</v>
      </c>
      <c r="Q148" s="57" t="s">
        <v>1606</v>
      </c>
      <c r="R148" s="54" t="s">
        <v>6146</v>
      </c>
      <c r="S148" s="54" t="s">
        <v>692</v>
      </c>
      <c r="T148" s="55" t="str">
        <f t="shared" si="20"/>
        <v>Composições</v>
      </c>
      <c r="U148" s="55" t="str">
        <f t="shared" si="20"/>
        <v>Camadas Estruturantes</v>
      </c>
      <c r="V148" s="55" t="str">
        <f t="shared" si="20"/>
        <v>Estruturantes</v>
      </c>
      <c r="W148" s="54" t="s">
        <v>7259</v>
      </c>
      <c r="X148" s="84" t="str">
        <f t="shared" si="36"/>
        <v>Key-COD-CT-148</v>
      </c>
      <c r="Y148" s="84" t="s">
        <v>5981</v>
      </c>
      <c r="Z148" s="84" t="s">
        <v>692</v>
      </c>
      <c r="AA148" s="84" t="s">
        <v>5652</v>
      </c>
      <c r="AB148" s="84" t="s">
        <v>692</v>
      </c>
      <c r="AC148" s="84" t="s">
        <v>692</v>
      </c>
      <c r="AD148" s="54" t="s">
        <v>692</v>
      </c>
    </row>
    <row r="149" spans="1:30" ht="6.75" customHeight="1" x14ac:dyDescent="0.25">
      <c r="A149" s="85">
        <v>149</v>
      </c>
      <c r="B149" s="59" t="s">
        <v>5419</v>
      </c>
      <c r="C149" s="59" t="s">
        <v>1568</v>
      </c>
      <c r="D149" s="59" t="s">
        <v>1569</v>
      </c>
      <c r="E149" s="59" t="s">
        <v>1570</v>
      </c>
      <c r="F149" s="59" t="s">
        <v>1607</v>
      </c>
      <c r="G149" s="81" t="s">
        <v>692</v>
      </c>
      <c r="H149" s="81" t="s">
        <v>692</v>
      </c>
      <c r="I149" s="81" t="s">
        <v>692</v>
      </c>
      <c r="J149" s="81" t="s">
        <v>692</v>
      </c>
      <c r="K149" s="81" t="s">
        <v>692</v>
      </c>
      <c r="L149" s="53" t="str">
        <f t="shared" si="18"/>
        <v>Composições</v>
      </c>
      <c r="M149" s="53" t="str">
        <f t="shared" si="18"/>
        <v>Camadas.Estruturantes</v>
      </c>
      <c r="N149" s="53" t="str">
        <f t="shared" si="17"/>
        <v>Estruturantes</v>
      </c>
      <c r="O149" s="53" t="str">
        <f t="shared" si="17"/>
        <v>Bloco Furado</v>
      </c>
      <c r="P149" s="54" t="s">
        <v>1608</v>
      </c>
      <c r="Q149" s="57" t="s">
        <v>1609</v>
      </c>
      <c r="R149" s="54" t="s">
        <v>6147</v>
      </c>
      <c r="S149" s="54" t="s">
        <v>692</v>
      </c>
      <c r="T149" s="55" t="str">
        <f t="shared" si="20"/>
        <v>Composições</v>
      </c>
      <c r="U149" s="55" t="str">
        <f t="shared" si="20"/>
        <v>Camadas Estruturantes</v>
      </c>
      <c r="V149" s="55" t="str">
        <f t="shared" si="20"/>
        <v>Estruturantes</v>
      </c>
      <c r="W149" s="54" t="s">
        <v>7259</v>
      </c>
      <c r="X149" s="84" t="str">
        <f t="shared" si="36"/>
        <v>Key-COD-CT-149</v>
      </c>
      <c r="Y149" s="84" t="s">
        <v>5981</v>
      </c>
      <c r="Z149" s="84" t="s">
        <v>692</v>
      </c>
      <c r="AA149" s="84" t="s">
        <v>5652</v>
      </c>
      <c r="AB149" s="84" t="s">
        <v>692</v>
      </c>
      <c r="AC149" s="84" t="s">
        <v>692</v>
      </c>
      <c r="AD149" s="54" t="s">
        <v>692</v>
      </c>
    </row>
    <row r="150" spans="1:30" ht="6.75" customHeight="1" x14ac:dyDescent="0.25">
      <c r="A150" s="85">
        <v>150</v>
      </c>
      <c r="B150" s="59" t="s">
        <v>5419</v>
      </c>
      <c r="C150" s="59" t="s">
        <v>1568</v>
      </c>
      <c r="D150" s="59" t="s">
        <v>1569</v>
      </c>
      <c r="E150" s="59" t="s">
        <v>1570</v>
      </c>
      <c r="F150" s="59" t="s">
        <v>1610</v>
      </c>
      <c r="G150" s="81" t="s">
        <v>692</v>
      </c>
      <c r="H150" s="81" t="s">
        <v>692</v>
      </c>
      <c r="I150" s="81" t="s">
        <v>692</v>
      </c>
      <c r="J150" s="81" t="s">
        <v>692</v>
      </c>
      <c r="K150" s="81" t="s">
        <v>692</v>
      </c>
      <c r="L150" s="53" t="str">
        <f t="shared" si="18"/>
        <v>Composições</v>
      </c>
      <c r="M150" s="53" t="str">
        <f t="shared" si="18"/>
        <v>Camadas.Estruturantes</v>
      </c>
      <c r="N150" s="53" t="str">
        <f t="shared" si="17"/>
        <v>Estruturantes</v>
      </c>
      <c r="O150" s="53" t="str">
        <f t="shared" si="17"/>
        <v>Canaleta J</v>
      </c>
      <c r="P150" s="54" t="s">
        <v>1611</v>
      </c>
      <c r="Q150" s="57" t="s">
        <v>1612</v>
      </c>
      <c r="R150" s="54" t="s">
        <v>6148</v>
      </c>
      <c r="S150" s="54" t="s">
        <v>692</v>
      </c>
      <c r="T150" s="55" t="str">
        <f t="shared" si="20"/>
        <v>Composições</v>
      </c>
      <c r="U150" s="55" t="str">
        <f t="shared" si="20"/>
        <v>Camadas Estruturantes</v>
      </c>
      <c r="V150" s="55" t="str">
        <f t="shared" si="20"/>
        <v>Estruturantes</v>
      </c>
      <c r="W150" s="54" t="s">
        <v>7259</v>
      </c>
      <c r="X150" s="84" t="str">
        <f t="shared" si="36"/>
        <v>Key-COD-CT-150</v>
      </c>
      <c r="Y150" s="84" t="s">
        <v>5981</v>
      </c>
      <c r="Z150" s="84" t="s">
        <v>692</v>
      </c>
      <c r="AA150" s="84" t="s">
        <v>5652</v>
      </c>
      <c r="AB150" s="84" t="s">
        <v>692</v>
      </c>
      <c r="AC150" s="84" t="s">
        <v>692</v>
      </c>
      <c r="AD150" s="54" t="s">
        <v>692</v>
      </c>
    </row>
    <row r="151" spans="1:30" ht="6.75" customHeight="1" x14ac:dyDescent="0.25">
      <c r="A151" s="85">
        <v>151</v>
      </c>
      <c r="B151" s="59" t="s">
        <v>5419</v>
      </c>
      <c r="C151" s="59" t="s">
        <v>1568</v>
      </c>
      <c r="D151" s="59" t="s">
        <v>1569</v>
      </c>
      <c r="E151" s="59" t="s">
        <v>1570</v>
      </c>
      <c r="F151" s="59" t="s">
        <v>1613</v>
      </c>
      <c r="G151" s="81" t="s">
        <v>692</v>
      </c>
      <c r="H151" s="81" t="s">
        <v>692</v>
      </c>
      <c r="I151" s="81" t="s">
        <v>692</v>
      </c>
      <c r="J151" s="81" t="s">
        <v>692</v>
      </c>
      <c r="K151" s="81" t="s">
        <v>692</v>
      </c>
      <c r="L151" s="53" t="str">
        <f t="shared" si="18"/>
        <v>Composições</v>
      </c>
      <c r="M151" s="53" t="str">
        <f t="shared" si="18"/>
        <v>Camadas.Estruturantes</v>
      </c>
      <c r="N151" s="53" t="str">
        <f t="shared" si="17"/>
        <v>Estruturantes</v>
      </c>
      <c r="O151" s="53" t="str">
        <f t="shared" si="17"/>
        <v>Canaleta U</v>
      </c>
      <c r="P151" s="54" t="s">
        <v>1614</v>
      </c>
      <c r="Q151" s="57" t="s">
        <v>1615</v>
      </c>
      <c r="R151" s="54" t="s">
        <v>6149</v>
      </c>
      <c r="S151" s="54" t="s">
        <v>692</v>
      </c>
      <c r="T151" s="55" t="str">
        <f t="shared" si="20"/>
        <v>Composições</v>
      </c>
      <c r="U151" s="55" t="str">
        <f t="shared" si="20"/>
        <v>Camadas Estruturantes</v>
      </c>
      <c r="V151" s="55" t="str">
        <f t="shared" si="20"/>
        <v>Estruturantes</v>
      </c>
      <c r="W151" s="54" t="s">
        <v>7259</v>
      </c>
      <c r="X151" s="84" t="str">
        <f t="shared" si="36"/>
        <v>Key-COD-CT-151</v>
      </c>
      <c r="Y151" s="84" t="s">
        <v>5981</v>
      </c>
      <c r="Z151" s="84" t="s">
        <v>692</v>
      </c>
      <c r="AA151" s="84" t="s">
        <v>5652</v>
      </c>
      <c r="AB151" s="84" t="s">
        <v>692</v>
      </c>
      <c r="AC151" s="84" t="s">
        <v>692</v>
      </c>
      <c r="AD151" s="54" t="s">
        <v>692</v>
      </c>
    </row>
    <row r="152" spans="1:30" ht="6.75" customHeight="1" x14ac:dyDescent="0.25">
      <c r="A152" s="85">
        <v>152</v>
      </c>
      <c r="B152" s="59" t="s">
        <v>5419</v>
      </c>
      <c r="C152" s="59" t="s">
        <v>1568</v>
      </c>
      <c r="D152" s="59" t="s">
        <v>1569</v>
      </c>
      <c r="E152" s="59" t="s">
        <v>1570</v>
      </c>
      <c r="F152" s="59" t="s">
        <v>1616</v>
      </c>
      <c r="G152" s="81" t="s">
        <v>692</v>
      </c>
      <c r="H152" s="81" t="s">
        <v>692</v>
      </c>
      <c r="I152" s="81" t="s">
        <v>692</v>
      </c>
      <c r="J152" s="81" t="s">
        <v>692</v>
      </c>
      <c r="K152" s="81" t="s">
        <v>692</v>
      </c>
      <c r="L152" s="53" t="str">
        <f t="shared" si="18"/>
        <v>Composições</v>
      </c>
      <c r="M152" s="53" t="str">
        <f t="shared" si="18"/>
        <v>Camadas.Estruturantes</v>
      </c>
      <c r="N152" s="53" t="str">
        <f t="shared" si="17"/>
        <v>Estruturantes</v>
      </c>
      <c r="O152" s="53" t="str">
        <f t="shared" si="17"/>
        <v>Cobogô</v>
      </c>
      <c r="P152" s="54" t="s">
        <v>1617</v>
      </c>
      <c r="Q152" s="54" t="s">
        <v>1618</v>
      </c>
      <c r="R152" s="54" t="s">
        <v>6150</v>
      </c>
      <c r="S152" s="54" t="s">
        <v>692</v>
      </c>
      <c r="T152" s="55" t="str">
        <f t="shared" si="20"/>
        <v>Composições</v>
      </c>
      <c r="U152" s="55" t="str">
        <f t="shared" si="20"/>
        <v>Camadas Estruturantes</v>
      </c>
      <c r="V152" s="55" t="str">
        <f t="shared" si="20"/>
        <v>Estruturantes</v>
      </c>
      <c r="W152" s="54" t="s">
        <v>7259</v>
      </c>
      <c r="X152" s="84" t="str">
        <f t="shared" si="36"/>
        <v>Key-COD-CT-152</v>
      </c>
      <c r="Y152" s="84" t="s">
        <v>5981</v>
      </c>
      <c r="Z152" s="84" t="s">
        <v>692</v>
      </c>
      <c r="AA152" s="84" t="s">
        <v>5652</v>
      </c>
      <c r="AB152" s="84" t="s">
        <v>692</v>
      </c>
      <c r="AC152" s="84" t="s">
        <v>692</v>
      </c>
      <c r="AD152" s="54" t="s">
        <v>692</v>
      </c>
    </row>
    <row r="153" spans="1:30" ht="6.75" customHeight="1" x14ac:dyDescent="0.25">
      <c r="A153" s="85">
        <v>153</v>
      </c>
      <c r="B153" s="59" t="s">
        <v>5419</v>
      </c>
      <c r="C153" s="59" t="s">
        <v>1568</v>
      </c>
      <c r="D153" s="59" t="s">
        <v>1569</v>
      </c>
      <c r="E153" s="59" t="s">
        <v>1570</v>
      </c>
      <c r="F153" s="59" t="s">
        <v>1619</v>
      </c>
      <c r="G153" s="81" t="s">
        <v>692</v>
      </c>
      <c r="H153" s="81" t="s">
        <v>692</v>
      </c>
      <c r="I153" s="81" t="s">
        <v>692</v>
      </c>
      <c r="J153" s="81" t="s">
        <v>692</v>
      </c>
      <c r="K153" s="81" t="s">
        <v>692</v>
      </c>
      <c r="L153" s="53" t="str">
        <f t="shared" si="18"/>
        <v>Composições</v>
      </c>
      <c r="M153" s="53" t="str">
        <f t="shared" si="18"/>
        <v>Camadas.Estruturantes</v>
      </c>
      <c r="N153" s="53" t="str">
        <f t="shared" si="17"/>
        <v>Estruturantes</v>
      </c>
      <c r="O153" s="53" t="str">
        <f t="shared" si="17"/>
        <v>Tijolo Vidro</v>
      </c>
      <c r="P153" s="54" t="s">
        <v>1620</v>
      </c>
      <c r="Q153" s="57" t="s">
        <v>1621</v>
      </c>
      <c r="R153" s="54" t="s">
        <v>6151</v>
      </c>
      <c r="S153" s="54" t="s">
        <v>692</v>
      </c>
      <c r="T153" s="55" t="str">
        <f t="shared" si="20"/>
        <v>Composições</v>
      </c>
      <c r="U153" s="55" t="str">
        <f t="shared" si="20"/>
        <v>Camadas Estruturantes</v>
      </c>
      <c r="V153" s="55" t="str">
        <f t="shared" si="20"/>
        <v>Estruturantes</v>
      </c>
      <c r="W153" s="54" t="s">
        <v>7259</v>
      </c>
      <c r="X153" s="84" t="str">
        <f t="shared" si="36"/>
        <v>Key-COD-CT-153</v>
      </c>
      <c r="Y153" s="84" t="s">
        <v>5981</v>
      </c>
      <c r="Z153" s="84" t="s">
        <v>692</v>
      </c>
      <c r="AA153" s="84" t="s">
        <v>5652</v>
      </c>
      <c r="AB153" s="84" t="s">
        <v>692</v>
      </c>
      <c r="AC153" s="84" t="s">
        <v>692</v>
      </c>
      <c r="AD153" s="54" t="s">
        <v>692</v>
      </c>
    </row>
    <row r="154" spans="1:30" ht="6.75" customHeight="1" x14ac:dyDescent="0.25">
      <c r="A154" s="85">
        <v>154</v>
      </c>
      <c r="B154" s="59" t="s">
        <v>5419</v>
      </c>
      <c r="C154" s="59" t="s">
        <v>1568</v>
      </c>
      <c r="D154" s="59" t="s">
        <v>1622</v>
      </c>
      <c r="E154" s="59" t="s">
        <v>1623</v>
      </c>
      <c r="F154" s="61" t="s">
        <v>1624</v>
      </c>
      <c r="G154" s="81" t="s">
        <v>692</v>
      </c>
      <c r="H154" s="81" t="s">
        <v>692</v>
      </c>
      <c r="I154" s="81" t="s">
        <v>692</v>
      </c>
      <c r="J154" s="81" t="s">
        <v>692</v>
      </c>
      <c r="K154" s="81" t="s">
        <v>692</v>
      </c>
      <c r="L154" s="53" t="str">
        <f t="shared" si="18"/>
        <v>Composições</v>
      </c>
      <c r="M154" s="53" t="str">
        <f t="shared" si="18"/>
        <v>Camadas.Internas</v>
      </c>
      <c r="N154" s="53" t="str">
        <f t="shared" si="17"/>
        <v>Argamassas</v>
      </c>
      <c r="O154" s="53" t="str">
        <f t="shared" si="17"/>
        <v>Assentamento de Parede</v>
      </c>
      <c r="P154" s="56" t="s">
        <v>1625</v>
      </c>
      <c r="Q154" s="57" t="s">
        <v>1626</v>
      </c>
      <c r="R154" s="54" t="s">
        <v>6152</v>
      </c>
      <c r="S154" s="54" t="s">
        <v>692</v>
      </c>
      <c r="T154" s="55" t="str">
        <f t="shared" si="20"/>
        <v>Composições</v>
      </c>
      <c r="U154" s="55" t="str">
        <f t="shared" si="20"/>
        <v>Camadas Internas</v>
      </c>
      <c r="V154" s="55" t="str">
        <f t="shared" si="20"/>
        <v>Argamassas</v>
      </c>
      <c r="W154" s="54" t="s">
        <v>7259</v>
      </c>
      <c r="X154" s="84" t="str">
        <f t="shared" si="36"/>
        <v>Key-COD-CT-154</v>
      </c>
      <c r="Y154" s="84" t="s">
        <v>5982</v>
      </c>
      <c r="Z154" s="84" t="s">
        <v>692</v>
      </c>
      <c r="AA154" s="84" t="s">
        <v>5653</v>
      </c>
      <c r="AB154" s="84" t="s">
        <v>692</v>
      </c>
      <c r="AC154" s="84" t="s">
        <v>692</v>
      </c>
      <c r="AD154" s="54" t="s">
        <v>692</v>
      </c>
    </row>
    <row r="155" spans="1:30" ht="6.75" customHeight="1" x14ac:dyDescent="0.25">
      <c r="A155" s="85">
        <v>155</v>
      </c>
      <c r="B155" s="59" t="s">
        <v>5419</v>
      </c>
      <c r="C155" s="59" t="s">
        <v>1568</v>
      </c>
      <c r="D155" s="59" t="s">
        <v>1622</v>
      </c>
      <c r="E155" s="59" t="s">
        <v>1623</v>
      </c>
      <c r="F155" s="61" t="s">
        <v>1627</v>
      </c>
      <c r="G155" s="81" t="s">
        <v>692</v>
      </c>
      <c r="H155" s="81" t="s">
        <v>692</v>
      </c>
      <c r="I155" s="81" t="s">
        <v>692</v>
      </c>
      <c r="J155" s="81" t="s">
        <v>692</v>
      </c>
      <c r="K155" s="81" t="s">
        <v>692</v>
      </c>
      <c r="L155" s="53" t="str">
        <f t="shared" si="18"/>
        <v>Composições</v>
      </c>
      <c r="M155" s="53" t="str">
        <f t="shared" si="18"/>
        <v>Camadas.Internas</v>
      </c>
      <c r="N155" s="53" t="str">
        <f t="shared" si="17"/>
        <v>Argamassas</v>
      </c>
      <c r="O155" s="53" t="str">
        <f t="shared" si="17"/>
        <v>De Parede Colante</v>
      </c>
      <c r="P155" s="56" t="s">
        <v>1628</v>
      </c>
      <c r="Q155" s="57" t="s">
        <v>1629</v>
      </c>
      <c r="R155" s="54" t="s">
        <v>6153</v>
      </c>
      <c r="S155" s="54" t="s">
        <v>692</v>
      </c>
      <c r="T155" s="55" t="str">
        <f t="shared" si="20"/>
        <v>Composições</v>
      </c>
      <c r="U155" s="55" t="str">
        <f t="shared" si="20"/>
        <v>Camadas Internas</v>
      </c>
      <c r="V155" s="55" t="str">
        <f t="shared" si="20"/>
        <v>Argamassas</v>
      </c>
      <c r="W155" s="54" t="s">
        <v>7259</v>
      </c>
      <c r="X155" s="84" t="str">
        <f t="shared" si="36"/>
        <v>Key-COD-CT-155</v>
      </c>
      <c r="Y155" s="84" t="s">
        <v>5982</v>
      </c>
      <c r="Z155" s="84" t="s">
        <v>692</v>
      </c>
      <c r="AA155" s="84" t="s">
        <v>5653</v>
      </c>
      <c r="AB155" s="84" t="s">
        <v>692</v>
      </c>
      <c r="AC155" s="84" t="s">
        <v>692</v>
      </c>
      <c r="AD155" s="54" t="s">
        <v>692</v>
      </c>
    </row>
    <row r="156" spans="1:30" ht="6.75" customHeight="1" x14ac:dyDescent="0.25">
      <c r="A156" s="85">
        <v>156</v>
      </c>
      <c r="B156" s="59" t="s">
        <v>5419</v>
      </c>
      <c r="C156" s="59" t="s">
        <v>1568</v>
      </c>
      <c r="D156" s="59" t="s">
        <v>1622</v>
      </c>
      <c r="E156" s="59" t="s">
        <v>1623</v>
      </c>
      <c r="F156" s="80" t="s">
        <v>1630</v>
      </c>
      <c r="G156" s="81" t="s">
        <v>692</v>
      </c>
      <c r="H156" s="81" t="s">
        <v>692</v>
      </c>
      <c r="I156" s="81" t="s">
        <v>692</v>
      </c>
      <c r="J156" s="81" t="s">
        <v>692</v>
      </c>
      <c r="K156" s="81" t="s">
        <v>692</v>
      </c>
      <c r="L156" s="53" t="str">
        <f t="shared" si="18"/>
        <v>Composições</v>
      </c>
      <c r="M156" s="53" t="str">
        <f t="shared" si="18"/>
        <v>Camadas.Internas</v>
      </c>
      <c r="N156" s="53" t="str">
        <f t="shared" si="17"/>
        <v>Argamassas</v>
      </c>
      <c r="O156" s="53" t="str">
        <f t="shared" si="17"/>
        <v>De Parede Polimérica</v>
      </c>
      <c r="P156" s="55" t="s">
        <v>1631</v>
      </c>
      <c r="Q156" s="55" t="s">
        <v>1632</v>
      </c>
      <c r="R156" s="54" t="s">
        <v>6154</v>
      </c>
      <c r="S156" s="54" t="s">
        <v>692</v>
      </c>
      <c r="T156" s="55" t="str">
        <f t="shared" si="20"/>
        <v>Composições</v>
      </c>
      <c r="U156" s="55" t="str">
        <f t="shared" si="20"/>
        <v>Camadas Internas</v>
      </c>
      <c r="V156" s="55" t="str">
        <f t="shared" si="20"/>
        <v>Argamassas</v>
      </c>
      <c r="W156" s="54" t="s">
        <v>7259</v>
      </c>
      <c r="X156" s="84" t="str">
        <f t="shared" si="36"/>
        <v>Key-COD-CT-156</v>
      </c>
      <c r="Y156" s="84" t="s">
        <v>5983</v>
      </c>
      <c r="Z156" s="84" t="s">
        <v>692</v>
      </c>
      <c r="AA156" s="84" t="s">
        <v>5654</v>
      </c>
      <c r="AB156" s="84" t="s">
        <v>692</v>
      </c>
      <c r="AC156" s="84" t="s">
        <v>692</v>
      </c>
      <c r="AD156" s="54" t="s">
        <v>692</v>
      </c>
    </row>
    <row r="157" spans="1:30" ht="6.75" customHeight="1" x14ac:dyDescent="0.25">
      <c r="A157" s="85">
        <v>157</v>
      </c>
      <c r="B157" s="59" t="s">
        <v>5419</v>
      </c>
      <c r="C157" s="59" t="s">
        <v>1568</v>
      </c>
      <c r="D157" s="59" t="s">
        <v>1622</v>
      </c>
      <c r="E157" s="59" t="s">
        <v>1623</v>
      </c>
      <c r="F157" s="80" t="s">
        <v>1633</v>
      </c>
      <c r="G157" s="81" t="s">
        <v>692</v>
      </c>
      <c r="H157" s="81" t="s">
        <v>692</v>
      </c>
      <c r="I157" s="81" t="s">
        <v>692</v>
      </c>
      <c r="J157" s="81" t="s">
        <v>692</v>
      </c>
      <c r="K157" s="81" t="s">
        <v>692</v>
      </c>
      <c r="L157" s="53" t="str">
        <f t="shared" si="18"/>
        <v>Composições</v>
      </c>
      <c r="M157" s="53" t="str">
        <f t="shared" si="18"/>
        <v>Camadas.Internas</v>
      </c>
      <c r="N157" s="53" t="str">
        <f t="shared" si="17"/>
        <v>Argamassas</v>
      </c>
      <c r="O157" s="53" t="str">
        <f t="shared" si="17"/>
        <v>De Parede Baritada</v>
      </c>
      <c r="P157" s="55" t="s">
        <v>1634</v>
      </c>
      <c r="Q157" s="55" t="s">
        <v>1635</v>
      </c>
      <c r="R157" s="54" t="s">
        <v>6155</v>
      </c>
      <c r="S157" s="54" t="s">
        <v>692</v>
      </c>
      <c r="T157" s="55" t="str">
        <f t="shared" si="20"/>
        <v>Composições</v>
      </c>
      <c r="U157" s="55" t="str">
        <f t="shared" si="20"/>
        <v>Camadas Internas</v>
      </c>
      <c r="V157" s="55" t="str">
        <f t="shared" si="20"/>
        <v>Argamassas</v>
      </c>
      <c r="W157" s="54" t="s">
        <v>7259</v>
      </c>
      <c r="X157" s="84" t="str">
        <f t="shared" si="36"/>
        <v>Key-COD-CT-157</v>
      </c>
      <c r="Y157" s="84" t="s">
        <v>5983</v>
      </c>
      <c r="Z157" s="84" t="s">
        <v>692</v>
      </c>
      <c r="AA157" s="84" t="s">
        <v>5654</v>
      </c>
      <c r="AB157" s="84" t="s">
        <v>692</v>
      </c>
      <c r="AC157" s="84" t="s">
        <v>692</v>
      </c>
      <c r="AD157" s="54" t="s">
        <v>692</v>
      </c>
    </row>
    <row r="158" spans="1:30" ht="6.75" customHeight="1" x14ac:dyDescent="0.25">
      <c r="A158" s="85">
        <v>158</v>
      </c>
      <c r="B158" s="59" t="s">
        <v>5419</v>
      </c>
      <c r="C158" s="59" t="s">
        <v>1568</v>
      </c>
      <c r="D158" s="59" t="s">
        <v>1622</v>
      </c>
      <c r="E158" s="59" t="s">
        <v>1623</v>
      </c>
      <c r="F158" s="61" t="s">
        <v>1636</v>
      </c>
      <c r="G158" s="81" t="s">
        <v>692</v>
      </c>
      <c r="H158" s="81" t="s">
        <v>692</v>
      </c>
      <c r="I158" s="81" t="s">
        <v>692</v>
      </c>
      <c r="J158" s="81" t="s">
        <v>692</v>
      </c>
      <c r="K158" s="81" t="s">
        <v>692</v>
      </c>
      <c r="L158" s="53" t="str">
        <f t="shared" si="18"/>
        <v>Composições</v>
      </c>
      <c r="M158" s="53" t="str">
        <f t="shared" si="18"/>
        <v>Camadas.Internas</v>
      </c>
      <c r="N158" s="53" t="str">
        <f t="shared" si="17"/>
        <v>Argamassas</v>
      </c>
      <c r="O158" s="53" t="str">
        <f t="shared" si="17"/>
        <v>De Piso Colante</v>
      </c>
      <c r="P158" s="56" t="s">
        <v>1637</v>
      </c>
      <c r="Q158" s="57" t="s">
        <v>1638</v>
      </c>
      <c r="R158" s="54" t="s">
        <v>6156</v>
      </c>
      <c r="S158" s="54" t="s">
        <v>692</v>
      </c>
      <c r="T158" s="55" t="str">
        <f t="shared" si="20"/>
        <v>Composições</v>
      </c>
      <c r="U158" s="55" t="str">
        <f t="shared" si="20"/>
        <v>Camadas Internas</v>
      </c>
      <c r="V158" s="55" t="str">
        <f t="shared" si="20"/>
        <v>Argamassas</v>
      </c>
      <c r="W158" s="54" t="s">
        <v>7259</v>
      </c>
      <c r="X158" s="84" t="str">
        <f t="shared" si="36"/>
        <v>Key-COD-CT-158</v>
      </c>
      <c r="Y158" s="84" t="s">
        <v>5984</v>
      </c>
      <c r="Z158" s="84" t="s">
        <v>692</v>
      </c>
      <c r="AA158" s="84" t="s">
        <v>5653</v>
      </c>
      <c r="AB158" s="84" t="s">
        <v>692</v>
      </c>
      <c r="AC158" s="84" t="s">
        <v>692</v>
      </c>
      <c r="AD158" s="54" t="s">
        <v>692</v>
      </c>
    </row>
    <row r="159" spans="1:30" ht="6.75" customHeight="1" x14ac:dyDescent="0.25">
      <c r="A159" s="85">
        <v>159</v>
      </c>
      <c r="B159" s="59" t="s">
        <v>5419</v>
      </c>
      <c r="C159" s="59" t="s">
        <v>1568</v>
      </c>
      <c r="D159" s="59" t="s">
        <v>1622</v>
      </c>
      <c r="E159" s="59" t="s">
        <v>1623</v>
      </c>
      <c r="F159" s="80" t="s">
        <v>1639</v>
      </c>
      <c r="G159" s="81" t="s">
        <v>692</v>
      </c>
      <c r="H159" s="81" t="s">
        <v>692</v>
      </c>
      <c r="I159" s="81" t="s">
        <v>692</v>
      </c>
      <c r="J159" s="81" t="s">
        <v>692</v>
      </c>
      <c r="K159" s="81" t="s">
        <v>692</v>
      </c>
      <c r="L159" s="53" t="str">
        <f t="shared" si="18"/>
        <v>Composições</v>
      </c>
      <c r="M159" s="53" t="str">
        <f t="shared" si="18"/>
        <v>Camadas.Internas</v>
      </c>
      <c r="N159" s="53" t="str">
        <f t="shared" si="17"/>
        <v>Argamassas</v>
      </c>
      <c r="O159" s="53" t="str">
        <f t="shared" si="17"/>
        <v>De Piso Polimérica</v>
      </c>
      <c r="P159" s="55" t="s">
        <v>1631</v>
      </c>
      <c r="Q159" s="55" t="s">
        <v>1640</v>
      </c>
      <c r="R159" s="54" t="s">
        <v>6154</v>
      </c>
      <c r="S159" s="54" t="s">
        <v>692</v>
      </c>
      <c r="T159" s="55" t="str">
        <f t="shared" ref="T159:V225" si="37">SUBSTITUTE(C159, ".", " ")</f>
        <v>Composições</v>
      </c>
      <c r="U159" s="55" t="str">
        <f t="shared" si="37"/>
        <v>Camadas Internas</v>
      </c>
      <c r="V159" s="55" t="str">
        <f t="shared" si="37"/>
        <v>Argamassas</v>
      </c>
      <c r="W159" s="54" t="s">
        <v>7259</v>
      </c>
      <c r="X159" s="84" t="str">
        <f t="shared" si="36"/>
        <v>Key-COD-CT-159</v>
      </c>
      <c r="Y159" s="84" t="s">
        <v>5985</v>
      </c>
      <c r="Z159" s="84" t="s">
        <v>692</v>
      </c>
      <c r="AA159" s="84" t="s">
        <v>5654</v>
      </c>
      <c r="AB159" s="84" t="s">
        <v>692</v>
      </c>
      <c r="AC159" s="84" t="s">
        <v>692</v>
      </c>
      <c r="AD159" s="54" t="s">
        <v>692</v>
      </c>
    </row>
    <row r="160" spans="1:30" ht="6.75" customHeight="1" x14ac:dyDescent="0.25">
      <c r="A160" s="85">
        <v>160</v>
      </c>
      <c r="B160" s="59" t="s">
        <v>5419</v>
      </c>
      <c r="C160" s="59" t="s">
        <v>1568</v>
      </c>
      <c r="D160" s="59" t="s">
        <v>1622</v>
      </c>
      <c r="E160" s="59" t="s">
        <v>1623</v>
      </c>
      <c r="F160" s="80" t="s">
        <v>1641</v>
      </c>
      <c r="G160" s="81" t="s">
        <v>692</v>
      </c>
      <c r="H160" s="81" t="s">
        <v>692</v>
      </c>
      <c r="I160" s="81" t="s">
        <v>692</v>
      </c>
      <c r="J160" s="81" t="s">
        <v>692</v>
      </c>
      <c r="K160" s="81" t="s">
        <v>692</v>
      </c>
      <c r="L160" s="53" t="str">
        <f t="shared" si="18"/>
        <v>Composições</v>
      </c>
      <c r="M160" s="53" t="str">
        <f t="shared" si="18"/>
        <v>Camadas.Internas</v>
      </c>
      <c r="N160" s="53" t="str">
        <f t="shared" si="17"/>
        <v>Argamassas</v>
      </c>
      <c r="O160" s="53" t="str">
        <f t="shared" si="17"/>
        <v>De Piso Baritada</v>
      </c>
      <c r="P160" s="55" t="s">
        <v>1642</v>
      </c>
      <c r="Q160" s="55" t="s">
        <v>1643</v>
      </c>
      <c r="R160" s="54" t="s">
        <v>6157</v>
      </c>
      <c r="S160" s="54" t="s">
        <v>692</v>
      </c>
      <c r="T160" s="55" t="str">
        <f t="shared" si="37"/>
        <v>Composições</v>
      </c>
      <c r="U160" s="55" t="str">
        <f t="shared" si="37"/>
        <v>Camadas Internas</v>
      </c>
      <c r="V160" s="55" t="str">
        <f t="shared" si="37"/>
        <v>Argamassas</v>
      </c>
      <c r="W160" s="54" t="s">
        <v>7259</v>
      </c>
      <c r="X160" s="84" t="str">
        <f t="shared" si="36"/>
        <v>Key-COD-CT-160</v>
      </c>
      <c r="Y160" s="84" t="s">
        <v>5985</v>
      </c>
      <c r="Z160" s="84" t="s">
        <v>692</v>
      </c>
      <c r="AA160" s="84" t="s">
        <v>5654</v>
      </c>
      <c r="AB160" s="84" t="s">
        <v>692</v>
      </c>
      <c r="AC160" s="84" t="s">
        <v>692</v>
      </c>
      <c r="AD160" s="54" t="s">
        <v>692</v>
      </c>
    </row>
    <row r="161" spans="1:30" ht="6.75" customHeight="1" x14ac:dyDescent="0.25">
      <c r="A161" s="85">
        <v>161</v>
      </c>
      <c r="B161" s="59" t="s">
        <v>5419</v>
      </c>
      <c r="C161" s="59" t="s">
        <v>1568</v>
      </c>
      <c r="D161" s="59" t="s">
        <v>1622</v>
      </c>
      <c r="E161" s="59" t="s">
        <v>1623</v>
      </c>
      <c r="F161" s="61" t="s">
        <v>1644</v>
      </c>
      <c r="G161" s="81" t="s">
        <v>692</v>
      </c>
      <c r="H161" s="81" t="s">
        <v>692</v>
      </c>
      <c r="I161" s="81" t="s">
        <v>692</v>
      </c>
      <c r="J161" s="81" t="s">
        <v>692</v>
      </c>
      <c r="K161" s="81" t="s">
        <v>692</v>
      </c>
      <c r="L161" s="53" t="str">
        <f t="shared" si="18"/>
        <v>Composições</v>
      </c>
      <c r="M161" s="53" t="str">
        <f t="shared" si="18"/>
        <v>Camadas.Internas</v>
      </c>
      <c r="N161" s="53" t="str">
        <f t="shared" si="17"/>
        <v>Argamassas</v>
      </c>
      <c r="O161" s="53" t="str">
        <f t="shared" si="17"/>
        <v>Chapisco</v>
      </c>
      <c r="P161" s="56" t="s">
        <v>1645</v>
      </c>
      <c r="Q161" s="57" t="s">
        <v>1646</v>
      </c>
      <c r="R161" s="54" t="e" vm="1">
        <v>#VALUE!</v>
      </c>
      <c r="S161" s="54" t="s">
        <v>692</v>
      </c>
      <c r="T161" s="55" t="str">
        <f t="shared" si="37"/>
        <v>Composições</v>
      </c>
      <c r="U161" s="55" t="str">
        <f t="shared" si="37"/>
        <v>Camadas Internas</v>
      </c>
      <c r="V161" s="55" t="str">
        <f t="shared" si="37"/>
        <v>Argamassas</v>
      </c>
      <c r="W161" s="54" t="s">
        <v>7259</v>
      </c>
      <c r="X161" s="84" t="str">
        <f t="shared" si="36"/>
        <v>Key-COD-CT-161</v>
      </c>
      <c r="Y161" s="84" t="s">
        <v>5982</v>
      </c>
      <c r="Z161" s="84" t="s">
        <v>692</v>
      </c>
      <c r="AA161" s="84" t="s">
        <v>5655</v>
      </c>
      <c r="AB161" s="84" t="s">
        <v>692</v>
      </c>
      <c r="AC161" s="84" t="s">
        <v>692</v>
      </c>
      <c r="AD161" s="54" t="s">
        <v>692</v>
      </c>
    </row>
    <row r="162" spans="1:30" ht="6.75" customHeight="1" x14ac:dyDescent="0.25">
      <c r="A162" s="85">
        <v>162</v>
      </c>
      <c r="B162" s="59" t="s">
        <v>5419</v>
      </c>
      <c r="C162" s="59" t="s">
        <v>1568</v>
      </c>
      <c r="D162" s="59" t="s">
        <v>1622</v>
      </c>
      <c r="E162" s="59" t="s">
        <v>1623</v>
      </c>
      <c r="F162" s="61" t="s">
        <v>1647</v>
      </c>
      <c r="G162" s="81" t="s">
        <v>692</v>
      </c>
      <c r="H162" s="81" t="s">
        <v>692</v>
      </c>
      <c r="I162" s="81" t="s">
        <v>692</v>
      </c>
      <c r="J162" s="81" t="s">
        <v>692</v>
      </c>
      <c r="K162" s="81" t="s">
        <v>692</v>
      </c>
      <c r="L162" s="53" t="str">
        <f t="shared" si="18"/>
        <v>Composições</v>
      </c>
      <c r="M162" s="53" t="str">
        <f t="shared" si="18"/>
        <v>Camadas.Internas</v>
      </c>
      <c r="N162" s="53" t="str">
        <f t="shared" si="17"/>
        <v>Argamassas</v>
      </c>
      <c r="O162" s="53" t="str">
        <f t="shared" si="17"/>
        <v>Emboço</v>
      </c>
      <c r="P162" s="56" t="s">
        <v>1648</v>
      </c>
      <c r="Q162" s="57" t="s">
        <v>1649</v>
      </c>
      <c r="R162" s="54" t="s">
        <v>6158</v>
      </c>
      <c r="S162" s="54" t="s">
        <v>692</v>
      </c>
      <c r="T162" s="55" t="str">
        <f t="shared" si="37"/>
        <v>Composições</v>
      </c>
      <c r="U162" s="55" t="str">
        <f t="shared" si="37"/>
        <v>Camadas Internas</v>
      </c>
      <c r="V162" s="55" t="str">
        <f t="shared" si="37"/>
        <v>Argamassas</v>
      </c>
      <c r="W162" s="54" t="s">
        <v>7259</v>
      </c>
      <c r="X162" s="84" t="str">
        <f t="shared" si="36"/>
        <v>Key-COD-CT-162</v>
      </c>
      <c r="Y162" s="84" t="s">
        <v>5982</v>
      </c>
      <c r="Z162" s="84" t="s">
        <v>692</v>
      </c>
      <c r="AA162" s="84" t="s">
        <v>5655</v>
      </c>
      <c r="AB162" s="84" t="s">
        <v>692</v>
      </c>
      <c r="AC162" s="84" t="s">
        <v>692</v>
      </c>
      <c r="AD162" s="54" t="s">
        <v>692</v>
      </c>
    </row>
    <row r="163" spans="1:30" ht="6.75" customHeight="1" x14ac:dyDescent="0.25">
      <c r="A163" s="85">
        <v>163</v>
      </c>
      <c r="B163" s="59" t="s">
        <v>5419</v>
      </c>
      <c r="C163" s="59" t="s">
        <v>1568</v>
      </c>
      <c r="D163" s="59" t="s">
        <v>1622</v>
      </c>
      <c r="E163" s="59" t="s">
        <v>1623</v>
      </c>
      <c r="F163" s="61" t="s">
        <v>1650</v>
      </c>
      <c r="G163" s="81" t="s">
        <v>692</v>
      </c>
      <c r="H163" s="81" t="s">
        <v>692</v>
      </c>
      <c r="I163" s="81" t="s">
        <v>692</v>
      </c>
      <c r="J163" s="81" t="s">
        <v>692</v>
      </c>
      <c r="K163" s="81" t="s">
        <v>692</v>
      </c>
      <c r="L163" s="53" t="str">
        <f t="shared" si="18"/>
        <v>Composições</v>
      </c>
      <c r="M163" s="53" t="str">
        <f t="shared" si="18"/>
        <v>Camadas.Internas</v>
      </c>
      <c r="N163" s="53" t="str">
        <f t="shared" si="17"/>
        <v>Argamassas</v>
      </c>
      <c r="O163" s="53" t="str">
        <f t="shared" si="17"/>
        <v>Reboco</v>
      </c>
      <c r="P163" s="56" t="s">
        <v>1651</v>
      </c>
      <c r="Q163" s="57" t="s">
        <v>1652</v>
      </c>
      <c r="R163" s="54" t="s">
        <v>6159</v>
      </c>
      <c r="S163" s="54" t="s">
        <v>692</v>
      </c>
      <c r="T163" s="55" t="str">
        <f t="shared" si="37"/>
        <v>Composições</v>
      </c>
      <c r="U163" s="55" t="str">
        <f t="shared" si="37"/>
        <v>Camadas Internas</v>
      </c>
      <c r="V163" s="55" t="str">
        <f t="shared" si="37"/>
        <v>Argamassas</v>
      </c>
      <c r="W163" s="54" t="s">
        <v>7259</v>
      </c>
      <c r="X163" s="84" t="str">
        <f t="shared" si="36"/>
        <v>Key-COD-CT-163</v>
      </c>
      <c r="Y163" s="84" t="s">
        <v>5982</v>
      </c>
      <c r="Z163" s="84" t="s">
        <v>692</v>
      </c>
      <c r="AA163" s="84" t="s">
        <v>5655</v>
      </c>
      <c r="AB163" s="84" t="s">
        <v>692</v>
      </c>
      <c r="AC163" s="84" t="s">
        <v>692</v>
      </c>
      <c r="AD163" s="54" t="s">
        <v>692</v>
      </c>
    </row>
    <row r="164" spans="1:30" ht="6.75" customHeight="1" x14ac:dyDescent="0.25">
      <c r="A164" s="85">
        <v>164</v>
      </c>
      <c r="B164" s="59" t="s">
        <v>5419</v>
      </c>
      <c r="C164" s="59" t="s">
        <v>1568</v>
      </c>
      <c r="D164" s="59" t="s">
        <v>1622</v>
      </c>
      <c r="E164" s="59" t="s">
        <v>1623</v>
      </c>
      <c r="F164" s="61" t="s">
        <v>1653</v>
      </c>
      <c r="G164" s="81" t="s">
        <v>692</v>
      </c>
      <c r="H164" s="81" t="s">
        <v>692</v>
      </c>
      <c r="I164" s="81" t="s">
        <v>692</v>
      </c>
      <c r="J164" s="81" t="s">
        <v>692</v>
      </c>
      <c r="K164" s="81" t="s">
        <v>692</v>
      </c>
      <c r="L164" s="53" t="str">
        <f t="shared" si="18"/>
        <v>Composições</v>
      </c>
      <c r="M164" s="53" t="str">
        <f t="shared" si="18"/>
        <v>Camadas.Internas</v>
      </c>
      <c r="N164" s="53" t="str">
        <f t="shared" si="17"/>
        <v>Argamassas</v>
      </c>
      <c r="O164" s="53" t="str">
        <f t="shared" si="17"/>
        <v>Niveladora</v>
      </c>
      <c r="P164" s="56" t="s">
        <v>1654</v>
      </c>
      <c r="Q164" s="56" t="s">
        <v>1655</v>
      </c>
      <c r="R164" s="54" t="s">
        <v>6160</v>
      </c>
      <c r="S164" s="54" t="s">
        <v>692</v>
      </c>
      <c r="T164" s="55" t="str">
        <f t="shared" si="37"/>
        <v>Composições</v>
      </c>
      <c r="U164" s="55" t="str">
        <f t="shared" si="37"/>
        <v>Camadas Internas</v>
      </c>
      <c r="V164" s="55" t="str">
        <f t="shared" si="37"/>
        <v>Argamassas</v>
      </c>
      <c r="W164" s="54" t="s">
        <v>7259</v>
      </c>
      <c r="X164" s="84" t="str">
        <f t="shared" si="36"/>
        <v>Key-COD-CT-164</v>
      </c>
      <c r="Y164" s="84" t="s">
        <v>5984</v>
      </c>
      <c r="Z164" s="84" t="s">
        <v>692</v>
      </c>
      <c r="AA164" s="84" t="s">
        <v>5655</v>
      </c>
      <c r="AB164" s="84" t="s">
        <v>692</v>
      </c>
      <c r="AC164" s="84" t="s">
        <v>692</v>
      </c>
      <c r="AD164" s="54" t="s">
        <v>692</v>
      </c>
    </row>
    <row r="165" spans="1:30" ht="6.75" customHeight="1" x14ac:dyDescent="0.25">
      <c r="A165" s="85">
        <v>165</v>
      </c>
      <c r="B165" s="59" t="s">
        <v>5419</v>
      </c>
      <c r="C165" s="59" t="s">
        <v>1568</v>
      </c>
      <c r="D165" s="59" t="s">
        <v>1622</v>
      </c>
      <c r="E165" s="59" t="s">
        <v>1623</v>
      </c>
      <c r="F165" s="80" t="s">
        <v>1656</v>
      </c>
      <c r="G165" s="81" t="s">
        <v>692</v>
      </c>
      <c r="H165" s="81" t="s">
        <v>692</v>
      </c>
      <c r="I165" s="81" t="s">
        <v>692</v>
      </c>
      <c r="J165" s="81" t="s">
        <v>692</v>
      </c>
      <c r="K165" s="81" t="s">
        <v>692</v>
      </c>
      <c r="L165" s="53" t="str">
        <f t="shared" si="18"/>
        <v>Composições</v>
      </c>
      <c r="M165" s="53" t="str">
        <f t="shared" si="18"/>
        <v>Camadas.Internas</v>
      </c>
      <c r="N165" s="53" t="str">
        <f t="shared" si="17"/>
        <v>Argamassas</v>
      </c>
      <c r="O165" s="53" t="str">
        <f t="shared" si="17"/>
        <v>Graute</v>
      </c>
      <c r="P165" s="55" t="s">
        <v>1657</v>
      </c>
      <c r="Q165" s="55" t="s">
        <v>1658</v>
      </c>
      <c r="R165" s="54" t="s">
        <v>6161</v>
      </c>
      <c r="S165" s="54" t="s">
        <v>692</v>
      </c>
      <c r="T165" s="55" t="str">
        <f t="shared" si="37"/>
        <v>Composições</v>
      </c>
      <c r="U165" s="55" t="str">
        <f t="shared" si="37"/>
        <v>Camadas Internas</v>
      </c>
      <c r="V165" s="55" t="str">
        <f t="shared" si="37"/>
        <v>Argamassas</v>
      </c>
      <c r="W165" s="54" t="s">
        <v>7259</v>
      </c>
      <c r="X165" s="84" t="str">
        <f t="shared" si="36"/>
        <v>Key-COD-CT-165</v>
      </c>
      <c r="Y165" s="84" t="s">
        <v>5984</v>
      </c>
      <c r="Z165" s="84" t="s">
        <v>692</v>
      </c>
      <c r="AA165" s="84" t="s">
        <v>5655</v>
      </c>
      <c r="AB165" s="84" t="s">
        <v>692</v>
      </c>
      <c r="AC165" s="84" t="s">
        <v>692</v>
      </c>
      <c r="AD165" s="54" t="s">
        <v>692</v>
      </c>
    </row>
    <row r="166" spans="1:30" ht="6.75" customHeight="1" x14ac:dyDescent="0.25">
      <c r="A166" s="85">
        <v>166</v>
      </c>
      <c r="B166" s="59" t="s">
        <v>5419</v>
      </c>
      <c r="C166" s="59" t="s">
        <v>1568</v>
      </c>
      <c r="D166" s="59" t="s">
        <v>1622</v>
      </c>
      <c r="E166" s="59" t="s">
        <v>1659</v>
      </c>
      <c r="F166" s="61" t="s">
        <v>1660</v>
      </c>
      <c r="G166" s="81" t="s">
        <v>692</v>
      </c>
      <c r="H166" s="81" t="s">
        <v>692</v>
      </c>
      <c r="I166" s="81" t="s">
        <v>692</v>
      </c>
      <c r="J166" s="81" t="s">
        <v>692</v>
      </c>
      <c r="K166" s="81" t="s">
        <v>692</v>
      </c>
      <c r="L166" s="53" t="str">
        <f t="shared" si="18"/>
        <v>Composições</v>
      </c>
      <c r="M166" s="53" t="str">
        <f t="shared" si="18"/>
        <v>Camadas.Internas</v>
      </c>
      <c r="N166" s="53" t="str">
        <f t="shared" si="17"/>
        <v>Colas</v>
      </c>
      <c r="O166" s="53" t="str">
        <f t="shared" si="17"/>
        <v>Cola Madeira</v>
      </c>
      <c r="P166" s="56" t="s">
        <v>1661</v>
      </c>
      <c r="Q166" s="56" t="s">
        <v>1662</v>
      </c>
      <c r="R166" s="54" t="s">
        <v>6162</v>
      </c>
      <c r="S166" s="54" t="s">
        <v>692</v>
      </c>
      <c r="T166" s="55" t="str">
        <f t="shared" si="37"/>
        <v>Composições</v>
      </c>
      <c r="U166" s="55" t="str">
        <f t="shared" si="37"/>
        <v>Camadas Internas</v>
      </c>
      <c r="V166" s="55" t="str">
        <f t="shared" si="37"/>
        <v>Colas</v>
      </c>
      <c r="W166" s="54" t="s">
        <v>7259</v>
      </c>
      <c r="X166" s="84" t="str">
        <f t="shared" si="36"/>
        <v>Key-COD-CT-166</v>
      </c>
      <c r="Y166" s="84" t="s">
        <v>5986</v>
      </c>
      <c r="Z166" s="84" t="s">
        <v>692</v>
      </c>
      <c r="AA166" s="84" t="s">
        <v>5656</v>
      </c>
      <c r="AB166" s="84" t="s">
        <v>692</v>
      </c>
      <c r="AC166" s="84" t="s">
        <v>692</v>
      </c>
      <c r="AD166" s="54" t="s">
        <v>692</v>
      </c>
    </row>
    <row r="167" spans="1:30" ht="6.75" customHeight="1" x14ac:dyDescent="0.25">
      <c r="A167" s="85">
        <v>167</v>
      </c>
      <c r="B167" s="59" t="s">
        <v>5419</v>
      </c>
      <c r="C167" s="59" t="s">
        <v>1568</v>
      </c>
      <c r="D167" s="59" t="s">
        <v>1622</v>
      </c>
      <c r="E167" s="59" t="s">
        <v>1659</v>
      </c>
      <c r="F167" s="61" t="s">
        <v>1663</v>
      </c>
      <c r="G167" s="81" t="s">
        <v>692</v>
      </c>
      <c r="H167" s="81" t="s">
        <v>692</v>
      </c>
      <c r="I167" s="81" t="s">
        <v>692</v>
      </c>
      <c r="J167" s="81" t="s">
        <v>692</v>
      </c>
      <c r="K167" s="81" t="s">
        <v>692</v>
      </c>
      <c r="L167" s="53" t="str">
        <f t="shared" si="18"/>
        <v>Composições</v>
      </c>
      <c r="M167" s="53" t="str">
        <f t="shared" si="18"/>
        <v>Camadas.Internas</v>
      </c>
      <c r="N167" s="53" t="str">
        <f t="shared" si="17"/>
        <v>Colas</v>
      </c>
      <c r="O167" s="53" t="str">
        <f t="shared" si="17"/>
        <v>Cola Metal</v>
      </c>
      <c r="P167" s="56" t="s">
        <v>1664</v>
      </c>
      <c r="Q167" s="56" t="s">
        <v>1665</v>
      </c>
      <c r="R167" s="54" t="s">
        <v>6163</v>
      </c>
      <c r="S167" s="54" t="s">
        <v>692</v>
      </c>
      <c r="T167" s="55" t="str">
        <f t="shared" si="37"/>
        <v>Composições</v>
      </c>
      <c r="U167" s="55" t="str">
        <f t="shared" si="37"/>
        <v>Camadas Internas</v>
      </c>
      <c r="V167" s="55" t="str">
        <f t="shared" si="37"/>
        <v>Colas</v>
      </c>
      <c r="W167" s="54" t="s">
        <v>7259</v>
      </c>
      <c r="X167" s="84" t="str">
        <f t="shared" si="36"/>
        <v>Key-COD-CT-167</v>
      </c>
      <c r="Y167" s="84" t="s">
        <v>5986</v>
      </c>
      <c r="Z167" s="84" t="s">
        <v>692</v>
      </c>
      <c r="AA167" s="84" t="s">
        <v>5656</v>
      </c>
      <c r="AB167" s="84" t="s">
        <v>692</v>
      </c>
      <c r="AC167" s="84" t="s">
        <v>692</v>
      </c>
      <c r="AD167" s="54" t="s">
        <v>692</v>
      </c>
    </row>
    <row r="168" spans="1:30" ht="6.75" customHeight="1" x14ac:dyDescent="0.25">
      <c r="A168" s="85">
        <v>168</v>
      </c>
      <c r="B168" s="59" t="s">
        <v>5419</v>
      </c>
      <c r="C168" s="59" t="s">
        <v>1568</v>
      </c>
      <c r="D168" s="59" t="s">
        <v>1622</v>
      </c>
      <c r="E168" s="59" t="s">
        <v>1659</v>
      </c>
      <c r="F168" s="61" t="s">
        <v>1666</v>
      </c>
      <c r="G168" s="81" t="s">
        <v>692</v>
      </c>
      <c r="H168" s="81" t="s">
        <v>692</v>
      </c>
      <c r="I168" s="81" t="s">
        <v>692</v>
      </c>
      <c r="J168" s="81" t="s">
        <v>692</v>
      </c>
      <c r="K168" s="81" t="s">
        <v>692</v>
      </c>
      <c r="L168" s="53" t="str">
        <f t="shared" si="18"/>
        <v>Composições</v>
      </c>
      <c r="M168" s="53" t="str">
        <f t="shared" si="18"/>
        <v>Camadas.Internas</v>
      </c>
      <c r="N168" s="53" t="str">
        <f t="shared" si="17"/>
        <v>Colas</v>
      </c>
      <c r="O168" s="53" t="str">
        <f t="shared" si="17"/>
        <v>Cola Textil</v>
      </c>
      <c r="P168" s="56" t="s">
        <v>1667</v>
      </c>
      <c r="Q168" s="56" t="s">
        <v>1668</v>
      </c>
      <c r="R168" s="54" t="s">
        <v>6164</v>
      </c>
      <c r="S168" s="54" t="s">
        <v>692</v>
      </c>
      <c r="T168" s="55" t="str">
        <f t="shared" si="37"/>
        <v>Composições</v>
      </c>
      <c r="U168" s="55" t="str">
        <f t="shared" si="37"/>
        <v>Camadas Internas</v>
      </c>
      <c r="V168" s="55" t="str">
        <f t="shared" si="37"/>
        <v>Colas</v>
      </c>
      <c r="W168" s="54" t="s">
        <v>7259</v>
      </c>
      <c r="X168" s="84" t="str">
        <f t="shared" si="36"/>
        <v>Key-COD-CT-168</v>
      </c>
      <c r="Y168" s="84" t="s">
        <v>5986</v>
      </c>
      <c r="Z168" s="84" t="s">
        <v>692</v>
      </c>
      <c r="AA168" s="84" t="s">
        <v>5656</v>
      </c>
      <c r="AB168" s="84" t="s">
        <v>692</v>
      </c>
      <c r="AC168" s="84" t="s">
        <v>692</v>
      </c>
      <c r="AD168" s="54" t="s">
        <v>692</v>
      </c>
    </row>
    <row r="169" spans="1:30" ht="6.75" customHeight="1" x14ac:dyDescent="0.25">
      <c r="A169" s="85">
        <v>169</v>
      </c>
      <c r="B169" s="59" t="s">
        <v>5419</v>
      </c>
      <c r="C169" s="59" t="s">
        <v>1568</v>
      </c>
      <c r="D169" s="59" t="s">
        <v>1622</v>
      </c>
      <c r="E169" s="59" t="s">
        <v>1659</v>
      </c>
      <c r="F169" s="61" t="s">
        <v>1669</v>
      </c>
      <c r="G169" s="81" t="s">
        <v>692</v>
      </c>
      <c r="H169" s="81" t="s">
        <v>692</v>
      </c>
      <c r="I169" s="81" t="s">
        <v>692</v>
      </c>
      <c r="J169" s="81" t="s">
        <v>692</v>
      </c>
      <c r="K169" s="81" t="s">
        <v>692</v>
      </c>
      <c r="L169" s="53" t="str">
        <f t="shared" si="18"/>
        <v>Composições</v>
      </c>
      <c r="M169" s="53" t="str">
        <f t="shared" si="18"/>
        <v>Camadas.Internas</v>
      </c>
      <c r="N169" s="53" t="str">
        <f t="shared" si="17"/>
        <v>Colas</v>
      </c>
      <c r="O169" s="53" t="str">
        <f t="shared" si="17"/>
        <v>Cola Espuma</v>
      </c>
      <c r="P169" s="56" t="s">
        <v>1670</v>
      </c>
      <c r="Q169" s="56" t="s">
        <v>1671</v>
      </c>
      <c r="R169" s="54" t="s">
        <v>6165</v>
      </c>
      <c r="S169" s="54" t="s">
        <v>692</v>
      </c>
      <c r="T169" s="55" t="str">
        <f t="shared" si="37"/>
        <v>Composições</v>
      </c>
      <c r="U169" s="55" t="str">
        <f t="shared" si="37"/>
        <v>Camadas Internas</v>
      </c>
      <c r="V169" s="55" t="str">
        <f t="shared" si="37"/>
        <v>Colas</v>
      </c>
      <c r="W169" s="54" t="s">
        <v>7259</v>
      </c>
      <c r="X169" s="84" t="str">
        <f t="shared" si="36"/>
        <v>Key-COD-CT-169</v>
      </c>
      <c r="Y169" s="84" t="s">
        <v>5986</v>
      </c>
      <c r="Z169" s="84" t="s">
        <v>692</v>
      </c>
      <c r="AA169" s="84" t="s">
        <v>5656</v>
      </c>
      <c r="AB169" s="84" t="s">
        <v>692</v>
      </c>
      <c r="AC169" s="84" t="s">
        <v>692</v>
      </c>
      <c r="AD169" s="54" t="s">
        <v>692</v>
      </c>
    </row>
    <row r="170" spans="1:30" ht="6.75" customHeight="1" x14ac:dyDescent="0.25">
      <c r="A170" s="85">
        <v>170</v>
      </c>
      <c r="B170" s="59" t="s">
        <v>5419</v>
      </c>
      <c r="C170" s="59" t="s">
        <v>1568</v>
      </c>
      <c r="D170" s="59" t="s">
        <v>1622</v>
      </c>
      <c r="E170" s="59" t="s">
        <v>1659</v>
      </c>
      <c r="F170" s="61" t="s">
        <v>1672</v>
      </c>
      <c r="G170" s="81" t="s">
        <v>692</v>
      </c>
      <c r="H170" s="81" t="s">
        <v>692</v>
      </c>
      <c r="I170" s="81" t="s">
        <v>692</v>
      </c>
      <c r="J170" s="81" t="s">
        <v>692</v>
      </c>
      <c r="K170" s="81" t="s">
        <v>692</v>
      </c>
      <c r="L170" s="53" t="str">
        <f t="shared" si="18"/>
        <v>Composições</v>
      </c>
      <c r="M170" s="53" t="str">
        <f t="shared" si="18"/>
        <v>Camadas.Internas</v>
      </c>
      <c r="N170" s="53" t="str">
        <f t="shared" si="17"/>
        <v>Colas</v>
      </c>
      <c r="O170" s="53" t="str">
        <f t="shared" si="17"/>
        <v>Cola Louça</v>
      </c>
      <c r="P170" s="56" t="s">
        <v>1673</v>
      </c>
      <c r="Q170" s="56" t="s">
        <v>1674</v>
      </c>
      <c r="R170" s="54" t="s">
        <v>6166</v>
      </c>
      <c r="S170" s="54" t="s">
        <v>692</v>
      </c>
      <c r="T170" s="55" t="str">
        <f t="shared" si="37"/>
        <v>Composições</v>
      </c>
      <c r="U170" s="55" t="str">
        <f t="shared" si="37"/>
        <v>Camadas Internas</v>
      </c>
      <c r="V170" s="55" t="str">
        <f t="shared" si="37"/>
        <v>Colas</v>
      </c>
      <c r="W170" s="54" t="s">
        <v>7259</v>
      </c>
      <c r="X170" s="84" t="str">
        <f t="shared" si="36"/>
        <v>Key-COD-CT-170</v>
      </c>
      <c r="Y170" s="84" t="s">
        <v>5986</v>
      </c>
      <c r="Z170" s="84" t="s">
        <v>692</v>
      </c>
      <c r="AA170" s="84" t="s">
        <v>5656</v>
      </c>
      <c r="AB170" s="84" t="s">
        <v>692</v>
      </c>
      <c r="AC170" s="84" t="s">
        <v>692</v>
      </c>
      <c r="AD170" s="54" t="s">
        <v>692</v>
      </c>
    </row>
    <row r="171" spans="1:30" ht="6.75" customHeight="1" x14ac:dyDescent="0.25">
      <c r="A171" s="85">
        <v>171</v>
      </c>
      <c r="B171" s="59" t="s">
        <v>5419</v>
      </c>
      <c r="C171" s="59" t="s">
        <v>1568</v>
      </c>
      <c r="D171" s="59" t="s">
        <v>1622</v>
      </c>
      <c r="E171" s="59" t="s">
        <v>1675</v>
      </c>
      <c r="F171" s="59" t="s">
        <v>1676</v>
      </c>
      <c r="G171" s="81" t="s">
        <v>692</v>
      </c>
      <c r="H171" s="81" t="s">
        <v>692</v>
      </c>
      <c r="I171" s="81" t="s">
        <v>692</v>
      </c>
      <c r="J171" s="81" t="s">
        <v>692</v>
      </c>
      <c r="K171" s="81" t="s">
        <v>692</v>
      </c>
      <c r="L171" s="53" t="str">
        <f t="shared" si="18"/>
        <v>Composições</v>
      </c>
      <c r="M171" s="53" t="str">
        <f t="shared" si="18"/>
        <v>Camadas.Internas</v>
      </c>
      <c r="N171" s="53" t="str">
        <f t="shared" si="17"/>
        <v>Cavidades</v>
      </c>
      <c r="O171" s="53" t="str">
        <f t="shared" si="17"/>
        <v>Ar Térmica</v>
      </c>
      <c r="P171" s="54" t="s">
        <v>1677</v>
      </c>
      <c r="Q171" s="54" t="s">
        <v>1678</v>
      </c>
      <c r="R171" s="54" t="s">
        <v>6167</v>
      </c>
      <c r="S171" s="54" t="s">
        <v>692</v>
      </c>
      <c r="T171" s="55" t="str">
        <f t="shared" si="37"/>
        <v>Composições</v>
      </c>
      <c r="U171" s="55" t="str">
        <f t="shared" si="37"/>
        <v>Camadas Internas</v>
      </c>
      <c r="V171" s="55" t="str">
        <f t="shared" si="37"/>
        <v>Cavidades</v>
      </c>
      <c r="W171" s="54" t="s">
        <v>7259</v>
      </c>
      <c r="X171" s="84" t="str">
        <f t="shared" si="36"/>
        <v>Key-COD-CT-171</v>
      </c>
      <c r="Y171" s="84" t="s">
        <v>5983</v>
      </c>
      <c r="Z171" s="84" t="s">
        <v>692</v>
      </c>
      <c r="AA171" s="84" t="s">
        <v>5654</v>
      </c>
      <c r="AB171" s="84" t="s">
        <v>692</v>
      </c>
      <c r="AC171" s="84" t="s">
        <v>692</v>
      </c>
      <c r="AD171" s="54" t="s">
        <v>692</v>
      </c>
    </row>
    <row r="172" spans="1:30" ht="6.75" customHeight="1" x14ac:dyDescent="0.25">
      <c r="A172" s="85">
        <v>172</v>
      </c>
      <c r="B172" s="59" t="s">
        <v>5419</v>
      </c>
      <c r="C172" s="59" t="s">
        <v>1568</v>
      </c>
      <c r="D172" s="59" t="s">
        <v>1622</v>
      </c>
      <c r="E172" s="59" t="s">
        <v>1675</v>
      </c>
      <c r="F172" s="59" t="s">
        <v>1679</v>
      </c>
      <c r="G172" s="81" t="s">
        <v>692</v>
      </c>
      <c r="H172" s="81" t="s">
        <v>692</v>
      </c>
      <c r="I172" s="81" t="s">
        <v>692</v>
      </c>
      <c r="J172" s="81" t="s">
        <v>692</v>
      </c>
      <c r="K172" s="81" t="s">
        <v>692</v>
      </c>
      <c r="L172" s="53" t="str">
        <f t="shared" si="18"/>
        <v>Composições</v>
      </c>
      <c r="M172" s="53" t="str">
        <f t="shared" si="18"/>
        <v>Camadas.Internas</v>
      </c>
      <c r="N172" s="53" t="str">
        <f t="shared" si="17"/>
        <v>Cavidades</v>
      </c>
      <c r="O172" s="53" t="str">
        <f t="shared" si="17"/>
        <v>Ar Acústica</v>
      </c>
      <c r="P172" s="54" t="s">
        <v>1680</v>
      </c>
      <c r="Q172" s="54" t="s">
        <v>1681</v>
      </c>
      <c r="R172" s="54" t="s">
        <v>6168</v>
      </c>
      <c r="S172" s="54" t="s">
        <v>692</v>
      </c>
      <c r="T172" s="55" t="str">
        <f t="shared" si="37"/>
        <v>Composições</v>
      </c>
      <c r="U172" s="55" t="str">
        <f t="shared" si="37"/>
        <v>Camadas Internas</v>
      </c>
      <c r="V172" s="55" t="str">
        <f t="shared" si="37"/>
        <v>Cavidades</v>
      </c>
      <c r="W172" s="54" t="s">
        <v>7259</v>
      </c>
      <c r="X172" s="84" t="str">
        <f t="shared" si="36"/>
        <v>Key-COD-CT-172</v>
      </c>
      <c r="Y172" s="84" t="s">
        <v>5983</v>
      </c>
      <c r="Z172" s="84" t="s">
        <v>692</v>
      </c>
      <c r="AA172" s="84" t="s">
        <v>5654</v>
      </c>
      <c r="AB172" s="84" t="s">
        <v>692</v>
      </c>
      <c r="AC172" s="84" t="s">
        <v>692</v>
      </c>
      <c r="AD172" s="54" t="s">
        <v>692</v>
      </c>
    </row>
    <row r="173" spans="1:30" ht="6.75" customHeight="1" x14ac:dyDescent="0.25">
      <c r="A173" s="85">
        <v>173</v>
      </c>
      <c r="B173" s="59" t="s">
        <v>5419</v>
      </c>
      <c r="C173" s="59" t="s">
        <v>1568</v>
      </c>
      <c r="D173" s="59" t="s">
        <v>1622</v>
      </c>
      <c r="E173" s="59" t="s">
        <v>1682</v>
      </c>
      <c r="F173" s="59" t="s">
        <v>1683</v>
      </c>
      <c r="G173" s="81" t="s">
        <v>692</v>
      </c>
      <c r="H173" s="81" t="s">
        <v>692</v>
      </c>
      <c r="I173" s="81" t="s">
        <v>692</v>
      </c>
      <c r="J173" s="81" t="s">
        <v>692</v>
      </c>
      <c r="K173" s="81" t="s">
        <v>692</v>
      </c>
      <c r="L173" s="53" t="str">
        <f t="shared" si="18"/>
        <v>Composições</v>
      </c>
      <c r="M173" s="53" t="str">
        <f t="shared" si="18"/>
        <v>Camadas.Internas</v>
      </c>
      <c r="N173" s="53" t="str">
        <f t="shared" si="17"/>
        <v>Mantas</v>
      </c>
      <c r="O173" s="53" t="str">
        <f t="shared" si="17"/>
        <v>Manta Piso Acústico</v>
      </c>
      <c r="P173" s="54" t="s">
        <v>1684</v>
      </c>
      <c r="Q173" s="57" t="s">
        <v>1685</v>
      </c>
      <c r="R173" s="54" t="s">
        <v>6169</v>
      </c>
      <c r="S173" s="54" t="s">
        <v>692</v>
      </c>
      <c r="T173" s="55" t="str">
        <f t="shared" si="37"/>
        <v>Composições</v>
      </c>
      <c r="U173" s="55" t="str">
        <f t="shared" si="37"/>
        <v>Camadas Internas</v>
      </c>
      <c r="V173" s="55" t="str">
        <f t="shared" si="37"/>
        <v>Mantas</v>
      </c>
      <c r="W173" s="54" t="s">
        <v>7259</v>
      </c>
      <c r="X173" s="84" t="str">
        <f t="shared" si="36"/>
        <v>Key-COD-CT-173</v>
      </c>
      <c r="Y173" s="84" t="s">
        <v>5987</v>
      </c>
      <c r="Z173" s="84" t="s">
        <v>692</v>
      </c>
      <c r="AA173" s="84" t="s">
        <v>5653</v>
      </c>
      <c r="AB173" s="84" t="s">
        <v>692</v>
      </c>
      <c r="AC173" s="84" t="s">
        <v>692</v>
      </c>
      <c r="AD173" s="54" t="s">
        <v>692</v>
      </c>
    </row>
    <row r="174" spans="1:30" ht="6.75" customHeight="1" x14ac:dyDescent="0.25">
      <c r="A174" s="85">
        <v>174</v>
      </c>
      <c r="B174" s="59" t="s">
        <v>5419</v>
      </c>
      <c r="C174" s="59" t="s">
        <v>1568</v>
      </c>
      <c r="D174" s="59" t="s">
        <v>1622</v>
      </c>
      <c r="E174" s="59" t="s">
        <v>1682</v>
      </c>
      <c r="F174" s="59" t="s">
        <v>1686</v>
      </c>
      <c r="G174" s="81" t="s">
        <v>692</v>
      </c>
      <c r="H174" s="81" t="s">
        <v>692</v>
      </c>
      <c r="I174" s="81" t="s">
        <v>692</v>
      </c>
      <c r="J174" s="81" t="s">
        <v>692</v>
      </c>
      <c r="K174" s="81" t="s">
        <v>692</v>
      </c>
      <c r="L174" s="53" t="str">
        <f t="shared" si="18"/>
        <v>Composições</v>
      </c>
      <c r="M174" s="53" t="str">
        <f t="shared" si="18"/>
        <v>Camadas.Internas</v>
      </c>
      <c r="N174" s="53" t="str">
        <f t="shared" si="17"/>
        <v>Mantas</v>
      </c>
      <c r="O174" s="53" t="str">
        <f t="shared" si="17"/>
        <v>Manta Piso Hidrófugo</v>
      </c>
      <c r="P174" s="54" t="s">
        <v>1687</v>
      </c>
      <c r="Q174" s="57" t="s">
        <v>1688</v>
      </c>
      <c r="R174" s="54" t="s">
        <v>6170</v>
      </c>
      <c r="S174" s="54" t="s">
        <v>692</v>
      </c>
      <c r="T174" s="55" t="str">
        <f t="shared" si="37"/>
        <v>Composições</v>
      </c>
      <c r="U174" s="55" t="str">
        <f t="shared" si="37"/>
        <v>Camadas Internas</v>
      </c>
      <c r="V174" s="55" t="str">
        <f t="shared" si="37"/>
        <v>Mantas</v>
      </c>
      <c r="W174" s="54" t="s">
        <v>7259</v>
      </c>
      <c r="X174" s="84" t="str">
        <f t="shared" si="36"/>
        <v>Key-COD-CT-174</v>
      </c>
      <c r="Y174" s="84" t="s">
        <v>5987</v>
      </c>
      <c r="Z174" s="84" t="s">
        <v>692</v>
      </c>
      <c r="AA174" s="84" t="s">
        <v>5653</v>
      </c>
      <c r="AB174" s="84" t="s">
        <v>692</v>
      </c>
      <c r="AC174" s="84" t="s">
        <v>692</v>
      </c>
      <c r="AD174" s="54" t="s">
        <v>692</v>
      </c>
    </row>
    <row r="175" spans="1:30" ht="6.75" customHeight="1" x14ac:dyDescent="0.25">
      <c r="A175" s="85">
        <v>175</v>
      </c>
      <c r="B175" s="59" t="s">
        <v>5419</v>
      </c>
      <c r="C175" s="59" t="s">
        <v>1568</v>
      </c>
      <c r="D175" s="59" t="s">
        <v>1622</v>
      </c>
      <c r="E175" s="59" t="s">
        <v>1682</v>
      </c>
      <c r="F175" s="59" t="s">
        <v>1689</v>
      </c>
      <c r="G175" s="81" t="s">
        <v>692</v>
      </c>
      <c r="H175" s="81" t="s">
        <v>692</v>
      </c>
      <c r="I175" s="81" t="s">
        <v>692</v>
      </c>
      <c r="J175" s="81" t="s">
        <v>692</v>
      </c>
      <c r="K175" s="81" t="s">
        <v>692</v>
      </c>
      <c r="L175" s="53" t="str">
        <f t="shared" si="18"/>
        <v>Composições</v>
      </c>
      <c r="M175" s="53" t="str">
        <f t="shared" si="18"/>
        <v>Camadas.Internas</v>
      </c>
      <c r="N175" s="53" t="str">
        <f t="shared" si="17"/>
        <v>Mantas</v>
      </c>
      <c r="O175" s="53" t="str">
        <f t="shared" si="17"/>
        <v>Manta Piso Térmico</v>
      </c>
      <c r="P175" s="54" t="s">
        <v>1690</v>
      </c>
      <c r="Q175" s="57" t="s">
        <v>1691</v>
      </c>
      <c r="R175" s="54" t="s">
        <v>6171</v>
      </c>
      <c r="S175" s="54" t="s">
        <v>692</v>
      </c>
      <c r="T175" s="55" t="str">
        <f t="shared" si="37"/>
        <v>Composições</v>
      </c>
      <c r="U175" s="55" t="str">
        <f t="shared" si="37"/>
        <v>Camadas Internas</v>
      </c>
      <c r="V175" s="55" t="str">
        <f t="shared" si="37"/>
        <v>Mantas</v>
      </c>
      <c r="W175" s="54" t="s">
        <v>7259</v>
      </c>
      <c r="X175" s="84" t="str">
        <f t="shared" si="36"/>
        <v>Key-COD-CT-175</v>
      </c>
      <c r="Y175" s="84" t="s">
        <v>5987</v>
      </c>
      <c r="Z175" s="84" t="s">
        <v>692</v>
      </c>
      <c r="AA175" s="84" t="s">
        <v>5653</v>
      </c>
      <c r="AB175" s="84" t="s">
        <v>692</v>
      </c>
      <c r="AC175" s="84" t="s">
        <v>692</v>
      </c>
      <c r="AD175" s="54" t="s">
        <v>692</v>
      </c>
    </row>
    <row r="176" spans="1:30" ht="6.75" customHeight="1" x14ac:dyDescent="0.25">
      <c r="A176" s="85">
        <v>176</v>
      </c>
      <c r="B176" s="59" t="s">
        <v>5419</v>
      </c>
      <c r="C176" s="59" t="s">
        <v>1568</v>
      </c>
      <c r="D176" s="59" t="s">
        <v>1692</v>
      </c>
      <c r="E176" s="59" t="s">
        <v>1693</v>
      </c>
      <c r="F176" s="59" t="s">
        <v>1694</v>
      </c>
      <c r="G176" s="81" t="s">
        <v>692</v>
      </c>
      <c r="H176" s="81" t="s">
        <v>692</v>
      </c>
      <c r="I176" s="81" t="s">
        <v>692</v>
      </c>
      <c r="J176" s="81" t="s">
        <v>692</v>
      </c>
      <c r="K176" s="81" t="s">
        <v>692</v>
      </c>
      <c r="L176" s="53" t="str">
        <f t="shared" si="18"/>
        <v>Composições</v>
      </c>
      <c r="M176" s="53" t="str">
        <f t="shared" si="18"/>
        <v>Camadas.Externas</v>
      </c>
      <c r="N176" s="53" t="str">
        <f t="shared" si="17"/>
        <v>Acessíveis</v>
      </c>
      <c r="O176" s="53" t="str">
        <f t="shared" si="17"/>
        <v>Piso Tátil Alerta</v>
      </c>
      <c r="P176" s="54" t="s">
        <v>1695</v>
      </c>
      <c r="Q176" s="57" t="s">
        <v>1696</v>
      </c>
      <c r="R176" s="54" t="s">
        <v>6172</v>
      </c>
      <c r="S176" s="54" t="s">
        <v>692</v>
      </c>
      <c r="T176" s="55" t="str">
        <f t="shared" si="37"/>
        <v>Composições</v>
      </c>
      <c r="U176" s="55" t="str">
        <f t="shared" si="37"/>
        <v>Camadas Externas</v>
      </c>
      <c r="V176" s="55" t="str">
        <f t="shared" si="37"/>
        <v>Acessíveis</v>
      </c>
      <c r="W176" s="54" t="s">
        <v>7259</v>
      </c>
      <c r="X176" s="84" t="str">
        <f t="shared" si="36"/>
        <v>Key-COD-CT-176</v>
      </c>
      <c r="Y176" s="84" t="s">
        <v>5988</v>
      </c>
      <c r="Z176" s="84" t="s">
        <v>692</v>
      </c>
      <c r="AA176" s="84" t="s">
        <v>5657</v>
      </c>
      <c r="AB176" s="84" t="s">
        <v>692</v>
      </c>
      <c r="AC176" s="84" t="s">
        <v>692</v>
      </c>
      <c r="AD176" s="54" t="s">
        <v>692</v>
      </c>
    </row>
    <row r="177" spans="1:30" ht="6.75" customHeight="1" x14ac:dyDescent="0.25">
      <c r="A177" s="85">
        <v>177</v>
      </c>
      <c r="B177" s="59" t="s">
        <v>5419</v>
      </c>
      <c r="C177" s="59" t="s">
        <v>1568</v>
      </c>
      <c r="D177" s="59" t="s">
        <v>1692</v>
      </c>
      <c r="E177" s="59" t="s">
        <v>1693</v>
      </c>
      <c r="F177" s="59" t="s">
        <v>1697</v>
      </c>
      <c r="G177" s="81" t="s">
        <v>692</v>
      </c>
      <c r="H177" s="81" t="s">
        <v>692</v>
      </c>
      <c r="I177" s="81" t="s">
        <v>692</v>
      </c>
      <c r="J177" s="81" t="s">
        <v>692</v>
      </c>
      <c r="K177" s="81" t="s">
        <v>692</v>
      </c>
      <c r="L177" s="53" t="str">
        <f t="shared" si="18"/>
        <v>Composições</v>
      </c>
      <c r="M177" s="53" t="str">
        <f t="shared" si="18"/>
        <v>Camadas.Externas</v>
      </c>
      <c r="N177" s="53" t="str">
        <f t="shared" si="17"/>
        <v>Acessíveis</v>
      </c>
      <c r="O177" s="53" t="str">
        <f t="shared" si="17"/>
        <v>Piso Tátil Direcional</v>
      </c>
      <c r="P177" s="54" t="s">
        <v>1698</v>
      </c>
      <c r="Q177" s="57" t="s">
        <v>1699</v>
      </c>
      <c r="R177" s="54" t="s">
        <v>6173</v>
      </c>
      <c r="S177" s="54" t="s">
        <v>692</v>
      </c>
      <c r="T177" s="55" t="str">
        <f t="shared" si="37"/>
        <v>Composições</v>
      </c>
      <c r="U177" s="55" t="str">
        <f t="shared" si="37"/>
        <v>Camadas Externas</v>
      </c>
      <c r="V177" s="55" t="str">
        <f t="shared" si="37"/>
        <v>Acessíveis</v>
      </c>
      <c r="W177" s="54" t="s">
        <v>7259</v>
      </c>
      <c r="X177" s="84" t="str">
        <f t="shared" si="36"/>
        <v>Key-COD-CT-177</v>
      </c>
      <c r="Y177" s="84" t="s">
        <v>5988</v>
      </c>
      <c r="Z177" s="84" t="s">
        <v>692</v>
      </c>
      <c r="AA177" s="84" t="s">
        <v>5657</v>
      </c>
      <c r="AB177" s="84" t="s">
        <v>692</v>
      </c>
      <c r="AC177" s="84" t="s">
        <v>692</v>
      </c>
      <c r="AD177" s="54" t="s">
        <v>692</v>
      </c>
    </row>
    <row r="178" spans="1:30" ht="6.75" customHeight="1" x14ac:dyDescent="0.25">
      <c r="A178" s="85">
        <v>178</v>
      </c>
      <c r="B178" s="59" t="s">
        <v>5419</v>
      </c>
      <c r="C178" s="59" t="s">
        <v>1568</v>
      </c>
      <c r="D178" s="59" t="s">
        <v>1692</v>
      </c>
      <c r="E178" s="59" t="s">
        <v>1700</v>
      </c>
      <c r="F178" s="59" t="s">
        <v>1701</v>
      </c>
      <c r="G178" s="81" t="s">
        <v>692</v>
      </c>
      <c r="H178" s="81" t="s">
        <v>692</v>
      </c>
      <c r="I178" s="81" t="s">
        <v>692</v>
      </c>
      <c r="J178" s="81" t="s">
        <v>692</v>
      </c>
      <c r="K178" s="81" t="s">
        <v>692</v>
      </c>
      <c r="L178" s="53" t="str">
        <f t="shared" si="18"/>
        <v>Composições</v>
      </c>
      <c r="M178" s="53" t="str">
        <f t="shared" si="18"/>
        <v>Camadas.Externas</v>
      </c>
      <c r="N178" s="53" t="str">
        <f t="shared" si="17"/>
        <v>Resistentes</v>
      </c>
      <c r="O178" s="53" t="str">
        <f t="shared" si="17"/>
        <v>Piso Asfaltado</v>
      </c>
      <c r="P178" s="54" t="s">
        <v>1702</v>
      </c>
      <c r="Q178" s="57" t="s">
        <v>1703</v>
      </c>
      <c r="R178" s="54" t="s">
        <v>6174</v>
      </c>
      <c r="S178" s="54" t="s">
        <v>692</v>
      </c>
      <c r="T178" s="55" t="str">
        <f t="shared" si="37"/>
        <v>Composições</v>
      </c>
      <c r="U178" s="55" t="str">
        <f t="shared" si="37"/>
        <v>Camadas Externas</v>
      </c>
      <c r="V178" s="55" t="str">
        <f t="shared" si="37"/>
        <v>Resistentes</v>
      </c>
      <c r="W178" s="54" t="s">
        <v>7259</v>
      </c>
      <c r="X178" s="84" t="str">
        <f t="shared" si="36"/>
        <v>Key-COD-CT-178</v>
      </c>
      <c r="Y178" s="84" t="s">
        <v>5988</v>
      </c>
      <c r="Z178" s="84" t="s">
        <v>692</v>
      </c>
      <c r="AA178" s="84" t="s">
        <v>5657</v>
      </c>
      <c r="AB178" s="84" t="s">
        <v>692</v>
      </c>
      <c r="AC178" s="84" t="s">
        <v>692</v>
      </c>
      <c r="AD178" s="54" t="s">
        <v>692</v>
      </c>
    </row>
    <row r="179" spans="1:30" ht="6.75" customHeight="1" x14ac:dyDescent="0.25">
      <c r="A179" s="85">
        <v>179</v>
      </c>
      <c r="B179" s="59" t="s">
        <v>5419</v>
      </c>
      <c r="C179" s="59" t="s">
        <v>1568</v>
      </c>
      <c r="D179" s="59" t="s">
        <v>1692</v>
      </c>
      <c r="E179" s="59" t="s">
        <v>1700</v>
      </c>
      <c r="F179" s="59" t="s">
        <v>1704</v>
      </c>
      <c r="G179" s="81" t="s">
        <v>692</v>
      </c>
      <c r="H179" s="81" t="s">
        <v>692</v>
      </c>
      <c r="I179" s="81" t="s">
        <v>692</v>
      </c>
      <c r="J179" s="81" t="s">
        <v>692</v>
      </c>
      <c r="K179" s="81" t="s">
        <v>692</v>
      </c>
      <c r="L179" s="53" t="str">
        <f t="shared" si="18"/>
        <v>Composições</v>
      </c>
      <c r="M179" s="53" t="str">
        <f t="shared" si="18"/>
        <v>Camadas.Externas</v>
      </c>
      <c r="N179" s="53" t="str">
        <f t="shared" si="17"/>
        <v>Resistentes</v>
      </c>
      <c r="O179" s="53" t="str">
        <f t="shared" si="17"/>
        <v>Piso Concretado</v>
      </c>
      <c r="P179" s="54" t="s">
        <v>1705</v>
      </c>
      <c r="Q179" s="57" t="s">
        <v>1706</v>
      </c>
      <c r="R179" s="54" t="s">
        <v>6175</v>
      </c>
      <c r="S179" s="54" t="s">
        <v>692</v>
      </c>
      <c r="T179" s="55" t="str">
        <f t="shared" si="37"/>
        <v>Composições</v>
      </c>
      <c r="U179" s="55" t="str">
        <f t="shared" si="37"/>
        <v>Camadas Externas</v>
      </c>
      <c r="V179" s="55" t="str">
        <f t="shared" si="37"/>
        <v>Resistentes</v>
      </c>
      <c r="W179" s="54" t="s">
        <v>7259</v>
      </c>
      <c r="X179" s="84" t="str">
        <f t="shared" si="36"/>
        <v>Key-COD-CT-179</v>
      </c>
      <c r="Y179" s="84" t="s">
        <v>5988</v>
      </c>
      <c r="Z179" s="84" t="s">
        <v>692</v>
      </c>
      <c r="AA179" s="84" t="s">
        <v>5657</v>
      </c>
      <c r="AB179" s="84" t="s">
        <v>692</v>
      </c>
      <c r="AC179" s="84" t="s">
        <v>692</v>
      </c>
      <c r="AD179" s="54" t="s">
        <v>692</v>
      </c>
    </row>
    <row r="180" spans="1:30" ht="6.75" customHeight="1" x14ac:dyDescent="0.25">
      <c r="A180" s="85">
        <v>180</v>
      </c>
      <c r="B180" s="59" t="s">
        <v>5419</v>
      </c>
      <c r="C180" s="59" t="s">
        <v>1568</v>
      </c>
      <c r="D180" s="59" t="s">
        <v>1692</v>
      </c>
      <c r="E180" s="59" t="s">
        <v>1700</v>
      </c>
      <c r="F180" s="59" t="s">
        <v>1707</v>
      </c>
      <c r="G180" s="81" t="s">
        <v>692</v>
      </c>
      <c r="H180" s="81" t="s">
        <v>692</v>
      </c>
      <c r="I180" s="81" t="s">
        <v>692</v>
      </c>
      <c r="J180" s="81" t="s">
        <v>692</v>
      </c>
      <c r="K180" s="81" t="s">
        <v>692</v>
      </c>
      <c r="L180" s="53" t="str">
        <f t="shared" si="18"/>
        <v>Composições</v>
      </c>
      <c r="M180" s="53" t="str">
        <f t="shared" si="18"/>
        <v>Camadas.Externas</v>
      </c>
      <c r="N180" s="53" t="str">
        <f t="shared" si="17"/>
        <v>Resistentes</v>
      </c>
      <c r="O180" s="53" t="str">
        <f t="shared" si="17"/>
        <v>Piso Automotivo</v>
      </c>
      <c r="P180" s="54" t="s">
        <v>1708</v>
      </c>
      <c r="Q180" s="57" t="s">
        <v>1709</v>
      </c>
      <c r="R180" s="54" t="s">
        <v>6176</v>
      </c>
      <c r="S180" s="54" t="s">
        <v>692</v>
      </c>
      <c r="T180" s="55" t="str">
        <f t="shared" si="37"/>
        <v>Composições</v>
      </c>
      <c r="U180" s="55" t="str">
        <f t="shared" si="37"/>
        <v>Camadas Externas</v>
      </c>
      <c r="V180" s="55" t="str">
        <f t="shared" si="37"/>
        <v>Resistentes</v>
      </c>
      <c r="W180" s="54" t="s">
        <v>7259</v>
      </c>
      <c r="X180" s="84" t="str">
        <f t="shared" si="36"/>
        <v>Key-COD-CT-180</v>
      </c>
      <c r="Y180" s="84" t="s">
        <v>5988</v>
      </c>
      <c r="Z180" s="84" t="s">
        <v>692</v>
      </c>
      <c r="AA180" s="84" t="s">
        <v>5657</v>
      </c>
      <c r="AB180" s="84" t="s">
        <v>692</v>
      </c>
      <c r="AC180" s="84" t="s">
        <v>692</v>
      </c>
      <c r="AD180" s="54" t="s">
        <v>692</v>
      </c>
    </row>
    <row r="181" spans="1:30" ht="6.75" customHeight="1" x14ac:dyDescent="0.25">
      <c r="A181" s="85">
        <v>181</v>
      </c>
      <c r="B181" s="59" t="s">
        <v>5419</v>
      </c>
      <c r="C181" s="59" t="s">
        <v>1568</v>
      </c>
      <c r="D181" s="59" t="s">
        <v>1692</v>
      </c>
      <c r="E181" s="59" t="s">
        <v>1700</v>
      </c>
      <c r="F181" s="59" t="s">
        <v>1710</v>
      </c>
      <c r="G181" s="81" t="s">
        <v>692</v>
      </c>
      <c r="H181" s="81" t="s">
        <v>692</v>
      </c>
      <c r="I181" s="81" t="s">
        <v>692</v>
      </c>
      <c r="J181" s="81" t="s">
        <v>692</v>
      </c>
      <c r="K181" s="81" t="s">
        <v>692</v>
      </c>
      <c r="L181" s="53" t="str">
        <f t="shared" si="18"/>
        <v>Composições</v>
      </c>
      <c r="M181" s="53" t="str">
        <f t="shared" si="18"/>
        <v>Camadas.Externas</v>
      </c>
      <c r="N181" s="53" t="str">
        <f t="shared" ref="N181:O247" si="38">(SUBSTITUTE(SUBSTITUTE(CONCATENATE("",E181),"."," ")," De "," de "))</f>
        <v>Resistentes</v>
      </c>
      <c r="O181" s="53" t="str">
        <f t="shared" si="38"/>
        <v>Piso Bloquete Carro</v>
      </c>
      <c r="P181" s="54" t="s">
        <v>1711</v>
      </c>
      <c r="Q181" s="57" t="s">
        <v>1712</v>
      </c>
      <c r="R181" s="54" t="s">
        <v>6177</v>
      </c>
      <c r="S181" s="54" t="s">
        <v>692</v>
      </c>
      <c r="T181" s="55" t="str">
        <f t="shared" si="37"/>
        <v>Composições</v>
      </c>
      <c r="U181" s="55" t="str">
        <f t="shared" si="37"/>
        <v>Camadas Externas</v>
      </c>
      <c r="V181" s="55" t="str">
        <f t="shared" si="37"/>
        <v>Resistentes</v>
      </c>
      <c r="W181" s="54" t="s">
        <v>7259</v>
      </c>
      <c r="X181" s="84" t="str">
        <f t="shared" si="36"/>
        <v>Key-COD-CT-181</v>
      </c>
      <c r="Y181" s="84" t="s">
        <v>5988</v>
      </c>
      <c r="Z181" s="84" t="s">
        <v>692</v>
      </c>
      <c r="AA181" s="84" t="s">
        <v>5657</v>
      </c>
      <c r="AB181" s="84" t="s">
        <v>692</v>
      </c>
      <c r="AC181" s="84" t="s">
        <v>692</v>
      </c>
      <c r="AD181" s="54" t="s">
        <v>692</v>
      </c>
    </row>
    <row r="182" spans="1:30" ht="6.75" customHeight="1" x14ac:dyDescent="0.25">
      <c r="A182" s="85">
        <v>182</v>
      </c>
      <c r="B182" s="59" t="s">
        <v>5419</v>
      </c>
      <c r="C182" s="59" t="s">
        <v>1568</v>
      </c>
      <c r="D182" s="59" t="s">
        <v>1692</v>
      </c>
      <c r="E182" s="59" t="s">
        <v>1713</v>
      </c>
      <c r="F182" s="59" t="s">
        <v>1714</v>
      </c>
      <c r="G182" s="81" t="s">
        <v>692</v>
      </c>
      <c r="H182" s="81" t="s">
        <v>692</v>
      </c>
      <c r="I182" s="81" t="s">
        <v>692</v>
      </c>
      <c r="J182" s="81" t="s">
        <v>692</v>
      </c>
      <c r="K182" s="81" t="s">
        <v>692</v>
      </c>
      <c r="L182" s="53" t="str">
        <f t="shared" si="18"/>
        <v>Composições</v>
      </c>
      <c r="M182" s="53" t="str">
        <f t="shared" si="18"/>
        <v>Camadas.Externas</v>
      </c>
      <c r="N182" s="53" t="str">
        <f t="shared" si="38"/>
        <v>Drenantes</v>
      </c>
      <c r="O182" s="53" t="str">
        <f t="shared" si="38"/>
        <v>Piso Intertravado</v>
      </c>
      <c r="P182" s="54" t="s">
        <v>1715</v>
      </c>
      <c r="Q182" s="57" t="s">
        <v>1716</v>
      </c>
      <c r="R182" s="54" t="s">
        <v>6178</v>
      </c>
      <c r="S182" s="54" t="s">
        <v>692</v>
      </c>
      <c r="T182" s="55" t="str">
        <f t="shared" si="37"/>
        <v>Composições</v>
      </c>
      <c r="U182" s="55" t="str">
        <f t="shared" si="37"/>
        <v>Camadas Externas</v>
      </c>
      <c r="V182" s="55" t="str">
        <f t="shared" si="37"/>
        <v>Drenantes</v>
      </c>
      <c r="W182" s="54" t="s">
        <v>7259</v>
      </c>
      <c r="X182" s="84" t="str">
        <f t="shared" si="36"/>
        <v>Key-COD-CT-182</v>
      </c>
      <c r="Y182" s="84" t="s">
        <v>5988</v>
      </c>
      <c r="Z182" s="84" t="s">
        <v>692</v>
      </c>
      <c r="AA182" s="84" t="s">
        <v>5657</v>
      </c>
      <c r="AB182" s="84" t="s">
        <v>692</v>
      </c>
      <c r="AC182" s="84" t="s">
        <v>692</v>
      </c>
      <c r="AD182" s="54" t="s">
        <v>692</v>
      </c>
    </row>
    <row r="183" spans="1:30" ht="6.75" customHeight="1" x14ac:dyDescent="0.25">
      <c r="A183" s="85">
        <v>183</v>
      </c>
      <c r="B183" s="59" t="s">
        <v>5419</v>
      </c>
      <c r="C183" s="59" t="s">
        <v>1568</v>
      </c>
      <c r="D183" s="59" t="s">
        <v>1692</v>
      </c>
      <c r="E183" s="59" t="s">
        <v>1713</v>
      </c>
      <c r="F183" s="59" t="s">
        <v>1717</v>
      </c>
      <c r="G183" s="81" t="s">
        <v>692</v>
      </c>
      <c r="H183" s="81" t="s">
        <v>692</v>
      </c>
      <c r="I183" s="81" t="s">
        <v>692</v>
      </c>
      <c r="J183" s="81" t="s">
        <v>692</v>
      </c>
      <c r="K183" s="81" t="s">
        <v>692</v>
      </c>
      <c r="L183" s="53" t="str">
        <f t="shared" si="18"/>
        <v>Composições</v>
      </c>
      <c r="M183" s="53" t="str">
        <f t="shared" si="18"/>
        <v>Camadas.Externas</v>
      </c>
      <c r="N183" s="53" t="str">
        <f t="shared" si="38"/>
        <v>Drenantes</v>
      </c>
      <c r="O183" s="53" t="str">
        <f t="shared" si="38"/>
        <v>Piso Fulget</v>
      </c>
      <c r="P183" s="54" t="s">
        <v>1718</v>
      </c>
      <c r="Q183" s="57" t="s">
        <v>1719</v>
      </c>
      <c r="R183" s="54" t="s">
        <v>6179</v>
      </c>
      <c r="S183" s="54" t="s">
        <v>692</v>
      </c>
      <c r="T183" s="55" t="str">
        <f t="shared" si="37"/>
        <v>Composições</v>
      </c>
      <c r="U183" s="55" t="str">
        <f t="shared" si="37"/>
        <v>Camadas Externas</v>
      </c>
      <c r="V183" s="55" t="str">
        <f t="shared" si="37"/>
        <v>Drenantes</v>
      </c>
      <c r="W183" s="54" t="s">
        <v>7259</v>
      </c>
      <c r="X183" s="84" t="str">
        <f t="shared" si="36"/>
        <v>Key-COD-CT-183</v>
      </c>
      <c r="Y183" s="84" t="s">
        <v>5988</v>
      </c>
      <c r="Z183" s="84" t="s">
        <v>692</v>
      </c>
      <c r="AA183" s="84" t="s">
        <v>5657</v>
      </c>
      <c r="AB183" s="84" t="s">
        <v>692</v>
      </c>
      <c r="AC183" s="84" t="s">
        <v>692</v>
      </c>
      <c r="AD183" s="54" t="s">
        <v>692</v>
      </c>
    </row>
    <row r="184" spans="1:30" ht="6.75" customHeight="1" x14ac:dyDescent="0.25">
      <c r="A184" s="85">
        <v>184</v>
      </c>
      <c r="B184" s="59" t="s">
        <v>5419</v>
      </c>
      <c r="C184" s="59" t="s">
        <v>1568</v>
      </c>
      <c r="D184" s="59" t="s">
        <v>1692</v>
      </c>
      <c r="E184" s="59" t="s">
        <v>1713</v>
      </c>
      <c r="F184" s="59" t="s">
        <v>1720</v>
      </c>
      <c r="G184" s="81" t="s">
        <v>692</v>
      </c>
      <c r="H184" s="81" t="s">
        <v>692</v>
      </c>
      <c r="I184" s="81" t="s">
        <v>692</v>
      </c>
      <c r="J184" s="81" t="s">
        <v>692</v>
      </c>
      <c r="K184" s="81" t="s">
        <v>692</v>
      </c>
      <c r="L184" s="53" t="str">
        <f t="shared" si="18"/>
        <v>Composições</v>
      </c>
      <c r="M184" s="53" t="str">
        <f t="shared" si="18"/>
        <v>Camadas.Externas</v>
      </c>
      <c r="N184" s="53" t="str">
        <f t="shared" si="38"/>
        <v>Drenantes</v>
      </c>
      <c r="O184" s="53" t="str">
        <f t="shared" si="38"/>
        <v>Piso Bloquete Grama</v>
      </c>
      <c r="P184" s="54" t="s">
        <v>1721</v>
      </c>
      <c r="Q184" s="57" t="s">
        <v>1722</v>
      </c>
      <c r="R184" s="54" t="s">
        <v>6180</v>
      </c>
      <c r="S184" s="54" t="s">
        <v>692</v>
      </c>
      <c r="T184" s="55" t="str">
        <f t="shared" si="37"/>
        <v>Composições</v>
      </c>
      <c r="U184" s="55" t="str">
        <f t="shared" si="37"/>
        <v>Camadas Externas</v>
      </c>
      <c r="V184" s="55" t="str">
        <f t="shared" si="37"/>
        <v>Drenantes</v>
      </c>
      <c r="W184" s="54" t="s">
        <v>7259</v>
      </c>
      <c r="X184" s="84" t="str">
        <f t="shared" si="36"/>
        <v>Key-COD-CT-184</v>
      </c>
      <c r="Y184" s="84" t="s">
        <v>5988</v>
      </c>
      <c r="Z184" s="84" t="s">
        <v>692</v>
      </c>
      <c r="AA184" s="84" t="s">
        <v>5657</v>
      </c>
      <c r="AB184" s="84" t="s">
        <v>692</v>
      </c>
      <c r="AC184" s="84" t="s">
        <v>692</v>
      </c>
      <c r="AD184" s="54" t="s">
        <v>692</v>
      </c>
    </row>
    <row r="185" spans="1:30" ht="6.75" customHeight="1" x14ac:dyDescent="0.25">
      <c r="A185" s="85">
        <v>185</v>
      </c>
      <c r="B185" s="59" t="s">
        <v>5419</v>
      </c>
      <c r="C185" s="59" t="s">
        <v>1568</v>
      </c>
      <c r="D185" s="59" t="s">
        <v>1692</v>
      </c>
      <c r="E185" s="59" t="s">
        <v>1723</v>
      </c>
      <c r="F185" s="59" t="s">
        <v>1724</v>
      </c>
      <c r="G185" s="81" t="s">
        <v>692</v>
      </c>
      <c r="H185" s="81" t="s">
        <v>692</v>
      </c>
      <c r="I185" s="81" t="s">
        <v>692</v>
      </c>
      <c r="J185" s="81" t="s">
        <v>692</v>
      </c>
      <c r="K185" s="81" t="s">
        <v>692</v>
      </c>
      <c r="L185" s="53" t="str">
        <f t="shared" si="18"/>
        <v>Composições</v>
      </c>
      <c r="M185" s="53" t="str">
        <f t="shared" si="18"/>
        <v>Camadas.Externas</v>
      </c>
      <c r="N185" s="53" t="str">
        <f t="shared" si="38"/>
        <v>Paginadas</v>
      </c>
      <c r="O185" s="53" t="str">
        <f t="shared" si="38"/>
        <v>Piso Cerâmico</v>
      </c>
      <c r="P185" s="54" t="s">
        <v>1725</v>
      </c>
      <c r="Q185" s="57" t="s">
        <v>1726</v>
      </c>
      <c r="R185" s="54" t="s">
        <v>6181</v>
      </c>
      <c r="S185" s="54" t="s">
        <v>692</v>
      </c>
      <c r="T185" s="55" t="str">
        <f t="shared" si="37"/>
        <v>Composições</v>
      </c>
      <c r="U185" s="55" t="str">
        <f t="shared" si="37"/>
        <v>Camadas Externas</v>
      </c>
      <c r="V185" s="55" t="str">
        <f t="shared" si="37"/>
        <v>Paginadas</v>
      </c>
      <c r="W185" s="54" t="s">
        <v>7259</v>
      </c>
      <c r="X185" s="84" t="str">
        <f t="shared" si="36"/>
        <v>Key-COD-CT-185</v>
      </c>
      <c r="Y185" s="84" t="s">
        <v>5988</v>
      </c>
      <c r="Z185" s="84" t="s">
        <v>692</v>
      </c>
      <c r="AA185" s="84" t="s">
        <v>5657</v>
      </c>
      <c r="AB185" s="84" t="s">
        <v>692</v>
      </c>
      <c r="AC185" s="84" t="s">
        <v>692</v>
      </c>
      <c r="AD185" s="54" t="s">
        <v>692</v>
      </c>
    </row>
    <row r="186" spans="1:30" ht="6.75" customHeight="1" x14ac:dyDescent="0.25">
      <c r="A186" s="85">
        <v>186</v>
      </c>
      <c r="B186" s="59" t="s">
        <v>5419</v>
      </c>
      <c r="C186" s="59" t="s">
        <v>1568</v>
      </c>
      <c r="D186" s="59" t="s">
        <v>1692</v>
      </c>
      <c r="E186" s="59" t="s">
        <v>1723</v>
      </c>
      <c r="F186" s="59" t="s">
        <v>1727</v>
      </c>
      <c r="G186" s="81" t="s">
        <v>692</v>
      </c>
      <c r="H186" s="81" t="s">
        <v>692</v>
      </c>
      <c r="I186" s="81" t="s">
        <v>692</v>
      </c>
      <c r="J186" s="81" t="s">
        <v>692</v>
      </c>
      <c r="K186" s="81" t="s">
        <v>692</v>
      </c>
      <c r="L186" s="53" t="str">
        <f t="shared" si="18"/>
        <v>Composições</v>
      </c>
      <c r="M186" s="53" t="str">
        <f t="shared" si="18"/>
        <v>Camadas.Externas</v>
      </c>
      <c r="N186" s="53" t="str">
        <f t="shared" si="38"/>
        <v>Paginadas</v>
      </c>
      <c r="O186" s="53" t="str">
        <f t="shared" si="38"/>
        <v>Piso Porcelanato</v>
      </c>
      <c r="P186" s="54" t="s">
        <v>1728</v>
      </c>
      <c r="Q186" s="57" t="s">
        <v>1729</v>
      </c>
      <c r="R186" s="54" t="s">
        <v>6182</v>
      </c>
      <c r="S186" s="54" t="s">
        <v>692</v>
      </c>
      <c r="T186" s="55" t="str">
        <f t="shared" si="37"/>
        <v>Composições</v>
      </c>
      <c r="U186" s="55" t="str">
        <f t="shared" si="37"/>
        <v>Camadas Externas</v>
      </c>
      <c r="V186" s="55" t="str">
        <f t="shared" si="37"/>
        <v>Paginadas</v>
      </c>
      <c r="W186" s="54" t="s">
        <v>7259</v>
      </c>
      <c r="X186" s="84" t="str">
        <f t="shared" si="36"/>
        <v>Key-COD-CT-186</v>
      </c>
      <c r="Y186" s="84" t="s">
        <v>5988</v>
      </c>
      <c r="Z186" s="84" t="s">
        <v>692</v>
      </c>
      <c r="AA186" s="84" t="s">
        <v>5657</v>
      </c>
      <c r="AB186" s="84" t="s">
        <v>692</v>
      </c>
      <c r="AC186" s="84" t="s">
        <v>692</v>
      </c>
      <c r="AD186" s="54" t="s">
        <v>692</v>
      </c>
    </row>
    <row r="187" spans="1:30" ht="6.75" customHeight="1" x14ac:dyDescent="0.25">
      <c r="A187" s="85">
        <v>187</v>
      </c>
      <c r="B187" s="59" t="s">
        <v>5419</v>
      </c>
      <c r="C187" s="59" t="s">
        <v>1568</v>
      </c>
      <c r="D187" s="59" t="s">
        <v>1692</v>
      </c>
      <c r="E187" s="59" t="s">
        <v>1723</v>
      </c>
      <c r="F187" s="59" t="s">
        <v>1730</v>
      </c>
      <c r="G187" s="81" t="s">
        <v>692</v>
      </c>
      <c r="H187" s="81" t="s">
        <v>692</v>
      </c>
      <c r="I187" s="81" t="s">
        <v>692</v>
      </c>
      <c r="J187" s="81" t="s">
        <v>692</v>
      </c>
      <c r="K187" s="81" t="s">
        <v>692</v>
      </c>
      <c r="L187" s="53" t="str">
        <f t="shared" si="18"/>
        <v>Composições</v>
      </c>
      <c r="M187" s="53" t="str">
        <f t="shared" si="18"/>
        <v>Camadas.Externas</v>
      </c>
      <c r="N187" s="53" t="str">
        <f t="shared" si="38"/>
        <v>Paginadas</v>
      </c>
      <c r="O187" s="53" t="str">
        <f t="shared" si="38"/>
        <v>Piso Taco</v>
      </c>
      <c r="P187" s="54" t="s">
        <v>1731</v>
      </c>
      <c r="Q187" s="57" t="s">
        <v>1732</v>
      </c>
      <c r="R187" s="54" t="s">
        <v>6183</v>
      </c>
      <c r="S187" s="54" t="s">
        <v>692</v>
      </c>
      <c r="T187" s="55" t="str">
        <f t="shared" si="37"/>
        <v>Composições</v>
      </c>
      <c r="U187" s="55" t="str">
        <f t="shared" si="37"/>
        <v>Camadas Externas</v>
      </c>
      <c r="V187" s="55" t="str">
        <f t="shared" si="37"/>
        <v>Paginadas</v>
      </c>
      <c r="W187" s="54" t="s">
        <v>7259</v>
      </c>
      <c r="X187" s="84" t="str">
        <f t="shared" si="36"/>
        <v>Key-COD-CT-187</v>
      </c>
      <c r="Y187" s="84" t="s">
        <v>5988</v>
      </c>
      <c r="Z187" s="84" t="s">
        <v>692</v>
      </c>
      <c r="AA187" s="84" t="s">
        <v>5657</v>
      </c>
      <c r="AB187" s="84" t="s">
        <v>692</v>
      </c>
      <c r="AC187" s="84" t="s">
        <v>692</v>
      </c>
      <c r="AD187" s="54" t="s">
        <v>692</v>
      </c>
    </row>
    <row r="188" spans="1:30" ht="6.75" customHeight="1" x14ac:dyDescent="0.25">
      <c r="A188" s="85">
        <v>188</v>
      </c>
      <c r="B188" s="59" t="s">
        <v>5419</v>
      </c>
      <c r="C188" s="59" t="s">
        <v>1568</v>
      </c>
      <c r="D188" s="59" t="s">
        <v>1692</v>
      </c>
      <c r="E188" s="59" t="s">
        <v>1723</v>
      </c>
      <c r="F188" s="59" t="s">
        <v>1733</v>
      </c>
      <c r="G188" s="81" t="s">
        <v>692</v>
      </c>
      <c r="H188" s="81" t="s">
        <v>692</v>
      </c>
      <c r="I188" s="81" t="s">
        <v>692</v>
      </c>
      <c r="J188" s="81" t="s">
        <v>692</v>
      </c>
      <c r="K188" s="81" t="s">
        <v>692</v>
      </c>
      <c r="L188" s="53" t="str">
        <f t="shared" si="18"/>
        <v>Composições</v>
      </c>
      <c r="M188" s="53" t="str">
        <f t="shared" si="18"/>
        <v>Camadas.Externas</v>
      </c>
      <c r="N188" s="53" t="str">
        <f t="shared" si="38"/>
        <v>Paginadas</v>
      </c>
      <c r="O188" s="53" t="str">
        <f t="shared" si="38"/>
        <v>Piso Vinílico</v>
      </c>
      <c r="P188" s="54" t="s">
        <v>1734</v>
      </c>
      <c r="Q188" s="57" t="s">
        <v>1735</v>
      </c>
      <c r="R188" s="54" t="s">
        <v>6184</v>
      </c>
      <c r="S188" s="54" t="s">
        <v>692</v>
      </c>
      <c r="T188" s="55" t="str">
        <f t="shared" si="37"/>
        <v>Composições</v>
      </c>
      <c r="U188" s="55" t="str">
        <f t="shared" si="37"/>
        <v>Camadas Externas</v>
      </c>
      <c r="V188" s="55" t="str">
        <f t="shared" si="37"/>
        <v>Paginadas</v>
      </c>
      <c r="W188" s="54" t="s">
        <v>7259</v>
      </c>
      <c r="X188" s="84" t="str">
        <f t="shared" si="36"/>
        <v>Key-COD-CT-188</v>
      </c>
      <c r="Y188" s="84" t="s">
        <v>5988</v>
      </c>
      <c r="Z188" s="84" t="s">
        <v>692</v>
      </c>
      <c r="AA188" s="84" t="s">
        <v>5657</v>
      </c>
      <c r="AB188" s="84" t="s">
        <v>692</v>
      </c>
      <c r="AC188" s="84" t="s">
        <v>692</v>
      </c>
      <c r="AD188" s="54" t="s">
        <v>692</v>
      </c>
    </row>
    <row r="189" spans="1:30" ht="6.75" customHeight="1" x14ac:dyDescent="0.25">
      <c r="A189" s="85">
        <v>189</v>
      </c>
      <c r="B189" s="59" t="s">
        <v>5419</v>
      </c>
      <c r="C189" s="59" t="s">
        <v>1568</v>
      </c>
      <c r="D189" s="59" t="s">
        <v>1692</v>
      </c>
      <c r="E189" s="59" t="s">
        <v>1723</v>
      </c>
      <c r="F189" s="59" t="s">
        <v>1736</v>
      </c>
      <c r="G189" s="81" t="s">
        <v>692</v>
      </c>
      <c r="H189" s="81" t="s">
        <v>692</v>
      </c>
      <c r="I189" s="81" t="s">
        <v>692</v>
      </c>
      <c r="J189" s="81" t="s">
        <v>692</v>
      </c>
      <c r="K189" s="81" t="s">
        <v>692</v>
      </c>
      <c r="L189" s="53" t="str">
        <f t="shared" si="18"/>
        <v>Composições</v>
      </c>
      <c r="M189" s="53" t="str">
        <f t="shared" si="18"/>
        <v>Camadas.Externas</v>
      </c>
      <c r="N189" s="53" t="str">
        <f t="shared" si="38"/>
        <v>Paginadas</v>
      </c>
      <c r="O189" s="53" t="str">
        <f t="shared" si="38"/>
        <v>Piso Pedra Natural</v>
      </c>
      <c r="P189" s="54" t="s">
        <v>1737</v>
      </c>
      <c r="Q189" s="57" t="s">
        <v>1738</v>
      </c>
      <c r="R189" s="54" t="s">
        <v>6185</v>
      </c>
      <c r="S189" s="54" t="s">
        <v>692</v>
      </c>
      <c r="T189" s="55" t="str">
        <f t="shared" si="37"/>
        <v>Composições</v>
      </c>
      <c r="U189" s="55" t="str">
        <f t="shared" si="37"/>
        <v>Camadas Externas</v>
      </c>
      <c r="V189" s="55" t="str">
        <f t="shared" si="37"/>
        <v>Paginadas</v>
      </c>
      <c r="W189" s="54" t="s">
        <v>7259</v>
      </c>
      <c r="X189" s="84" t="str">
        <f t="shared" si="36"/>
        <v>Key-COD-CT-189</v>
      </c>
      <c r="Y189" s="84" t="s">
        <v>5988</v>
      </c>
      <c r="Z189" s="84" t="s">
        <v>692</v>
      </c>
      <c r="AA189" s="84" t="s">
        <v>5657</v>
      </c>
      <c r="AB189" s="84" t="s">
        <v>692</v>
      </c>
      <c r="AC189" s="84" t="s">
        <v>692</v>
      </c>
      <c r="AD189" s="54" t="s">
        <v>692</v>
      </c>
    </row>
    <row r="190" spans="1:30" ht="6.75" customHeight="1" x14ac:dyDescent="0.25">
      <c r="A190" s="85">
        <v>190</v>
      </c>
      <c r="B190" s="59" t="s">
        <v>5419</v>
      </c>
      <c r="C190" s="59" t="s">
        <v>1568</v>
      </c>
      <c r="D190" s="59" t="s">
        <v>1692</v>
      </c>
      <c r="E190" s="59" t="s">
        <v>1723</v>
      </c>
      <c r="F190" s="59" t="s">
        <v>1739</v>
      </c>
      <c r="G190" s="81" t="s">
        <v>692</v>
      </c>
      <c r="H190" s="81" t="s">
        <v>692</v>
      </c>
      <c r="I190" s="81" t="s">
        <v>692</v>
      </c>
      <c r="J190" s="81" t="s">
        <v>692</v>
      </c>
      <c r="K190" s="81" t="s">
        <v>692</v>
      </c>
      <c r="L190" s="53" t="str">
        <f t="shared" si="18"/>
        <v>Composições</v>
      </c>
      <c r="M190" s="53" t="str">
        <f t="shared" si="18"/>
        <v>Camadas.Externas</v>
      </c>
      <c r="N190" s="53" t="str">
        <f t="shared" si="38"/>
        <v>Paginadas</v>
      </c>
      <c r="O190" s="53" t="str">
        <f t="shared" si="38"/>
        <v>Piso Pedra Sintética</v>
      </c>
      <c r="P190" s="54" t="s">
        <v>1740</v>
      </c>
      <c r="Q190" s="57" t="s">
        <v>1741</v>
      </c>
      <c r="R190" s="54" t="s">
        <v>6186</v>
      </c>
      <c r="S190" s="54" t="s">
        <v>692</v>
      </c>
      <c r="T190" s="55" t="str">
        <f t="shared" si="37"/>
        <v>Composições</v>
      </c>
      <c r="U190" s="55" t="str">
        <f t="shared" si="37"/>
        <v>Camadas Externas</v>
      </c>
      <c r="V190" s="55" t="str">
        <f t="shared" si="37"/>
        <v>Paginadas</v>
      </c>
      <c r="W190" s="54" t="s">
        <v>7259</v>
      </c>
      <c r="X190" s="84" t="str">
        <f t="shared" si="36"/>
        <v>Key-COD-CT-190</v>
      </c>
      <c r="Y190" s="84" t="s">
        <v>5988</v>
      </c>
      <c r="Z190" s="84" t="s">
        <v>692</v>
      </c>
      <c r="AA190" s="84" t="s">
        <v>5657</v>
      </c>
      <c r="AB190" s="84" t="s">
        <v>692</v>
      </c>
      <c r="AC190" s="84" t="s">
        <v>692</v>
      </c>
      <c r="AD190" s="54" t="s">
        <v>692</v>
      </c>
    </row>
    <row r="191" spans="1:30" ht="6.75" customHeight="1" x14ac:dyDescent="0.25">
      <c r="A191" s="85">
        <v>191</v>
      </c>
      <c r="B191" s="59" t="s">
        <v>5419</v>
      </c>
      <c r="C191" s="59" t="s">
        <v>1568</v>
      </c>
      <c r="D191" s="59" t="s">
        <v>1692</v>
      </c>
      <c r="E191" s="59" t="s">
        <v>1723</v>
      </c>
      <c r="F191" s="59" t="s">
        <v>1742</v>
      </c>
      <c r="G191" s="81" t="s">
        <v>692</v>
      </c>
      <c r="H191" s="81" t="s">
        <v>692</v>
      </c>
      <c r="I191" s="81" t="s">
        <v>692</v>
      </c>
      <c r="J191" s="81" t="s">
        <v>692</v>
      </c>
      <c r="K191" s="81" t="s">
        <v>692</v>
      </c>
      <c r="L191" s="53" t="str">
        <f t="shared" si="18"/>
        <v>Composições</v>
      </c>
      <c r="M191" s="53" t="str">
        <f t="shared" si="18"/>
        <v>Camadas.Externas</v>
      </c>
      <c r="N191" s="53" t="str">
        <f t="shared" si="38"/>
        <v>Paginadas</v>
      </c>
      <c r="O191" s="53" t="str">
        <f t="shared" si="38"/>
        <v>Piso Elevado</v>
      </c>
      <c r="P191" s="54" t="s">
        <v>1743</v>
      </c>
      <c r="Q191" s="57" t="s">
        <v>1744</v>
      </c>
      <c r="R191" s="54" t="s">
        <v>6187</v>
      </c>
      <c r="S191" s="54" t="s">
        <v>692</v>
      </c>
      <c r="T191" s="55" t="str">
        <f t="shared" si="37"/>
        <v>Composições</v>
      </c>
      <c r="U191" s="55" t="str">
        <f t="shared" si="37"/>
        <v>Camadas Externas</v>
      </c>
      <c r="V191" s="55" t="str">
        <f t="shared" si="37"/>
        <v>Paginadas</v>
      </c>
      <c r="W191" s="54" t="s">
        <v>7259</v>
      </c>
      <c r="X191" s="84" t="str">
        <f t="shared" si="36"/>
        <v>Key-COD-CT-191</v>
      </c>
      <c r="Y191" s="84" t="s">
        <v>5988</v>
      </c>
      <c r="Z191" s="84" t="s">
        <v>692</v>
      </c>
      <c r="AA191" s="84" t="s">
        <v>5657</v>
      </c>
      <c r="AB191" s="84" t="s">
        <v>692</v>
      </c>
      <c r="AC191" s="84" t="s">
        <v>692</v>
      </c>
      <c r="AD191" s="54" t="s">
        <v>692</v>
      </c>
    </row>
    <row r="192" spans="1:30" ht="6.75" customHeight="1" x14ac:dyDescent="0.25">
      <c r="A192" s="85">
        <v>192</v>
      </c>
      <c r="B192" s="59" t="s">
        <v>5419</v>
      </c>
      <c r="C192" s="59" t="s">
        <v>1568</v>
      </c>
      <c r="D192" s="59" t="s">
        <v>1692</v>
      </c>
      <c r="E192" s="59" t="s">
        <v>1723</v>
      </c>
      <c r="F192" s="59" t="s">
        <v>1745</v>
      </c>
      <c r="G192" s="81" t="s">
        <v>692</v>
      </c>
      <c r="H192" s="81" t="s">
        <v>692</v>
      </c>
      <c r="I192" s="81" t="s">
        <v>692</v>
      </c>
      <c r="J192" s="81" t="s">
        <v>692</v>
      </c>
      <c r="K192" s="81" t="s">
        <v>692</v>
      </c>
      <c r="L192" s="53" t="str">
        <f t="shared" si="18"/>
        <v>Composições</v>
      </c>
      <c r="M192" s="53" t="str">
        <f t="shared" si="18"/>
        <v>Camadas.Externas</v>
      </c>
      <c r="N192" s="53" t="str">
        <f t="shared" si="38"/>
        <v>Paginadas</v>
      </c>
      <c r="O192" s="53" t="str">
        <f t="shared" si="38"/>
        <v>Piso Vidro</v>
      </c>
      <c r="P192" s="54" t="s">
        <v>1746</v>
      </c>
      <c r="Q192" s="57" t="s">
        <v>1747</v>
      </c>
      <c r="R192" s="54" t="s">
        <v>6188</v>
      </c>
      <c r="S192" s="54" t="s">
        <v>692</v>
      </c>
      <c r="T192" s="55" t="str">
        <f t="shared" si="37"/>
        <v>Composições</v>
      </c>
      <c r="U192" s="55" t="str">
        <f t="shared" si="37"/>
        <v>Camadas Externas</v>
      </c>
      <c r="V192" s="55" t="str">
        <f t="shared" si="37"/>
        <v>Paginadas</v>
      </c>
      <c r="W192" s="54" t="s">
        <v>7259</v>
      </c>
      <c r="X192" s="84" t="str">
        <f t="shared" si="36"/>
        <v>Key-COD-CT-192</v>
      </c>
      <c r="Y192" s="84" t="s">
        <v>5988</v>
      </c>
      <c r="Z192" s="84" t="s">
        <v>692</v>
      </c>
      <c r="AA192" s="84" t="s">
        <v>5657</v>
      </c>
      <c r="AB192" s="84" t="s">
        <v>692</v>
      </c>
      <c r="AC192" s="84" t="s">
        <v>692</v>
      </c>
      <c r="AD192" s="54" t="s">
        <v>692</v>
      </c>
    </row>
    <row r="193" spans="1:30" ht="6.75" customHeight="1" x14ac:dyDescent="0.25">
      <c r="A193" s="85">
        <v>193</v>
      </c>
      <c r="B193" s="59" t="s">
        <v>5419</v>
      </c>
      <c r="C193" s="59" t="s">
        <v>1568</v>
      </c>
      <c r="D193" s="59" t="s">
        <v>1692</v>
      </c>
      <c r="E193" s="59" t="s">
        <v>1723</v>
      </c>
      <c r="F193" s="59" t="s">
        <v>1748</v>
      </c>
      <c r="G193" s="81" t="s">
        <v>692</v>
      </c>
      <c r="H193" s="81" t="s">
        <v>692</v>
      </c>
      <c r="I193" s="81" t="s">
        <v>692</v>
      </c>
      <c r="J193" s="81" t="s">
        <v>692</v>
      </c>
      <c r="K193" s="81" t="s">
        <v>692</v>
      </c>
      <c r="L193" s="53" t="str">
        <f t="shared" ref="L193:M259" si="39">CONCATENATE("", C193)</f>
        <v>Composições</v>
      </c>
      <c r="M193" s="53" t="str">
        <f t="shared" si="39"/>
        <v>Camadas.Externas</v>
      </c>
      <c r="N193" s="53" t="str">
        <f t="shared" si="38"/>
        <v>Paginadas</v>
      </c>
      <c r="O193" s="53" t="str">
        <f t="shared" si="38"/>
        <v>Piso Gradil</v>
      </c>
      <c r="P193" s="54" t="s">
        <v>1749</v>
      </c>
      <c r="Q193" s="57" t="s">
        <v>1750</v>
      </c>
      <c r="R193" s="54" t="s">
        <v>6189</v>
      </c>
      <c r="S193" s="54" t="s">
        <v>692</v>
      </c>
      <c r="T193" s="55" t="str">
        <f t="shared" si="37"/>
        <v>Composições</v>
      </c>
      <c r="U193" s="55" t="str">
        <f t="shared" si="37"/>
        <v>Camadas Externas</v>
      </c>
      <c r="V193" s="55" t="str">
        <f t="shared" si="37"/>
        <v>Paginadas</v>
      </c>
      <c r="W193" s="54" t="s">
        <v>7259</v>
      </c>
      <c r="X193" s="84" t="str">
        <f t="shared" si="36"/>
        <v>Key-COD-CT-193</v>
      </c>
      <c r="Y193" s="84" t="s">
        <v>5988</v>
      </c>
      <c r="Z193" s="84" t="s">
        <v>692</v>
      </c>
      <c r="AA193" s="84" t="s">
        <v>5657</v>
      </c>
      <c r="AB193" s="84" t="s">
        <v>692</v>
      </c>
      <c r="AC193" s="84" t="s">
        <v>692</v>
      </c>
      <c r="AD193" s="54" t="s">
        <v>692</v>
      </c>
    </row>
    <row r="194" spans="1:30" ht="6.75" customHeight="1" x14ac:dyDescent="0.25">
      <c r="A194" s="85">
        <v>194</v>
      </c>
      <c r="B194" s="59" t="s">
        <v>5419</v>
      </c>
      <c r="C194" s="59" t="s">
        <v>1568</v>
      </c>
      <c r="D194" s="59" t="s">
        <v>1692</v>
      </c>
      <c r="E194" s="59" t="s">
        <v>1723</v>
      </c>
      <c r="F194" s="59" t="s">
        <v>1751</v>
      </c>
      <c r="G194" s="81" t="s">
        <v>692</v>
      </c>
      <c r="H194" s="81" t="s">
        <v>692</v>
      </c>
      <c r="I194" s="81" t="s">
        <v>692</v>
      </c>
      <c r="J194" s="81" t="s">
        <v>692</v>
      </c>
      <c r="K194" s="81" t="s">
        <v>692</v>
      </c>
      <c r="L194" s="53" t="str">
        <f t="shared" si="39"/>
        <v>Composições</v>
      </c>
      <c r="M194" s="53" t="str">
        <f t="shared" si="39"/>
        <v>Camadas.Externas</v>
      </c>
      <c r="N194" s="53" t="str">
        <f t="shared" si="38"/>
        <v>Paginadas</v>
      </c>
      <c r="O194" s="53" t="str">
        <f t="shared" si="38"/>
        <v>Rodapé Cerâmico</v>
      </c>
      <c r="P194" s="54" t="s">
        <v>1752</v>
      </c>
      <c r="Q194" s="57" t="s">
        <v>1753</v>
      </c>
      <c r="R194" s="54" t="e" vm="1">
        <v>#VALUE!</v>
      </c>
      <c r="S194" s="54" t="s">
        <v>692</v>
      </c>
      <c r="T194" s="55" t="str">
        <f t="shared" si="37"/>
        <v>Composições</v>
      </c>
      <c r="U194" s="55" t="str">
        <f t="shared" si="37"/>
        <v>Camadas Externas</v>
      </c>
      <c r="V194" s="55" t="str">
        <f t="shared" si="37"/>
        <v>Paginadas</v>
      </c>
      <c r="W194" s="54" t="s">
        <v>7259</v>
      </c>
      <c r="X194" s="84" t="str">
        <f t="shared" si="36"/>
        <v>Key-COD-CT-194</v>
      </c>
      <c r="Y194" s="84" t="s">
        <v>5988</v>
      </c>
      <c r="Z194" s="84" t="s">
        <v>692</v>
      </c>
      <c r="AA194" s="84" t="s">
        <v>5658</v>
      </c>
      <c r="AB194" s="84" t="s">
        <v>692</v>
      </c>
      <c r="AC194" s="84" t="s">
        <v>692</v>
      </c>
      <c r="AD194" s="54" t="s">
        <v>692</v>
      </c>
    </row>
    <row r="195" spans="1:30" ht="6.75" customHeight="1" x14ac:dyDescent="0.25">
      <c r="A195" s="85">
        <v>195</v>
      </c>
      <c r="B195" s="59" t="s">
        <v>5419</v>
      </c>
      <c r="C195" s="59" t="s">
        <v>1568</v>
      </c>
      <c r="D195" s="59" t="s">
        <v>1692</v>
      </c>
      <c r="E195" s="59" t="s">
        <v>1723</v>
      </c>
      <c r="F195" s="59" t="s">
        <v>1754</v>
      </c>
      <c r="G195" s="81" t="s">
        <v>692</v>
      </c>
      <c r="H195" s="81" t="s">
        <v>692</v>
      </c>
      <c r="I195" s="81" t="s">
        <v>692</v>
      </c>
      <c r="J195" s="81" t="s">
        <v>692</v>
      </c>
      <c r="K195" s="81" t="s">
        <v>692</v>
      </c>
      <c r="L195" s="53" t="str">
        <f t="shared" si="39"/>
        <v>Composições</v>
      </c>
      <c r="M195" s="53" t="str">
        <f t="shared" si="39"/>
        <v>Camadas.Externas</v>
      </c>
      <c r="N195" s="53" t="str">
        <f t="shared" si="38"/>
        <v>Paginadas</v>
      </c>
      <c r="O195" s="53" t="str">
        <f t="shared" si="38"/>
        <v>Rodapé Porcelanato</v>
      </c>
      <c r="P195" s="54" t="s">
        <v>1755</v>
      </c>
      <c r="Q195" s="57" t="s">
        <v>1756</v>
      </c>
      <c r="R195" s="54" t="s">
        <v>6190</v>
      </c>
      <c r="S195" s="54" t="s">
        <v>692</v>
      </c>
      <c r="T195" s="55" t="str">
        <f t="shared" si="37"/>
        <v>Composições</v>
      </c>
      <c r="U195" s="55" t="str">
        <f t="shared" si="37"/>
        <v>Camadas Externas</v>
      </c>
      <c r="V195" s="55" t="str">
        <f t="shared" si="37"/>
        <v>Paginadas</v>
      </c>
      <c r="W195" s="54" t="s">
        <v>7259</v>
      </c>
      <c r="X195" s="84" t="str">
        <f t="shared" ref="X195:X258" si="40">CONCATENATE("Key-COD-CT-",A195)</f>
        <v>Key-COD-CT-195</v>
      </c>
      <c r="Y195" s="84" t="s">
        <v>5988</v>
      </c>
      <c r="Z195" s="84" t="s">
        <v>692</v>
      </c>
      <c r="AA195" s="84" t="s">
        <v>5658</v>
      </c>
      <c r="AB195" s="84" t="s">
        <v>692</v>
      </c>
      <c r="AC195" s="84" t="s">
        <v>692</v>
      </c>
      <c r="AD195" s="54" t="s">
        <v>692</v>
      </c>
    </row>
    <row r="196" spans="1:30" ht="6.75" customHeight="1" x14ac:dyDescent="0.25">
      <c r="A196" s="85">
        <v>196</v>
      </c>
      <c r="B196" s="59" t="s">
        <v>5419</v>
      </c>
      <c r="C196" s="59" t="s">
        <v>1568</v>
      </c>
      <c r="D196" s="59" t="s">
        <v>1692</v>
      </c>
      <c r="E196" s="59" t="s">
        <v>1723</v>
      </c>
      <c r="F196" s="59" t="s">
        <v>1757</v>
      </c>
      <c r="G196" s="81" t="s">
        <v>692</v>
      </c>
      <c r="H196" s="81" t="s">
        <v>692</v>
      </c>
      <c r="I196" s="81" t="s">
        <v>692</v>
      </c>
      <c r="J196" s="81" t="s">
        <v>692</v>
      </c>
      <c r="K196" s="81" t="s">
        <v>692</v>
      </c>
      <c r="L196" s="53" t="str">
        <f t="shared" si="39"/>
        <v>Composições</v>
      </c>
      <c r="M196" s="53" t="str">
        <f t="shared" si="39"/>
        <v>Camadas.Externas</v>
      </c>
      <c r="N196" s="53" t="str">
        <f t="shared" si="38"/>
        <v>Paginadas</v>
      </c>
      <c r="O196" s="53" t="str">
        <f t="shared" si="38"/>
        <v>Rodapé Taco</v>
      </c>
      <c r="P196" s="54" t="s">
        <v>1758</v>
      </c>
      <c r="Q196" s="57" t="s">
        <v>1759</v>
      </c>
      <c r="R196" s="54" t="s">
        <v>6191</v>
      </c>
      <c r="S196" s="54" t="s">
        <v>692</v>
      </c>
      <c r="T196" s="55" t="str">
        <f t="shared" si="37"/>
        <v>Composições</v>
      </c>
      <c r="U196" s="55" t="str">
        <f t="shared" si="37"/>
        <v>Camadas Externas</v>
      </c>
      <c r="V196" s="55" t="str">
        <f t="shared" si="37"/>
        <v>Paginadas</v>
      </c>
      <c r="W196" s="54" t="s">
        <v>7259</v>
      </c>
      <c r="X196" s="84" t="str">
        <f t="shared" si="40"/>
        <v>Key-COD-CT-196</v>
      </c>
      <c r="Y196" s="84" t="s">
        <v>5988</v>
      </c>
      <c r="Z196" s="84" t="s">
        <v>692</v>
      </c>
      <c r="AA196" s="84" t="s">
        <v>5658</v>
      </c>
      <c r="AB196" s="84" t="s">
        <v>692</v>
      </c>
      <c r="AC196" s="84" t="s">
        <v>692</v>
      </c>
      <c r="AD196" s="54" t="s">
        <v>692</v>
      </c>
    </row>
    <row r="197" spans="1:30" ht="6.75" customHeight="1" x14ac:dyDescent="0.25">
      <c r="A197" s="85">
        <v>197</v>
      </c>
      <c r="B197" s="59" t="s">
        <v>5419</v>
      </c>
      <c r="C197" s="59" t="s">
        <v>1568</v>
      </c>
      <c r="D197" s="59" t="s">
        <v>1692</v>
      </c>
      <c r="E197" s="59" t="s">
        <v>1723</v>
      </c>
      <c r="F197" s="59" t="s">
        <v>1760</v>
      </c>
      <c r="G197" s="81" t="s">
        <v>692</v>
      </c>
      <c r="H197" s="81" t="s">
        <v>692</v>
      </c>
      <c r="I197" s="81" t="s">
        <v>692</v>
      </c>
      <c r="J197" s="81" t="s">
        <v>692</v>
      </c>
      <c r="K197" s="81" t="s">
        <v>692</v>
      </c>
      <c r="L197" s="53" t="str">
        <f t="shared" si="39"/>
        <v>Composições</v>
      </c>
      <c r="M197" s="53" t="str">
        <f t="shared" si="39"/>
        <v>Camadas.Externas</v>
      </c>
      <c r="N197" s="53" t="str">
        <f t="shared" si="38"/>
        <v>Paginadas</v>
      </c>
      <c r="O197" s="53" t="str">
        <f t="shared" si="38"/>
        <v>Rodapé Vinílico</v>
      </c>
      <c r="P197" s="54" t="s">
        <v>1761</v>
      </c>
      <c r="Q197" s="57" t="s">
        <v>1762</v>
      </c>
      <c r="R197" s="54" t="s">
        <v>6192</v>
      </c>
      <c r="S197" s="54" t="s">
        <v>692</v>
      </c>
      <c r="T197" s="55" t="str">
        <f t="shared" si="37"/>
        <v>Composições</v>
      </c>
      <c r="U197" s="55" t="str">
        <f t="shared" si="37"/>
        <v>Camadas Externas</v>
      </c>
      <c r="V197" s="55" t="str">
        <f t="shared" si="37"/>
        <v>Paginadas</v>
      </c>
      <c r="W197" s="54" t="s">
        <v>7259</v>
      </c>
      <c r="X197" s="84" t="str">
        <f t="shared" si="40"/>
        <v>Key-COD-CT-197</v>
      </c>
      <c r="Y197" s="84" t="s">
        <v>5988</v>
      </c>
      <c r="Z197" s="84" t="s">
        <v>692</v>
      </c>
      <c r="AA197" s="84" t="s">
        <v>5658</v>
      </c>
      <c r="AB197" s="84" t="s">
        <v>692</v>
      </c>
      <c r="AC197" s="84" t="s">
        <v>692</v>
      </c>
      <c r="AD197" s="54" t="s">
        <v>692</v>
      </c>
    </row>
    <row r="198" spans="1:30" ht="6.75" customHeight="1" x14ac:dyDescent="0.25">
      <c r="A198" s="85">
        <v>198</v>
      </c>
      <c r="B198" s="59" t="s">
        <v>5419</v>
      </c>
      <c r="C198" s="59" t="s">
        <v>1568</v>
      </c>
      <c r="D198" s="59" t="s">
        <v>1692</v>
      </c>
      <c r="E198" s="59" t="s">
        <v>1723</v>
      </c>
      <c r="F198" s="59" t="s">
        <v>1763</v>
      </c>
      <c r="G198" s="81" t="s">
        <v>692</v>
      </c>
      <c r="H198" s="81" t="s">
        <v>692</v>
      </c>
      <c r="I198" s="81" t="s">
        <v>692</v>
      </c>
      <c r="J198" s="81" t="s">
        <v>692</v>
      </c>
      <c r="K198" s="81" t="s">
        <v>692</v>
      </c>
      <c r="L198" s="53" t="str">
        <f t="shared" si="39"/>
        <v>Composições</v>
      </c>
      <c r="M198" s="53" t="str">
        <f t="shared" si="39"/>
        <v>Camadas.Externas</v>
      </c>
      <c r="N198" s="53" t="str">
        <f t="shared" si="38"/>
        <v>Paginadas</v>
      </c>
      <c r="O198" s="53" t="str">
        <f t="shared" si="38"/>
        <v>Rodapé Pedra Natural</v>
      </c>
      <c r="P198" s="54" t="s">
        <v>1764</v>
      </c>
      <c r="Q198" s="57" t="s">
        <v>1765</v>
      </c>
      <c r="R198" s="54" t="s">
        <v>6193</v>
      </c>
      <c r="S198" s="54" t="s">
        <v>692</v>
      </c>
      <c r="T198" s="55" t="str">
        <f t="shared" si="37"/>
        <v>Composições</v>
      </c>
      <c r="U198" s="55" t="str">
        <f t="shared" si="37"/>
        <v>Camadas Externas</v>
      </c>
      <c r="V198" s="55" t="str">
        <f t="shared" si="37"/>
        <v>Paginadas</v>
      </c>
      <c r="W198" s="54" t="s">
        <v>7259</v>
      </c>
      <c r="X198" s="84" t="str">
        <f t="shared" si="40"/>
        <v>Key-COD-CT-198</v>
      </c>
      <c r="Y198" s="84" t="s">
        <v>5988</v>
      </c>
      <c r="Z198" s="84" t="s">
        <v>692</v>
      </c>
      <c r="AA198" s="84" t="s">
        <v>5658</v>
      </c>
      <c r="AB198" s="84" t="s">
        <v>692</v>
      </c>
      <c r="AC198" s="84" t="s">
        <v>692</v>
      </c>
      <c r="AD198" s="54" t="s">
        <v>692</v>
      </c>
    </row>
    <row r="199" spans="1:30" ht="6.75" customHeight="1" x14ac:dyDescent="0.25">
      <c r="A199" s="85">
        <v>199</v>
      </c>
      <c r="B199" s="59" t="s">
        <v>5419</v>
      </c>
      <c r="C199" s="59" t="s">
        <v>1568</v>
      </c>
      <c r="D199" s="59" t="s">
        <v>1692</v>
      </c>
      <c r="E199" s="59" t="s">
        <v>1723</v>
      </c>
      <c r="F199" s="59" t="s">
        <v>1766</v>
      </c>
      <c r="G199" s="81" t="s">
        <v>692</v>
      </c>
      <c r="H199" s="81" t="s">
        <v>692</v>
      </c>
      <c r="I199" s="81" t="s">
        <v>692</v>
      </c>
      <c r="J199" s="81" t="s">
        <v>692</v>
      </c>
      <c r="K199" s="81" t="s">
        <v>692</v>
      </c>
      <c r="L199" s="53" t="str">
        <f t="shared" si="39"/>
        <v>Composições</v>
      </c>
      <c r="M199" s="53" t="str">
        <f t="shared" si="39"/>
        <v>Camadas.Externas</v>
      </c>
      <c r="N199" s="53" t="str">
        <f t="shared" si="38"/>
        <v>Paginadas</v>
      </c>
      <c r="O199" s="53" t="str">
        <f t="shared" si="38"/>
        <v>Rodapé Pedra Sintética</v>
      </c>
      <c r="P199" s="54" t="s">
        <v>1767</v>
      </c>
      <c r="Q199" s="57" t="s">
        <v>1768</v>
      </c>
      <c r="R199" s="54" t="s">
        <v>6194</v>
      </c>
      <c r="S199" s="54" t="s">
        <v>692</v>
      </c>
      <c r="T199" s="55" t="str">
        <f t="shared" si="37"/>
        <v>Composições</v>
      </c>
      <c r="U199" s="55" t="str">
        <f t="shared" si="37"/>
        <v>Camadas Externas</v>
      </c>
      <c r="V199" s="55" t="str">
        <f t="shared" si="37"/>
        <v>Paginadas</v>
      </c>
      <c r="W199" s="54" t="s">
        <v>7259</v>
      </c>
      <c r="X199" s="84" t="str">
        <f t="shared" si="40"/>
        <v>Key-COD-CT-199</v>
      </c>
      <c r="Y199" s="84" t="s">
        <v>5988</v>
      </c>
      <c r="Z199" s="84" t="s">
        <v>692</v>
      </c>
      <c r="AA199" s="84" t="s">
        <v>5658</v>
      </c>
      <c r="AB199" s="84" t="s">
        <v>692</v>
      </c>
      <c r="AC199" s="84" t="s">
        <v>692</v>
      </c>
      <c r="AD199" s="54" t="s">
        <v>692</v>
      </c>
    </row>
    <row r="200" spans="1:30" ht="6.75" customHeight="1" x14ac:dyDescent="0.25">
      <c r="A200" s="85">
        <v>200</v>
      </c>
      <c r="B200" s="59" t="s">
        <v>5419</v>
      </c>
      <c r="C200" s="59" t="s">
        <v>1568</v>
      </c>
      <c r="D200" s="59" t="s">
        <v>1692</v>
      </c>
      <c r="E200" s="59" t="s">
        <v>1723</v>
      </c>
      <c r="F200" s="59" t="s">
        <v>1769</v>
      </c>
      <c r="G200" s="81" t="s">
        <v>692</v>
      </c>
      <c r="H200" s="81" t="s">
        <v>692</v>
      </c>
      <c r="I200" s="81" t="s">
        <v>692</v>
      </c>
      <c r="J200" s="81" t="s">
        <v>692</v>
      </c>
      <c r="K200" s="81" t="s">
        <v>692</v>
      </c>
      <c r="L200" s="53" t="str">
        <f t="shared" si="39"/>
        <v>Composições</v>
      </c>
      <c r="M200" s="53" t="str">
        <f t="shared" si="39"/>
        <v>Camadas.Externas</v>
      </c>
      <c r="N200" s="53" t="str">
        <f t="shared" si="38"/>
        <v>Paginadas</v>
      </c>
      <c r="O200" s="53" t="str">
        <f t="shared" si="38"/>
        <v>Parede Cerâmica</v>
      </c>
      <c r="P200" s="54" t="s">
        <v>1770</v>
      </c>
      <c r="Q200" s="57" t="s">
        <v>1771</v>
      </c>
      <c r="R200" s="54" t="s">
        <v>6195</v>
      </c>
      <c r="S200" s="54" t="s">
        <v>692</v>
      </c>
      <c r="T200" s="55" t="str">
        <f t="shared" si="37"/>
        <v>Composições</v>
      </c>
      <c r="U200" s="55" t="str">
        <f t="shared" si="37"/>
        <v>Camadas Externas</v>
      </c>
      <c r="V200" s="55" t="str">
        <f t="shared" si="37"/>
        <v>Paginadas</v>
      </c>
      <c r="W200" s="54" t="s">
        <v>7259</v>
      </c>
      <c r="X200" s="84" t="str">
        <f t="shared" si="40"/>
        <v>Key-COD-CT-200</v>
      </c>
      <c r="Y200" s="84" t="s">
        <v>5989</v>
      </c>
      <c r="Z200" s="84" t="s">
        <v>692</v>
      </c>
      <c r="AA200" s="84" t="s">
        <v>5659</v>
      </c>
      <c r="AB200" s="84" t="s">
        <v>692</v>
      </c>
      <c r="AC200" s="84" t="s">
        <v>692</v>
      </c>
      <c r="AD200" s="54" t="s">
        <v>692</v>
      </c>
    </row>
    <row r="201" spans="1:30" ht="6.75" customHeight="1" x14ac:dyDescent="0.25">
      <c r="A201" s="85">
        <v>201</v>
      </c>
      <c r="B201" s="59" t="s">
        <v>5419</v>
      </c>
      <c r="C201" s="59" t="s">
        <v>1568</v>
      </c>
      <c r="D201" s="59" t="s">
        <v>1692</v>
      </c>
      <c r="E201" s="59" t="s">
        <v>1723</v>
      </c>
      <c r="F201" s="59" t="s">
        <v>1772</v>
      </c>
      <c r="G201" s="81" t="s">
        <v>692</v>
      </c>
      <c r="H201" s="81" t="s">
        <v>692</v>
      </c>
      <c r="I201" s="81" t="s">
        <v>692</v>
      </c>
      <c r="J201" s="81" t="s">
        <v>692</v>
      </c>
      <c r="K201" s="81" t="s">
        <v>692</v>
      </c>
      <c r="L201" s="53" t="str">
        <f t="shared" si="39"/>
        <v>Composições</v>
      </c>
      <c r="M201" s="53" t="str">
        <f t="shared" si="39"/>
        <v>Camadas.Externas</v>
      </c>
      <c r="N201" s="53" t="str">
        <f t="shared" si="38"/>
        <v>Paginadas</v>
      </c>
      <c r="O201" s="53" t="str">
        <f t="shared" si="38"/>
        <v>Parede Porcelanato</v>
      </c>
      <c r="P201" s="54" t="s">
        <v>1773</v>
      </c>
      <c r="Q201" s="57" t="s">
        <v>1774</v>
      </c>
      <c r="R201" s="54" t="s">
        <v>6196</v>
      </c>
      <c r="S201" s="54" t="s">
        <v>692</v>
      </c>
      <c r="T201" s="55" t="str">
        <f t="shared" si="37"/>
        <v>Composições</v>
      </c>
      <c r="U201" s="55" t="str">
        <f t="shared" si="37"/>
        <v>Camadas Externas</v>
      </c>
      <c r="V201" s="55" t="str">
        <f t="shared" si="37"/>
        <v>Paginadas</v>
      </c>
      <c r="W201" s="54" t="s">
        <v>7259</v>
      </c>
      <c r="X201" s="84" t="str">
        <f t="shared" si="40"/>
        <v>Key-COD-CT-201</v>
      </c>
      <c r="Y201" s="84" t="s">
        <v>5989</v>
      </c>
      <c r="Z201" s="84" t="s">
        <v>692</v>
      </c>
      <c r="AA201" s="84" t="s">
        <v>5659</v>
      </c>
      <c r="AB201" s="84" t="s">
        <v>692</v>
      </c>
      <c r="AC201" s="84" t="s">
        <v>692</v>
      </c>
      <c r="AD201" s="54" t="s">
        <v>692</v>
      </c>
    </row>
    <row r="202" spans="1:30" ht="6.75" customHeight="1" x14ac:dyDescent="0.25">
      <c r="A202" s="85">
        <v>202</v>
      </c>
      <c r="B202" s="59" t="s">
        <v>5419</v>
      </c>
      <c r="C202" s="59" t="s">
        <v>1568</v>
      </c>
      <c r="D202" s="59" t="s">
        <v>1692</v>
      </c>
      <c r="E202" s="59" t="s">
        <v>1723</v>
      </c>
      <c r="F202" s="61" t="s">
        <v>1775</v>
      </c>
      <c r="G202" s="81" t="s">
        <v>692</v>
      </c>
      <c r="H202" s="81" t="s">
        <v>692</v>
      </c>
      <c r="I202" s="81" t="s">
        <v>692</v>
      </c>
      <c r="J202" s="81" t="s">
        <v>692</v>
      </c>
      <c r="K202" s="81" t="s">
        <v>692</v>
      </c>
      <c r="L202" s="53" t="str">
        <f t="shared" si="39"/>
        <v>Composições</v>
      </c>
      <c r="M202" s="53" t="str">
        <f t="shared" si="39"/>
        <v>Camadas.Externas</v>
      </c>
      <c r="N202" s="53" t="str">
        <f t="shared" si="38"/>
        <v>Paginadas</v>
      </c>
      <c r="O202" s="53" t="str">
        <f t="shared" si="38"/>
        <v>Parede Azulejada</v>
      </c>
      <c r="P202" s="56" t="s">
        <v>1776</v>
      </c>
      <c r="Q202" s="57" t="s">
        <v>1777</v>
      </c>
      <c r="R202" s="54" t="s">
        <v>6197</v>
      </c>
      <c r="S202" s="54" t="s">
        <v>692</v>
      </c>
      <c r="T202" s="55" t="str">
        <f t="shared" si="37"/>
        <v>Composições</v>
      </c>
      <c r="U202" s="55" t="str">
        <f t="shared" si="37"/>
        <v>Camadas Externas</v>
      </c>
      <c r="V202" s="55" t="str">
        <f t="shared" si="37"/>
        <v>Paginadas</v>
      </c>
      <c r="W202" s="54" t="s">
        <v>7259</v>
      </c>
      <c r="X202" s="84" t="str">
        <f t="shared" si="40"/>
        <v>Key-COD-CT-202</v>
      </c>
      <c r="Y202" s="84" t="s">
        <v>5989</v>
      </c>
      <c r="Z202" s="84" t="s">
        <v>692</v>
      </c>
      <c r="AA202" s="84" t="s">
        <v>5659</v>
      </c>
      <c r="AB202" s="84" t="s">
        <v>692</v>
      </c>
      <c r="AC202" s="84" t="s">
        <v>692</v>
      </c>
      <c r="AD202" s="54" t="s">
        <v>692</v>
      </c>
    </row>
    <row r="203" spans="1:30" ht="6.75" customHeight="1" x14ac:dyDescent="0.25">
      <c r="A203" s="85">
        <v>203</v>
      </c>
      <c r="B203" s="59" t="s">
        <v>5419</v>
      </c>
      <c r="C203" s="59" t="s">
        <v>1568</v>
      </c>
      <c r="D203" s="59" t="s">
        <v>1692</v>
      </c>
      <c r="E203" s="59" t="s">
        <v>1723</v>
      </c>
      <c r="F203" s="61" t="s">
        <v>1778</v>
      </c>
      <c r="G203" s="81" t="s">
        <v>692</v>
      </c>
      <c r="H203" s="81" t="s">
        <v>692</v>
      </c>
      <c r="I203" s="81" t="s">
        <v>692</v>
      </c>
      <c r="J203" s="81" t="s">
        <v>692</v>
      </c>
      <c r="K203" s="81" t="s">
        <v>692</v>
      </c>
      <c r="L203" s="53" t="str">
        <f t="shared" si="39"/>
        <v>Composições</v>
      </c>
      <c r="M203" s="53" t="str">
        <f t="shared" si="39"/>
        <v>Camadas.Externas</v>
      </c>
      <c r="N203" s="53" t="str">
        <f t="shared" si="38"/>
        <v>Paginadas</v>
      </c>
      <c r="O203" s="53" t="str">
        <f t="shared" si="38"/>
        <v>Parede Hidráulica</v>
      </c>
      <c r="P203" s="56" t="s">
        <v>1779</v>
      </c>
      <c r="Q203" s="57" t="s">
        <v>1780</v>
      </c>
      <c r="R203" s="54" t="s">
        <v>6198</v>
      </c>
      <c r="S203" s="54" t="s">
        <v>692</v>
      </c>
      <c r="T203" s="55" t="str">
        <f t="shared" si="37"/>
        <v>Composições</v>
      </c>
      <c r="U203" s="55" t="str">
        <f t="shared" si="37"/>
        <v>Camadas Externas</v>
      </c>
      <c r="V203" s="55" t="str">
        <f t="shared" si="37"/>
        <v>Paginadas</v>
      </c>
      <c r="W203" s="54" t="s">
        <v>7259</v>
      </c>
      <c r="X203" s="84" t="str">
        <f t="shared" si="40"/>
        <v>Key-COD-CT-203</v>
      </c>
      <c r="Y203" s="84" t="s">
        <v>5989</v>
      </c>
      <c r="Z203" s="84" t="s">
        <v>692</v>
      </c>
      <c r="AA203" s="84" t="s">
        <v>5659</v>
      </c>
      <c r="AB203" s="84" t="s">
        <v>692</v>
      </c>
      <c r="AC203" s="84" t="s">
        <v>692</v>
      </c>
      <c r="AD203" s="54" t="s">
        <v>692</v>
      </c>
    </row>
    <row r="204" spans="1:30" ht="6.75" customHeight="1" x14ac:dyDescent="0.25">
      <c r="A204" s="85">
        <v>204</v>
      </c>
      <c r="B204" s="59" t="s">
        <v>5419</v>
      </c>
      <c r="C204" s="59" t="s">
        <v>1568</v>
      </c>
      <c r="D204" s="59" t="s">
        <v>1692</v>
      </c>
      <c r="E204" s="59" t="s">
        <v>1723</v>
      </c>
      <c r="F204" s="61" t="s">
        <v>1781</v>
      </c>
      <c r="G204" s="81" t="s">
        <v>692</v>
      </c>
      <c r="H204" s="81" t="s">
        <v>692</v>
      </c>
      <c r="I204" s="81" t="s">
        <v>692</v>
      </c>
      <c r="J204" s="81" t="s">
        <v>692</v>
      </c>
      <c r="K204" s="81" t="s">
        <v>692</v>
      </c>
      <c r="L204" s="53" t="str">
        <f t="shared" si="39"/>
        <v>Composições</v>
      </c>
      <c r="M204" s="53" t="str">
        <f t="shared" si="39"/>
        <v>Camadas.Externas</v>
      </c>
      <c r="N204" s="53" t="str">
        <f t="shared" si="38"/>
        <v>Paginadas</v>
      </c>
      <c r="O204" s="53" t="str">
        <f t="shared" si="38"/>
        <v>Parede Lambri</v>
      </c>
      <c r="P204" s="56" t="s">
        <v>1782</v>
      </c>
      <c r="Q204" s="57" t="s">
        <v>1783</v>
      </c>
      <c r="R204" s="54" t="s">
        <v>6199</v>
      </c>
      <c r="S204" s="54" t="s">
        <v>692</v>
      </c>
      <c r="T204" s="55" t="str">
        <f t="shared" si="37"/>
        <v>Composições</v>
      </c>
      <c r="U204" s="55" t="str">
        <f t="shared" si="37"/>
        <v>Camadas Externas</v>
      </c>
      <c r="V204" s="55" t="str">
        <f t="shared" si="37"/>
        <v>Paginadas</v>
      </c>
      <c r="W204" s="54" t="s">
        <v>7259</v>
      </c>
      <c r="X204" s="84" t="str">
        <f t="shared" si="40"/>
        <v>Key-COD-CT-204</v>
      </c>
      <c r="Y204" s="84" t="s">
        <v>5989</v>
      </c>
      <c r="Z204" s="84" t="s">
        <v>692</v>
      </c>
      <c r="AA204" s="84" t="s">
        <v>5659</v>
      </c>
      <c r="AB204" s="84" t="s">
        <v>692</v>
      </c>
      <c r="AC204" s="84" t="s">
        <v>692</v>
      </c>
      <c r="AD204" s="54" t="s">
        <v>692</v>
      </c>
    </row>
    <row r="205" spans="1:30" ht="6.75" customHeight="1" x14ac:dyDescent="0.25">
      <c r="A205" s="85">
        <v>205</v>
      </c>
      <c r="B205" s="59" t="s">
        <v>5419</v>
      </c>
      <c r="C205" s="59" t="s">
        <v>1568</v>
      </c>
      <c r="D205" s="59" t="s">
        <v>1692</v>
      </c>
      <c r="E205" s="59" t="s">
        <v>1723</v>
      </c>
      <c r="F205" s="61" t="s">
        <v>1784</v>
      </c>
      <c r="G205" s="81" t="s">
        <v>692</v>
      </c>
      <c r="H205" s="81" t="s">
        <v>692</v>
      </c>
      <c r="I205" s="81" t="s">
        <v>692</v>
      </c>
      <c r="J205" s="81" t="s">
        <v>692</v>
      </c>
      <c r="K205" s="81" t="s">
        <v>692</v>
      </c>
      <c r="L205" s="53" t="str">
        <f t="shared" si="39"/>
        <v>Composições</v>
      </c>
      <c r="M205" s="53" t="str">
        <f t="shared" si="39"/>
        <v>Camadas.Externas</v>
      </c>
      <c r="N205" s="53" t="str">
        <f t="shared" si="38"/>
        <v>Paginadas</v>
      </c>
      <c r="O205" s="53" t="str">
        <f t="shared" si="38"/>
        <v>Parede Emplacada</v>
      </c>
      <c r="P205" s="56" t="s">
        <v>1785</v>
      </c>
      <c r="Q205" s="57" t="s">
        <v>1786</v>
      </c>
      <c r="R205" s="54" t="s">
        <v>6200</v>
      </c>
      <c r="S205" s="54" t="s">
        <v>692</v>
      </c>
      <c r="T205" s="55" t="str">
        <f t="shared" si="37"/>
        <v>Composições</v>
      </c>
      <c r="U205" s="55" t="str">
        <f t="shared" si="37"/>
        <v>Camadas Externas</v>
      </c>
      <c r="V205" s="55" t="str">
        <f t="shared" si="37"/>
        <v>Paginadas</v>
      </c>
      <c r="W205" s="54" t="s">
        <v>7259</v>
      </c>
      <c r="X205" s="84" t="str">
        <f t="shared" si="40"/>
        <v>Key-COD-CT-205</v>
      </c>
      <c r="Y205" s="84" t="s">
        <v>5989</v>
      </c>
      <c r="Z205" s="84" t="s">
        <v>692</v>
      </c>
      <c r="AA205" s="84" t="s">
        <v>5659</v>
      </c>
      <c r="AB205" s="84" t="s">
        <v>692</v>
      </c>
      <c r="AC205" s="84" t="s">
        <v>692</v>
      </c>
      <c r="AD205" s="54" t="s">
        <v>692</v>
      </c>
    </row>
    <row r="206" spans="1:30" ht="6.75" customHeight="1" x14ac:dyDescent="0.25">
      <c r="A206" s="85">
        <v>206</v>
      </c>
      <c r="B206" s="59" t="s">
        <v>5419</v>
      </c>
      <c r="C206" s="59" t="s">
        <v>1568</v>
      </c>
      <c r="D206" s="59" t="s">
        <v>1692</v>
      </c>
      <c r="E206" s="59" t="s">
        <v>1723</v>
      </c>
      <c r="F206" s="61" t="s">
        <v>1787</v>
      </c>
      <c r="G206" s="81" t="s">
        <v>692</v>
      </c>
      <c r="H206" s="81" t="s">
        <v>692</v>
      </c>
      <c r="I206" s="81" t="s">
        <v>692</v>
      </c>
      <c r="J206" s="81" t="s">
        <v>692</v>
      </c>
      <c r="K206" s="81" t="s">
        <v>692</v>
      </c>
      <c r="L206" s="53" t="str">
        <f t="shared" si="39"/>
        <v>Composições</v>
      </c>
      <c r="M206" s="53" t="str">
        <f t="shared" si="39"/>
        <v>Camadas.Externas</v>
      </c>
      <c r="N206" s="53" t="str">
        <f t="shared" si="38"/>
        <v>Paginadas</v>
      </c>
      <c r="O206" s="53" t="str">
        <f t="shared" si="38"/>
        <v>Parede Painel</v>
      </c>
      <c r="P206" s="56" t="s">
        <v>1788</v>
      </c>
      <c r="Q206" s="57" t="s">
        <v>1789</v>
      </c>
      <c r="R206" s="54" t="s">
        <v>6201</v>
      </c>
      <c r="S206" s="54" t="s">
        <v>692</v>
      </c>
      <c r="T206" s="55" t="str">
        <f t="shared" si="37"/>
        <v>Composições</v>
      </c>
      <c r="U206" s="55" t="str">
        <f t="shared" si="37"/>
        <v>Camadas Externas</v>
      </c>
      <c r="V206" s="55" t="str">
        <f t="shared" si="37"/>
        <v>Paginadas</v>
      </c>
      <c r="W206" s="54" t="s">
        <v>7259</v>
      </c>
      <c r="X206" s="84" t="str">
        <f t="shared" si="40"/>
        <v>Key-COD-CT-206</v>
      </c>
      <c r="Y206" s="84" t="s">
        <v>5989</v>
      </c>
      <c r="Z206" s="84" t="s">
        <v>692</v>
      </c>
      <c r="AA206" s="84" t="s">
        <v>5659</v>
      </c>
      <c r="AB206" s="84" t="s">
        <v>692</v>
      </c>
      <c r="AC206" s="84" t="s">
        <v>692</v>
      </c>
      <c r="AD206" s="54" t="s">
        <v>692</v>
      </c>
    </row>
    <row r="207" spans="1:30" ht="6.75" customHeight="1" x14ac:dyDescent="0.25">
      <c r="A207" s="85">
        <v>207</v>
      </c>
      <c r="B207" s="59" t="s">
        <v>5419</v>
      </c>
      <c r="C207" s="59" t="s">
        <v>1568</v>
      </c>
      <c r="D207" s="59" t="s">
        <v>1692</v>
      </c>
      <c r="E207" s="59" t="s">
        <v>1723</v>
      </c>
      <c r="F207" s="59" t="s">
        <v>1790</v>
      </c>
      <c r="G207" s="81" t="s">
        <v>692</v>
      </c>
      <c r="H207" s="81" t="s">
        <v>692</v>
      </c>
      <c r="I207" s="81" t="s">
        <v>692</v>
      </c>
      <c r="J207" s="81" t="s">
        <v>692</v>
      </c>
      <c r="K207" s="81" t="s">
        <v>692</v>
      </c>
      <c r="L207" s="53" t="str">
        <f t="shared" si="39"/>
        <v>Composições</v>
      </c>
      <c r="M207" s="53" t="str">
        <f t="shared" si="39"/>
        <v>Camadas.Externas</v>
      </c>
      <c r="N207" s="53" t="str">
        <f t="shared" si="38"/>
        <v>Paginadas</v>
      </c>
      <c r="O207" s="53" t="str">
        <f t="shared" si="38"/>
        <v>Parede Alucobond</v>
      </c>
      <c r="P207" s="56" t="s">
        <v>1791</v>
      </c>
      <c r="Q207" s="57" t="s">
        <v>1792</v>
      </c>
      <c r="R207" s="54" t="s">
        <v>6202</v>
      </c>
      <c r="S207" s="54" t="s">
        <v>692</v>
      </c>
      <c r="T207" s="55" t="str">
        <f t="shared" si="37"/>
        <v>Composições</v>
      </c>
      <c r="U207" s="55" t="str">
        <f t="shared" si="37"/>
        <v>Camadas Externas</v>
      </c>
      <c r="V207" s="55" t="str">
        <f t="shared" si="37"/>
        <v>Paginadas</v>
      </c>
      <c r="W207" s="54" t="s">
        <v>7259</v>
      </c>
      <c r="X207" s="84" t="str">
        <f t="shared" si="40"/>
        <v>Key-COD-CT-207</v>
      </c>
      <c r="Y207" s="84" t="s">
        <v>5989</v>
      </c>
      <c r="Z207" s="84" t="s">
        <v>692</v>
      </c>
      <c r="AA207" s="84" t="s">
        <v>5659</v>
      </c>
      <c r="AB207" s="84" t="s">
        <v>692</v>
      </c>
      <c r="AC207" s="84" t="s">
        <v>692</v>
      </c>
      <c r="AD207" s="54" t="s">
        <v>692</v>
      </c>
    </row>
    <row r="208" spans="1:30" ht="6.75" customHeight="1" x14ac:dyDescent="0.25">
      <c r="A208" s="85">
        <v>208</v>
      </c>
      <c r="B208" s="59" t="s">
        <v>5419</v>
      </c>
      <c r="C208" s="59" t="s">
        <v>1568</v>
      </c>
      <c r="D208" s="59" t="s">
        <v>1692</v>
      </c>
      <c r="E208" s="59" t="s">
        <v>1723</v>
      </c>
      <c r="F208" s="61" t="s">
        <v>1793</v>
      </c>
      <c r="G208" s="81" t="s">
        <v>692</v>
      </c>
      <c r="H208" s="81" t="s">
        <v>692</v>
      </c>
      <c r="I208" s="81" t="s">
        <v>692</v>
      </c>
      <c r="J208" s="81" t="s">
        <v>692</v>
      </c>
      <c r="K208" s="81" t="s">
        <v>692</v>
      </c>
      <c r="L208" s="53" t="str">
        <f t="shared" si="39"/>
        <v>Composições</v>
      </c>
      <c r="M208" s="53" t="str">
        <f t="shared" si="39"/>
        <v>Camadas.Externas</v>
      </c>
      <c r="N208" s="53" t="str">
        <f t="shared" si="38"/>
        <v>Paginadas</v>
      </c>
      <c r="O208" s="53" t="str">
        <f t="shared" si="38"/>
        <v>Parede Fachada</v>
      </c>
      <c r="P208" s="56" t="s">
        <v>1794</v>
      </c>
      <c r="Q208" s="56" t="s">
        <v>1795</v>
      </c>
      <c r="R208" s="54" t="s">
        <v>6203</v>
      </c>
      <c r="S208" s="54" t="s">
        <v>692</v>
      </c>
      <c r="T208" s="55" t="str">
        <f t="shared" si="37"/>
        <v>Composições</v>
      </c>
      <c r="U208" s="55" t="str">
        <f t="shared" si="37"/>
        <v>Camadas Externas</v>
      </c>
      <c r="V208" s="55" t="str">
        <f t="shared" si="37"/>
        <v>Paginadas</v>
      </c>
      <c r="W208" s="54" t="s">
        <v>7259</v>
      </c>
      <c r="X208" s="84" t="str">
        <f t="shared" si="40"/>
        <v>Key-COD-CT-208</v>
      </c>
      <c r="Y208" s="84" t="s">
        <v>5989</v>
      </c>
      <c r="Z208" s="84" t="s">
        <v>692</v>
      </c>
      <c r="AA208" s="84" t="s">
        <v>5659</v>
      </c>
      <c r="AB208" s="84" t="s">
        <v>692</v>
      </c>
      <c r="AC208" s="84" t="s">
        <v>692</v>
      </c>
      <c r="AD208" s="54" t="s">
        <v>692</v>
      </c>
    </row>
    <row r="209" spans="1:30" ht="6.75" customHeight="1" x14ac:dyDescent="0.25">
      <c r="A209" s="85">
        <v>209</v>
      </c>
      <c r="B209" s="59" t="s">
        <v>5419</v>
      </c>
      <c r="C209" s="59" t="s">
        <v>1568</v>
      </c>
      <c r="D209" s="59" t="s">
        <v>1692</v>
      </c>
      <c r="E209" s="59" t="s">
        <v>1796</v>
      </c>
      <c r="F209" s="59" t="s">
        <v>1797</v>
      </c>
      <c r="G209" s="81" t="s">
        <v>692</v>
      </c>
      <c r="H209" s="81" t="s">
        <v>692</v>
      </c>
      <c r="I209" s="81" t="s">
        <v>692</v>
      </c>
      <c r="J209" s="81" t="s">
        <v>692</v>
      </c>
      <c r="K209" s="81" t="s">
        <v>692</v>
      </c>
      <c r="L209" s="53" t="str">
        <f t="shared" si="39"/>
        <v>Composições</v>
      </c>
      <c r="M209" s="53" t="str">
        <f t="shared" si="39"/>
        <v>Camadas.Externas</v>
      </c>
      <c r="N209" s="53" t="str">
        <f t="shared" si="38"/>
        <v>Contínuas</v>
      </c>
      <c r="O209" s="53" t="str">
        <f t="shared" si="38"/>
        <v>Piso Carpete</v>
      </c>
      <c r="P209" s="54" t="s">
        <v>1798</v>
      </c>
      <c r="Q209" s="57" t="s">
        <v>1799</v>
      </c>
      <c r="R209" s="54" t="s">
        <v>6204</v>
      </c>
      <c r="S209" s="54" t="s">
        <v>692</v>
      </c>
      <c r="T209" s="55" t="str">
        <f t="shared" si="37"/>
        <v>Composições</v>
      </c>
      <c r="U209" s="55" t="str">
        <f t="shared" si="37"/>
        <v>Camadas Externas</v>
      </c>
      <c r="V209" s="55" t="str">
        <f t="shared" si="37"/>
        <v>Contínuas</v>
      </c>
      <c r="W209" s="54" t="s">
        <v>7259</v>
      </c>
      <c r="X209" s="84" t="str">
        <f t="shared" si="40"/>
        <v>Key-COD-CT-209</v>
      </c>
      <c r="Y209" s="84" t="s">
        <v>5988</v>
      </c>
      <c r="Z209" s="84" t="s">
        <v>692</v>
      </c>
      <c r="AA209" s="84" t="s">
        <v>5657</v>
      </c>
      <c r="AB209" s="84" t="s">
        <v>692</v>
      </c>
      <c r="AC209" s="84" t="s">
        <v>692</v>
      </c>
      <c r="AD209" s="54" t="s">
        <v>692</v>
      </c>
    </row>
    <row r="210" spans="1:30" ht="6.75" customHeight="1" x14ac:dyDescent="0.25">
      <c r="A210" s="85">
        <v>210</v>
      </c>
      <c r="B210" s="59" t="s">
        <v>5419</v>
      </c>
      <c r="C210" s="59" t="s">
        <v>1568</v>
      </c>
      <c r="D210" s="59" t="s">
        <v>1692</v>
      </c>
      <c r="E210" s="59" t="s">
        <v>1796</v>
      </c>
      <c r="F210" s="59" t="s">
        <v>1800</v>
      </c>
      <c r="G210" s="81" t="s">
        <v>692</v>
      </c>
      <c r="H210" s="81" t="s">
        <v>692</v>
      </c>
      <c r="I210" s="81" t="s">
        <v>692</v>
      </c>
      <c r="J210" s="81" t="s">
        <v>692</v>
      </c>
      <c r="K210" s="81" t="s">
        <v>692</v>
      </c>
      <c r="L210" s="53" t="str">
        <f t="shared" si="39"/>
        <v>Composições</v>
      </c>
      <c r="M210" s="53" t="str">
        <f t="shared" si="39"/>
        <v>Camadas.Externas</v>
      </c>
      <c r="N210" s="53" t="str">
        <f t="shared" si="38"/>
        <v>Contínuas</v>
      </c>
      <c r="O210" s="53" t="str">
        <f t="shared" si="38"/>
        <v>Piso Cimentado</v>
      </c>
      <c r="P210" s="54" t="s">
        <v>1801</v>
      </c>
      <c r="Q210" s="57" t="s">
        <v>1802</v>
      </c>
      <c r="R210" s="54" t="s">
        <v>6205</v>
      </c>
      <c r="S210" s="54" t="s">
        <v>692</v>
      </c>
      <c r="T210" s="55" t="str">
        <f t="shared" si="37"/>
        <v>Composições</v>
      </c>
      <c r="U210" s="55" t="str">
        <f t="shared" si="37"/>
        <v>Camadas Externas</v>
      </c>
      <c r="V210" s="55" t="str">
        <f t="shared" si="37"/>
        <v>Contínuas</v>
      </c>
      <c r="W210" s="54" t="s">
        <v>7259</v>
      </c>
      <c r="X210" s="84" t="str">
        <f t="shared" si="40"/>
        <v>Key-COD-CT-210</v>
      </c>
      <c r="Y210" s="84" t="s">
        <v>5988</v>
      </c>
      <c r="Z210" s="84" t="s">
        <v>692</v>
      </c>
      <c r="AA210" s="84" t="s">
        <v>5657</v>
      </c>
      <c r="AB210" s="84" t="s">
        <v>692</v>
      </c>
      <c r="AC210" s="84" t="s">
        <v>692</v>
      </c>
      <c r="AD210" s="54" t="s">
        <v>692</v>
      </c>
    </row>
    <row r="211" spans="1:30" ht="6.75" customHeight="1" x14ac:dyDescent="0.25">
      <c r="A211" s="85">
        <v>211</v>
      </c>
      <c r="B211" s="59" t="s">
        <v>5419</v>
      </c>
      <c r="C211" s="59" t="s">
        <v>1568</v>
      </c>
      <c r="D211" s="59" t="s">
        <v>1692</v>
      </c>
      <c r="E211" s="59" t="s">
        <v>1796</v>
      </c>
      <c r="F211" s="59" t="s">
        <v>1803</v>
      </c>
      <c r="G211" s="81" t="s">
        <v>692</v>
      </c>
      <c r="H211" s="81" t="s">
        <v>692</v>
      </c>
      <c r="I211" s="81" t="s">
        <v>692</v>
      </c>
      <c r="J211" s="81" t="s">
        <v>692</v>
      </c>
      <c r="K211" s="81" t="s">
        <v>692</v>
      </c>
      <c r="L211" s="53" t="str">
        <f t="shared" si="39"/>
        <v>Composições</v>
      </c>
      <c r="M211" s="53" t="str">
        <f t="shared" si="39"/>
        <v>Camadas.Externas</v>
      </c>
      <c r="N211" s="53" t="str">
        <f t="shared" si="38"/>
        <v>Contínuas</v>
      </c>
      <c r="O211" s="53" t="str">
        <f t="shared" si="38"/>
        <v>Piso Gramado</v>
      </c>
      <c r="P211" s="54" t="s">
        <v>1804</v>
      </c>
      <c r="Q211" s="57" t="s">
        <v>1805</v>
      </c>
      <c r="R211" s="54" t="s">
        <v>6206</v>
      </c>
      <c r="S211" s="54" t="s">
        <v>692</v>
      </c>
      <c r="T211" s="55" t="str">
        <f t="shared" si="37"/>
        <v>Composições</v>
      </c>
      <c r="U211" s="55" t="str">
        <f t="shared" si="37"/>
        <v>Camadas Externas</v>
      </c>
      <c r="V211" s="55" t="str">
        <f t="shared" si="37"/>
        <v>Contínuas</v>
      </c>
      <c r="W211" s="54" t="s">
        <v>7259</v>
      </c>
      <c r="X211" s="84" t="str">
        <f t="shared" si="40"/>
        <v>Key-COD-CT-211</v>
      </c>
      <c r="Y211" s="84" t="s">
        <v>5988</v>
      </c>
      <c r="Z211" s="84" t="s">
        <v>692</v>
      </c>
      <c r="AA211" s="84" t="s">
        <v>5657</v>
      </c>
      <c r="AB211" s="84" t="s">
        <v>692</v>
      </c>
      <c r="AC211" s="84" t="s">
        <v>692</v>
      </c>
      <c r="AD211" s="54" t="s">
        <v>692</v>
      </c>
    </row>
    <row r="212" spans="1:30" ht="6.75" customHeight="1" x14ac:dyDescent="0.25">
      <c r="A212" s="85">
        <v>212</v>
      </c>
      <c r="B212" s="59" t="s">
        <v>5419</v>
      </c>
      <c r="C212" s="59" t="s">
        <v>1568</v>
      </c>
      <c r="D212" s="59" t="s">
        <v>1692</v>
      </c>
      <c r="E212" s="59" t="s">
        <v>1796</v>
      </c>
      <c r="F212" s="61" t="s">
        <v>1806</v>
      </c>
      <c r="G212" s="81" t="s">
        <v>692</v>
      </c>
      <c r="H212" s="81" t="s">
        <v>692</v>
      </c>
      <c r="I212" s="81" t="s">
        <v>692</v>
      </c>
      <c r="J212" s="81" t="s">
        <v>692</v>
      </c>
      <c r="K212" s="81" t="s">
        <v>692</v>
      </c>
      <c r="L212" s="53" t="str">
        <f t="shared" si="39"/>
        <v>Composições</v>
      </c>
      <c r="M212" s="53" t="str">
        <f t="shared" si="39"/>
        <v>Camadas.Externas</v>
      </c>
      <c r="N212" s="53" t="str">
        <f t="shared" si="38"/>
        <v>Contínuas</v>
      </c>
      <c r="O212" s="53" t="str">
        <f t="shared" si="38"/>
        <v>Pintura Primer</v>
      </c>
      <c r="P212" s="56" t="s">
        <v>1807</v>
      </c>
      <c r="Q212" s="57" t="s">
        <v>1808</v>
      </c>
      <c r="R212" s="54" t="s">
        <v>6207</v>
      </c>
      <c r="S212" s="54" t="s">
        <v>692</v>
      </c>
      <c r="T212" s="55" t="str">
        <f t="shared" si="37"/>
        <v>Composições</v>
      </c>
      <c r="U212" s="55" t="str">
        <f t="shared" si="37"/>
        <v>Camadas Externas</v>
      </c>
      <c r="V212" s="55" t="str">
        <f t="shared" si="37"/>
        <v>Contínuas</v>
      </c>
      <c r="W212" s="54" t="s">
        <v>7259</v>
      </c>
      <c r="X212" s="84" t="str">
        <f t="shared" si="40"/>
        <v>Key-COD-CT-212</v>
      </c>
      <c r="Y212" s="84" t="s">
        <v>5989</v>
      </c>
      <c r="Z212" s="84" t="s">
        <v>692</v>
      </c>
      <c r="AA212" s="84" t="s">
        <v>5660</v>
      </c>
      <c r="AB212" s="84" t="s">
        <v>692</v>
      </c>
      <c r="AC212" s="84" t="s">
        <v>692</v>
      </c>
      <c r="AD212" s="54" t="s">
        <v>692</v>
      </c>
    </row>
    <row r="213" spans="1:30" ht="6.75" customHeight="1" x14ac:dyDescent="0.25">
      <c r="A213" s="85">
        <v>213</v>
      </c>
      <c r="B213" s="59" t="s">
        <v>5419</v>
      </c>
      <c r="C213" s="59" t="s">
        <v>1568</v>
      </c>
      <c r="D213" s="59" t="s">
        <v>1692</v>
      </c>
      <c r="E213" s="59" t="s">
        <v>1796</v>
      </c>
      <c r="F213" s="61" t="s">
        <v>1809</v>
      </c>
      <c r="G213" s="81" t="s">
        <v>692</v>
      </c>
      <c r="H213" s="81" t="s">
        <v>692</v>
      </c>
      <c r="I213" s="81" t="s">
        <v>692</v>
      </c>
      <c r="J213" s="81" t="s">
        <v>692</v>
      </c>
      <c r="K213" s="81" t="s">
        <v>692</v>
      </c>
      <c r="L213" s="53" t="str">
        <f t="shared" si="39"/>
        <v>Composições</v>
      </c>
      <c r="M213" s="53" t="str">
        <f t="shared" si="39"/>
        <v>Camadas.Externas</v>
      </c>
      <c r="N213" s="53" t="str">
        <f t="shared" si="38"/>
        <v>Contínuas</v>
      </c>
      <c r="O213" s="53" t="str">
        <f t="shared" si="38"/>
        <v>Pintura Proteção</v>
      </c>
      <c r="P213" s="56" t="s">
        <v>1810</v>
      </c>
      <c r="Q213" s="57" t="s">
        <v>1811</v>
      </c>
      <c r="R213" s="54" t="s">
        <v>6208</v>
      </c>
      <c r="S213" s="54" t="s">
        <v>692</v>
      </c>
      <c r="T213" s="55" t="str">
        <f t="shared" si="37"/>
        <v>Composições</v>
      </c>
      <c r="U213" s="55" t="str">
        <f t="shared" si="37"/>
        <v>Camadas Externas</v>
      </c>
      <c r="V213" s="55" t="str">
        <f t="shared" si="37"/>
        <v>Contínuas</v>
      </c>
      <c r="W213" s="54" t="s">
        <v>7259</v>
      </c>
      <c r="X213" s="84" t="str">
        <f t="shared" si="40"/>
        <v>Key-COD-CT-213</v>
      </c>
      <c r="Y213" s="84" t="s">
        <v>5989</v>
      </c>
      <c r="Z213" s="84" t="s">
        <v>692</v>
      </c>
      <c r="AA213" s="84" t="s">
        <v>5660</v>
      </c>
      <c r="AB213" s="84" t="s">
        <v>692</v>
      </c>
      <c r="AC213" s="84" t="s">
        <v>692</v>
      </c>
      <c r="AD213" s="54" t="s">
        <v>692</v>
      </c>
    </row>
    <row r="214" spans="1:30" ht="6.75" customHeight="1" x14ac:dyDescent="0.25">
      <c r="A214" s="85">
        <v>214</v>
      </c>
      <c r="B214" s="59" t="s">
        <v>5419</v>
      </c>
      <c r="C214" s="59" t="s">
        <v>1568</v>
      </c>
      <c r="D214" s="59" t="s">
        <v>1692</v>
      </c>
      <c r="E214" s="59" t="s">
        <v>1796</v>
      </c>
      <c r="F214" s="61" t="s">
        <v>1812</v>
      </c>
      <c r="G214" s="81" t="s">
        <v>692</v>
      </c>
      <c r="H214" s="81" t="s">
        <v>692</v>
      </c>
      <c r="I214" s="81" t="s">
        <v>692</v>
      </c>
      <c r="J214" s="81" t="s">
        <v>692</v>
      </c>
      <c r="K214" s="81" t="s">
        <v>692</v>
      </c>
      <c r="L214" s="53" t="str">
        <f t="shared" si="39"/>
        <v>Composições</v>
      </c>
      <c r="M214" s="53" t="str">
        <f t="shared" si="39"/>
        <v>Camadas.Externas</v>
      </c>
      <c r="N214" s="53" t="str">
        <f t="shared" si="38"/>
        <v>Contínuas</v>
      </c>
      <c r="O214" s="53" t="str">
        <f t="shared" si="38"/>
        <v>Pintura Demão 1</v>
      </c>
      <c r="P214" s="56" t="s">
        <v>1813</v>
      </c>
      <c r="Q214" s="57" t="s">
        <v>1814</v>
      </c>
      <c r="R214" s="54" t="s">
        <v>6209</v>
      </c>
      <c r="S214" s="54" t="s">
        <v>692</v>
      </c>
      <c r="T214" s="55" t="str">
        <f t="shared" si="37"/>
        <v>Composições</v>
      </c>
      <c r="U214" s="55" t="str">
        <f t="shared" si="37"/>
        <v>Camadas Externas</v>
      </c>
      <c r="V214" s="55" t="str">
        <f t="shared" si="37"/>
        <v>Contínuas</v>
      </c>
      <c r="W214" s="54" t="s">
        <v>7259</v>
      </c>
      <c r="X214" s="84" t="str">
        <f t="shared" si="40"/>
        <v>Key-COD-CT-214</v>
      </c>
      <c r="Y214" s="84" t="s">
        <v>5989</v>
      </c>
      <c r="Z214" s="84" t="s">
        <v>692</v>
      </c>
      <c r="AA214" s="84" t="s">
        <v>5660</v>
      </c>
      <c r="AB214" s="84" t="s">
        <v>692</v>
      </c>
      <c r="AC214" s="84" t="s">
        <v>692</v>
      </c>
      <c r="AD214" s="54" t="s">
        <v>692</v>
      </c>
    </row>
    <row r="215" spans="1:30" ht="6.75" customHeight="1" x14ac:dyDescent="0.25">
      <c r="A215" s="85">
        <v>215</v>
      </c>
      <c r="B215" s="59" t="s">
        <v>5419</v>
      </c>
      <c r="C215" s="59" t="s">
        <v>1568</v>
      </c>
      <c r="D215" s="59" t="s">
        <v>1692</v>
      </c>
      <c r="E215" s="59" t="s">
        <v>1796</v>
      </c>
      <c r="F215" s="61" t="s">
        <v>1815</v>
      </c>
      <c r="G215" s="81" t="s">
        <v>692</v>
      </c>
      <c r="H215" s="81" t="s">
        <v>692</v>
      </c>
      <c r="I215" s="81" t="s">
        <v>692</v>
      </c>
      <c r="J215" s="81" t="s">
        <v>692</v>
      </c>
      <c r="K215" s="81" t="s">
        <v>692</v>
      </c>
      <c r="L215" s="53" t="str">
        <f t="shared" si="39"/>
        <v>Composições</v>
      </c>
      <c r="M215" s="53" t="str">
        <f t="shared" si="39"/>
        <v>Camadas.Externas</v>
      </c>
      <c r="N215" s="53" t="str">
        <f t="shared" si="38"/>
        <v>Contínuas</v>
      </c>
      <c r="O215" s="53" t="str">
        <f t="shared" si="38"/>
        <v>Pintura Demão 2</v>
      </c>
      <c r="P215" s="56" t="s">
        <v>1816</v>
      </c>
      <c r="Q215" s="57" t="s">
        <v>1817</v>
      </c>
      <c r="R215" s="54" t="s">
        <v>6210</v>
      </c>
      <c r="S215" s="54" t="s">
        <v>692</v>
      </c>
      <c r="T215" s="55" t="str">
        <f t="shared" si="37"/>
        <v>Composições</v>
      </c>
      <c r="U215" s="55" t="str">
        <f t="shared" si="37"/>
        <v>Camadas Externas</v>
      </c>
      <c r="V215" s="55" t="str">
        <f t="shared" si="37"/>
        <v>Contínuas</v>
      </c>
      <c r="W215" s="54" t="s">
        <v>7259</v>
      </c>
      <c r="X215" s="84" t="str">
        <f t="shared" si="40"/>
        <v>Key-COD-CT-215</v>
      </c>
      <c r="Y215" s="84" t="s">
        <v>5989</v>
      </c>
      <c r="Z215" s="84" t="s">
        <v>692</v>
      </c>
      <c r="AA215" s="84" t="s">
        <v>5660</v>
      </c>
      <c r="AB215" s="84" t="s">
        <v>692</v>
      </c>
      <c r="AC215" s="84" t="s">
        <v>692</v>
      </c>
      <c r="AD215" s="54" t="s">
        <v>692</v>
      </c>
    </row>
    <row r="216" spans="1:30" ht="6.75" customHeight="1" x14ac:dyDescent="0.25">
      <c r="A216" s="85">
        <v>216</v>
      </c>
      <c r="B216" s="59" t="s">
        <v>5419</v>
      </c>
      <c r="C216" s="59" t="s">
        <v>1568</v>
      </c>
      <c r="D216" s="59" t="s">
        <v>1692</v>
      </c>
      <c r="E216" s="59" t="s">
        <v>1796</v>
      </c>
      <c r="F216" s="61" t="s">
        <v>1818</v>
      </c>
      <c r="G216" s="81" t="s">
        <v>692</v>
      </c>
      <c r="H216" s="81" t="s">
        <v>692</v>
      </c>
      <c r="I216" s="81" t="s">
        <v>692</v>
      </c>
      <c r="J216" s="81" t="s">
        <v>692</v>
      </c>
      <c r="K216" s="81" t="s">
        <v>692</v>
      </c>
      <c r="L216" s="53" t="str">
        <f t="shared" si="39"/>
        <v>Composições</v>
      </c>
      <c r="M216" s="53" t="str">
        <f t="shared" si="39"/>
        <v>Camadas.Externas</v>
      </c>
      <c r="N216" s="53" t="str">
        <f t="shared" si="38"/>
        <v>Contínuas</v>
      </c>
      <c r="O216" s="53" t="str">
        <f t="shared" si="38"/>
        <v>Pintura Demão Final</v>
      </c>
      <c r="P216" s="56" t="s">
        <v>1819</v>
      </c>
      <c r="Q216" s="57" t="s">
        <v>1820</v>
      </c>
      <c r="R216" s="54" t="s">
        <v>6211</v>
      </c>
      <c r="S216" s="54" t="s">
        <v>692</v>
      </c>
      <c r="T216" s="55" t="str">
        <f t="shared" si="37"/>
        <v>Composições</v>
      </c>
      <c r="U216" s="55" t="str">
        <f t="shared" si="37"/>
        <v>Camadas Externas</v>
      </c>
      <c r="V216" s="55" t="str">
        <f t="shared" si="37"/>
        <v>Contínuas</v>
      </c>
      <c r="W216" s="54" t="s">
        <v>7259</v>
      </c>
      <c r="X216" s="84" t="str">
        <f t="shared" si="40"/>
        <v>Key-COD-CT-216</v>
      </c>
      <c r="Y216" s="84" t="s">
        <v>5989</v>
      </c>
      <c r="Z216" s="84" t="s">
        <v>692</v>
      </c>
      <c r="AA216" s="84" t="s">
        <v>5660</v>
      </c>
      <c r="AB216" s="84" t="s">
        <v>692</v>
      </c>
      <c r="AC216" s="84" t="s">
        <v>692</v>
      </c>
      <c r="AD216" s="54" t="s">
        <v>692</v>
      </c>
    </row>
    <row r="217" spans="1:30" ht="6.75" customHeight="1" x14ac:dyDescent="0.25">
      <c r="A217" s="85">
        <v>217</v>
      </c>
      <c r="B217" s="59" t="s">
        <v>5419</v>
      </c>
      <c r="C217" s="59" t="s">
        <v>1568</v>
      </c>
      <c r="D217" s="59" t="s">
        <v>1692</v>
      </c>
      <c r="E217" s="59" t="s">
        <v>1821</v>
      </c>
      <c r="F217" s="61" t="s">
        <v>1822</v>
      </c>
      <c r="G217" s="81" t="s">
        <v>692</v>
      </c>
      <c r="H217" s="81" t="s">
        <v>692</v>
      </c>
      <c r="I217" s="81" t="s">
        <v>692</v>
      </c>
      <c r="J217" s="81" t="s">
        <v>692</v>
      </c>
      <c r="K217" s="81" t="s">
        <v>692</v>
      </c>
      <c r="L217" s="53" t="str">
        <f t="shared" si="39"/>
        <v>Composições</v>
      </c>
      <c r="M217" s="53" t="str">
        <f t="shared" si="39"/>
        <v>Camadas.Externas</v>
      </c>
      <c r="N217" s="53" t="str">
        <f t="shared" si="38"/>
        <v>Lisas</v>
      </c>
      <c r="O217" s="53" t="str">
        <f t="shared" si="38"/>
        <v>Gesso</v>
      </c>
      <c r="P217" s="56" t="s">
        <v>1823</v>
      </c>
      <c r="Q217" s="57" t="s">
        <v>1824</v>
      </c>
      <c r="R217" s="54" t="s">
        <v>6212</v>
      </c>
      <c r="S217" s="54" t="s">
        <v>692</v>
      </c>
      <c r="T217" s="55" t="str">
        <f t="shared" si="37"/>
        <v>Composições</v>
      </c>
      <c r="U217" s="55" t="str">
        <f t="shared" si="37"/>
        <v>Camadas Externas</v>
      </c>
      <c r="V217" s="55" t="str">
        <f t="shared" si="37"/>
        <v>Lisas</v>
      </c>
      <c r="W217" s="54" t="s">
        <v>7259</v>
      </c>
      <c r="X217" s="84" t="str">
        <f t="shared" si="40"/>
        <v>Key-COD-CT-217</v>
      </c>
      <c r="Y217" s="84" t="s">
        <v>5990</v>
      </c>
      <c r="Z217" s="84" t="s">
        <v>692</v>
      </c>
      <c r="AA217" s="84" t="s">
        <v>5661</v>
      </c>
      <c r="AB217" s="84" t="s">
        <v>692</v>
      </c>
      <c r="AC217" s="84" t="s">
        <v>692</v>
      </c>
      <c r="AD217" s="54" t="s">
        <v>692</v>
      </c>
    </row>
    <row r="218" spans="1:30" ht="6.75" customHeight="1" x14ac:dyDescent="0.25">
      <c r="A218" s="85">
        <v>218</v>
      </c>
      <c r="B218" s="59" t="s">
        <v>5419</v>
      </c>
      <c r="C218" s="59" t="s">
        <v>1568</v>
      </c>
      <c r="D218" s="59" t="s">
        <v>1692</v>
      </c>
      <c r="E218" s="59" t="s">
        <v>1821</v>
      </c>
      <c r="F218" s="61" t="s">
        <v>1825</v>
      </c>
      <c r="G218" s="81" t="s">
        <v>692</v>
      </c>
      <c r="H218" s="81" t="s">
        <v>692</v>
      </c>
      <c r="I218" s="81" t="s">
        <v>692</v>
      </c>
      <c r="J218" s="81" t="s">
        <v>692</v>
      </c>
      <c r="K218" s="81" t="s">
        <v>692</v>
      </c>
      <c r="L218" s="53" t="str">
        <f t="shared" si="39"/>
        <v>Composições</v>
      </c>
      <c r="M218" s="53" t="str">
        <f t="shared" si="39"/>
        <v>Camadas.Externas</v>
      </c>
      <c r="N218" s="53" t="str">
        <f t="shared" si="38"/>
        <v>Lisas</v>
      </c>
      <c r="O218" s="53" t="str">
        <f t="shared" si="38"/>
        <v>Gesso Emplacado</v>
      </c>
      <c r="P218" s="56" t="s">
        <v>1826</v>
      </c>
      <c r="Q218" s="57" t="s">
        <v>1827</v>
      </c>
      <c r="R218" s="54" t="s">
        <v>6213</v>
      </c>
      <c r="S218" s="54" t="s">
        <v>692</v>
      </c>
      <c r="T218" s="55" t="str">
        <f t="shared" si="37"/>
        <v>Composições</v>
      </c>
      <c r="U218" s="55" t="str">
        <f t="shared" si="37"/>
        <v>Camadas Externas</v>
      </c>
      <c r="V218" s="55" t="str">
        <f t="shared" si="37"/>
        <v>Lisas</v>
      </c>
      <c r="W218" s="54" t="s">
        <v>7259</v>
      </c>
      <c r="X218" s="84" t="str">
        <f t="shared" si="40"/>
        <v>Key-COD-CT-218</v>
      </c>
      <c r="Y218" s="84" t="s">
        <v>5990</v>
      </c>
      <c r="Z218" s="84" t="s">
        <v>692</v>
      </c>
      <c r="AA218" s="84" t="s">
        <v>5661</v>
      </c>
      <c r="AB218" s="84" t="s">
        <v>692</v>
      </c>
      <c r="AC218" s="84" t="s">
        <v>692</v>
      </c>
      <c r="AD218" s="54" t="s">
        <v>692</v>
      </c>
    </row>
    <row r="219" spans="1:30" ht="6.75" customHeight="1" x14ac:dyDescent="0.25">
      <c r="A219" s="85">
        <v>219</v>
      </c>
      <c r="B219" s="59" t="s">
        <v>5419</v>
      </c>
      <c r="C219" s="59" t="s">
        <v>1568</v>
      </c>
      <c r="D219" s="59" t="s">
        <v>1692</v>
      </c>
      <c r="E219" s="59" t="s">
        <v>1828</v>
      </c>
      <c r="F219" s="61" t="s">
        <v>1829</v>
      </c>
      <c r="G219" s="81" t="s">
        <v>692</v>
      </c>
      <c r="H219" s="81" t="s">
        <v>692</v>
      </c>
      <c r="I219" s="81" t="s">
        <v>692</v>
      </c>
      <c r="J219" s="81" t="s">
        <v>692</v>
      </c>
      <c r="K219" s="81" t="s">
        <v>692</v>
      </c>
      <c r="L219" s="53" t="str">
        <f t="shared" si="39"/>
        <v>Composições</v>
      </c>
      <c r="M219" s="53" t="str">
        <f t="shared" si="39"/>
        <v>Camadas.Externas</v>
      </c>
      <c r="N219" s="53" t="str">
        <f t="shared" si="38"/>
        <v>Moduladas</v>
      </c>
      <c r="O219" s="53" t="str">
        <f t="shared" si="38"/>
        <v>Placa EPS</v>
      </c>
      <c r="P219" s="56" t="s">
        <v>1830</v>
      </c>
      <c r="Q219" s="57" t="s">
        <v>1831</v>
      </c>
      <c r="R219" s="54" t="s">
        <v>6214</v>
      </c>
      <c r="S219" s="54" t="s">
        <v>692</v>
      </c>
      <c r="T219" s="55" t="str">
        <f t="shared" si="37"/>
        <v>Composições</v>
      </c>
      <c r="U219" s="55" t="str">
        <f t="shared" si="37"/>
        <v>Camadas Externas</v>
      </c>
      <c r="V219" s="55" t="str">
        <f t="shared" si="37"/>
        <v>Moduladas</v>
      </c>
      <c r="W219" s="54" t="s">
        <v>7259</v>
      </c>
      <c r="X219" s="84" t="str">
        <f t="shared" si="40"/>
        <v>Key-COD-CT-219</v>
      </c>
      <c r="Y219" s="84" t="s">
        <v>5990</v>
      </c>
      <c r="Z219" s="84" t="s">
        <v>692</v>
      </c>
      <c r="AA219" s="84" t="s">
        <v>5661</v>
      </c>
      <c r="AB219" s="84" t="s">
        <v>692</v>
      </c>
      <c r="AC219" s="84" t="s">
        <v>692</v>
      </c>
      <c r="AD219" s="54" t="s">
        <v>692</v>
      </c>
    </row>
    <row r="220" spans="1:30" ht="6.75" customHeight="1" x14ac:dyDescent="0.25">
      <c r="A220" s="85">
        <v>220</v>
      </c>
      <c r="B220" s="59" t="s">
        <v>5419</v>
      </c>
      <c r="C220" s="59" t="s">
        <v>1568</v>
      </c>
      <c r="D220" s="59" t="s">
        <v>1692</v>
      </c>
      <c r="E220" s="59" t="s">
        <v>1828</v>
      </c>
      <c r="F220" s="61" t="s">
        <v>1832</v>
      </c>
      <c r="G220" s="81" t="s">
        <v>692</v>
      </c>
      <c r="H220" s="81" t="s">
        <v>692</v>
      </c>
      <c r="I220" s="81" t="s">
        <v>692</v>
      </c>
      <c r="J220" s="81" t="s">
        <v>692</v>
      </c>
      <c r="K220" s="81" t="s">
        <v>692</v>
      </c>
      <c r="L220" s="53" t="str">
        <f t="shared" si="39"/>
        <v>Composições</v>
      </c>
      <c r="M220" s="53" t="str">
        <f t="shared" si="39"/>
        <v>Camadas.Externas</v>
      </c>
      <c r="N220" s="53" t="str">
        <f t="shared" si="38"/>
        <v>Moduladas</v>
      </c>
      <c r="O220" s="53" t="str">
        <f t="shared" si="38"/>
        <v>Placa Mineral</v>
      </c>
      <c r="P220" s="56" t="s">
        <v>1833</v>
      </c>
      <c r="Q220" s="57" t="s">
        <v>1834</v>
      </c>
      <c r="R220" s="54" t="s">
        <v>6215</v>
      </c>
      <c r="S220" s="54" t="s">
        <v>692</v>
      </c>
      <c r="T220" s="55" t="str">
        <f t="shared" si="37"/>
        <v>Composições</v>
      </c>
      <c r="U220" s="55" t="str">
        <f t="shared" si="37"/>
        <v>Camadas Externas</v>
      </c>
      <c r="V220" s="55" t="str">
        <f t="shared" si="37"/>
        <v>Moduladas</v>
      </c>
      <c r="W220" s="54" t="s">
        <v>7259</v>
      </c>
      <c r="X220" s="84" t="str">
        <f t="shared" si="40"/>
        <v>Key-COD-CT-220</v>
      </c>
      <c r="Y220" s="84" t="s">
        <v>5990</v>
      </c>
      <c r="Z220" s="84" t="s">
        <v>692</v>
      </c>
      <c r="AA220" s="84" t="s">
        <v>5661</v>
      </c>
      <c r="AB220" s="84" t="s">
        <v>692</v>
      </c>
      <c r="AC220" s="84" t="s">
        <v>692</v>
      </c>
      <c r="AD220" s="54" t="s">
        <v>692</v>
      </c>
    </row>
    <row r="221" spans="1:30" ht="6.75" customHeight="1" x14ac:dyDescent="0.25">
      <c r="A221" s="85">
        <v>221</v>
      </c>
      <c r="B221" s="59" t="s">
        <v>5419</v>
      </c>
      <c r="C221" s="59" t="s">
        <v>1568</v>
      </c>
      <c r="D221" s="59" t="s">
        <v>1835</v>
      </c>
      <c r="E221" s="59" t="s">
        <v>1836</v>
      </c>
      <c r="F221" s="61" t="s">
        <v>1837</v>
      </c>
      <c r="G221" s="81" t="s">
        <v>692</v>
      </c>
      <c r="H221" s="81" t="s">
        <v>692</v>
      </c>
      <c r="I221" s="81" t="s">
        <v>692</v>
      </c>
      <c r="J221" s="81" t="s">
        <v>692</v>
      </c>
      <c r="K221" s="81" t="s">
        <v>692</v>
      </c>
      <c r="L221" s="53" t="str">
        <f t="shared" si="39"/>
        <v>Composições</v>
      </c>
      <c r="M221" s="53" t="str">
        <f t="shared" si="39"/>
        <v>Camadas.Acústicas</v>
      </c>
      <c r="N221" s="53" t="str">
        <f t="shared" si="38"/>
        <v>Acústicas</v>
      </c>
      <c r="O221" s="53" t="str">
        <f t="shared" si="38"/>
        <v>Placa Espuma</v>
      </c>
      <c r="P221" s="56" t="s">
        <v>1838</v>
      </c>
      <c r="Q221" s="57" t="s">
        <v>1839</v>
      </c>
      <c r="R221" s="54" t="s">
        <v>6216</v>
      </c>
      <c r="S221" s="54" t="s">
        <v>692</v>
      </c>
      <c r="T221" s="55" t="str">
        <f t="shared" si="37"/>
        <v>Composições</v>
      </c>
      <c r="U221" s="55" t="str">
        <f t="shared" si="37"/>
        <v>Camadas Acústicas</v>
      </c>
      <c r="V221" s="55" t="str">
        <f t="shared" si="37"/>
        <v>Acústicas</v>
      </c>
      <c r="W221" s="54" t="s">
        <v>7259</v>
      </c>
      <c r="X221" s="84" t="str">
        <f t="shared" si="40"/>
        <v>Key-COD-CT-221</v>
      </c>
      <c r="Y221" s="84" t="s">
        <v>5990</v>
      </c>
      <c r="Z221" s="84" t="s">
        <v>692</v>
      </c>
      <c r="AA221" s="84" t="s">
        <v>5661</v>
      </c>
      <c r="AB221" s="84" t="s">
        <v>692</v>
      </c>
      <c r="AC221" s="84" t="s">
        <v>692</v>
      </c>
      <c r="AD221" s="54" t="s">
        <v>692</v>
      </c>
    </row>
    <row r="222" spans="1:30" ht="6.75" customHeight="1" x14ac:dyDescent="0.25">
      <c r="A222" s="85">
        <v>222</v>
      </c>
      <c r="B222" s="59" t="s">
        <v>5419</v>
      </c>
      <c r="C222" s="59" t="s">
        <v>1568</v>
      </c>
      <c r="D222" s="59" t="s">
        <v>1835</v>
      </c>
      <c r="E222" s="59" t="s">
        <v>1836</v>
      </c>
      <c r="F222" s="61" t="s">
        <v>1840</v>
      </c>
      <c r="G222" s="81" t="s">
        <v>692</v>
      </c>
      <c r="H222" s="81" t="s">
        <v>692</v>
      </c>
      <c r="I222" s="81" t="s">
        <v>692</v>
      </c>
      <c r="J222" s="81" t="s">
        <v>692</v>
      </c>
      <c r="K222" s="81" t="s">
        <v>692</v>
      </c>
      <c r="L222" s="53" t="str">
        <f t="shared" si="39"/>
        <v>Composições</v>
      </c>
      <c r="M222" s="53" t="str">
        <f t="shared" si="39"/>
        <v>Camadas.Acústicas</v>
      </c>
      <c r="N222" s="53" t="str">
        <f t="shared" si="38"/>
        <v>Acústicas</v>
      </c>
      <c r="O222" s="53" t="str">
        <f t="shared" si="38"/>
        <v>Placa 3D</v>
      </c>
      <c r="P222" s="56" t="s">
        <v>1841</v>
      </c>
      <c r="Q222" s="57" t="s">
        <v>1842</v>
      </c>
      <c r="R222" s="54" t="s">
        <v>6217</v>
      </c>
      <c r="S222" s="54" t="s">
        <v>692</v>
      </c>
      <c r="T222" s="55" t="str">
        <f t="shared" si="37"/>
        <v>Composições</v>
      </c>
      <c r="U222" s="55" t="str">
        <f t="shared" si="37"/>
        <v>Camadas Acústicas</v>
      </c>
      <c r="V222" s="55" t="str">
        <f t="shared" si="37"/>
        <v>Acústicas</v>
      </c>
      <c r="W222" s="54" t="s">
        <v>7259</v>
      </c>
      <c r="X222" s="84" t="str">
        <f t="shared" si="40"/>
        <v>Key-COD-CT-222</v>
      </c>
      <c r="Y222" s="84" t="s">
        <v>5990</v>
      </c>
      <c r="Z222" s="84" t="s">
        <v>692</v>
      </c>
      <c r="AA222" s="84" t="s">
        <v>5661</v>
      </c>
      <c r="AB222" s="84" t="s">
        <v>692</v>
      </c>
      <c r="AC222" s="84" t="s">
        <v>692</v>
      </c>
      <c r="AD222" s="54" t="s">
        <v>692</v>
      </c>
    </row>
    <row r="223" spans="1:30" ht="6.75" customHeight="1" x14ac:dyDescent="0.25">
      <c r="A223" s="85">
        <v>223</v>
      </c>
      <c r="B223" s="59" t="s">
        <v>5419</v>
      </c>
      <c r="C223" s="59" t="s">
        <v>1568</v>
      </c>
      <c r="D223" s="59" t="s">
        <v>1835</v>
      </c>
      <c r="E223" s="59" t="s">
        <v>1836</v>
      </c>
      <c r="F223" s="61" t="s">
        <v>1843</v>
      </c>
      <c r="G223" s="81" t="s">
        <v>692</v>
      </c>
      <c r="H223" s="81" t="s">
        <v>692</v>
      </c>
      <c r="I223" s="81" t="s">
        <v>692</v>
      </c>
      <c r="J223" s="81" t="s">
        <v>692</v>
      </c>
      <c r="K223" s="81" t="s">
        <v>692</v>
      </c>
      <c r="L223" s="53" t="str">
        <f t="shared" si="39"/>
        <v>Composições</v>
      </c>
      <c r="M223" s="53" t="str">
        <f t="shared" si="39"/>
        <v>Camadas.Acústicas</v>
      </c>
      <c r="N223" s="53" t="str">
        <f t="shared" si="38"/>
        <v>Acústicas</v>
      </c>
      <c r="O223" s="53" t="str">
        <f t="shared" si="38"/>
        <v>Placa Shell</v>
      </c>
      <c r="P223" s="56" t="s">
        <v>1844</v>
      </c>
      <c r="Q223" s="57" t="s">
        <v>1845</v>
      </c>
      <c r="R223" s="54" t="s">
        <v>6218</v>
      </c>
      <c r="S223" s="54" t="s">
        <v>692</v>
      </c>
      <c r="T223" s="55" t="str">
        <f t="shared" si="37"/>
        <v>Composições</v>
      </c>
      <c r="U223" s="55" t="str">
        <f t="shared" si="37"/>
        <v>Camadas Acústicas</v>
      </c>
      <c r="V223" s="55" t="str">
        <f t="shared" si="37"/>
        <v>Acústicas</v>
      </c>
      <c r="W223" s="54" t="s">
        <v>7259</v>
      </c>
      <c r="X223" s="84" t="str">
        <f t="shared" si="40"/>
        <v>Key-COD-CT-223</v>
      </c>
      <c r="Y223" s="84" t="s">
        <v>5990</v>
      </c>
      <c r="Z223" s="84" t="s">
        <v>692</v>
      </c>
      <c r="AA223" s="84" t="s">
        <v>5661</v>
      </c>
      <c r="AB223" s="84" t="s">
        <v>692</v>
      </c>
      <c r="AC223" s="84" t="s">
        <v>692</v>
      </c>
      <c r="AD223" s="54" t="s">
        <v>692</v>
      </c>
    </row>
    <row r="224" spans="1:30" ht="6.75" customHeight="1" x14ac:dyDescent="0.25">
      <c r="A224" s="85">
        <v>224</v>
      </c>
      <c r="B224" s="59" t="s">
        <v>5419</v>
      </c>
      <c r="C224" s="59" t="s">
        <v>1568</v>
      </c>
      <c r="D224" s="59" t="s">
        <v>1835</v>
      </c>
      <c r="E224" s="59" t="s">
        <v>1836</v>
      </c>
      <c r="F224" s="61" t="s">
        <v>1846</v>
      </c>
      <c r="G224" s="81" t="s">
        <v>692</v>
      </c>
      <c r="H224" s="81" t="s">
        <v>692</v>
      </c>
      <c r="I224" s="81" t="s">
        <v>692</v>
      </c>
      <c r="J224" s="81" t="s">
        <v>692</v>
      </c>
      <c r="K224" s="81" t="s">
        <v>692</v>
      </c>
      <c r="L224" s="53" t="str">
        <f t="shared" si="39"/>
        <v>Composições</v>
      </c>
      <c r="M224" s="53" t="str">
        <f t="shared" si="39"/>
        <v>Camadas.Acústicas</v>
      </c>
      <c r="N224" s="53" t="str">
        <f t="shared" si="38"/>
        <v>Acústicas</v>
      </c>
      <c r="O224" s="53" t="str">
        <f t="shared" si="38"/>
        <v>Baffle Cilíndrico</v>
      </c>
      <c r="P224" s="56" t="s">
        <v>1847</v>
      </c>
      <c r="Q224" s="57" t="s">
        <v>1848</v>
      </c>
      <c r="R224" s="54" t="s">
        <v>6219</v>
      </c>
      <c r="S224" s="54" t="s">
        <v>692</v>
      </c>
      <c r="T224" s="55" t="str">
        <f t="shared" si="37"/>
        <v>Composições</v>
      </c>
      <c r="U224" s="55" t="str">
        <f t="shared" si="37"/>
        <v>Camadas Acústicas</v>
      </c>
      <c r="V224" s="55" t="str">
        <f t="shared" si="37"/>
        <v>Acústicas</v>
      </c>
      <c r="W224" s="54" t="s">
        <v>7259</v>
      </c>
      <c r="X224" s="84" t="str">
        <f t="shared" si="40"/>
        <v>Key-COD-CT-224</v>
      </c>
      <c r="Y224" s="84" t="s">
        <v>5990</v>
      </c>
      <c r="Z224" s="84" t="s">
        <v>692</v>
      </c>
      <c r="AA224" s="84" t="s">
        <v>5661</v>
      </c>
      <c r="AB224" s="84" t="s">
        <v>692</v>
      </c>
      <c r="AC224" s="84" t="s">
        <v>692</v>
      </c>
      <c r="AD224" s="54" t="s">
        <v>692</v>
      </c>
    </row>
    <row r="225" spans="1:30" ht="6.75" customHeight="1" x14ac:dyDescent="0.25">
      <c r="A225" s="85">
        <v>225</v>
      </c>
      <c r="B225" s="59" t="s">
        <v>5419</v>
      </c>
      <c r="C225" s="59" t="s">
        <v>1568</v>
      </c>
      <c r="D225" s="59" t="s">
        <v>1835</v>
      </c>
      <c r="E225" s="59" t="s">
        <v>1836</v>
      </c>
      <c r="F225" s="61" t="s">
        <v>1849</v>
      </c>
      <c r="G225" s="81" t="s">
        <v>692</v>
      </c>
      <c r="H225" s="81" t="s">
        <v>692</v>
      </c>
      <c r="I225" s="81" t="s">
        <v>692</v>
      </c>
      <c r="J225" s="81" t="s">
        <v>692</v>
      </c>
      <c r="K225" s="81" t="s">
        <v>692</v>
      </c>
      <c r="L225" s="53" t="str">
        <f t="shared" si="39"/>
        <v>Composições</v>
      </c>
      <c r="M225" s="53" t="str">
        <f t="shared" si="39"/>
        <v>Camadas.Acústicas</v>
      </c>
      <c r="N225" s="53" t="str">
        <f t="shared" si="38"/>
        <v>Acústicas</v>
      </c>
      <c r="O225" s="53" t="str">
        <f t="shared" si="38"/>
        <v>Baffle Linear</v>
      </c>
      <c r="P225" s="56" t="s">
        <v>1850</v>
      </c>
      <c r="Q225" s="57" t="s">
        <v>1851</v>
      </c>
      <c r="R225" s="54" t="s">
        <v>6220</v>
      </c>
      <c r="S225" s="54" t="s">
        <v>692</v>
      </c>
      <c r="T225" s="55" t="str">
        <f t="shared" si="37"/>
        <v>Composições</v>
      </c>
      <c r="U225" s="55" t="str">
        <f t="shared" si="37"/>
        <v>Camadas Acústicas</v>
      </c>
      <c r="V225" s="55" t="str">
        <f t="shared" si="37"/>
        <v>Acústicas</v>
      </c>
      <c r="W225" s="54" t="s">
        <v>7259</v>
      </c>
      <c r="X225" s="84" t="str">
        <f t="shared" si="40"/>
        <v>Key-COD-CT-225</v>
      </c>
      <c r="Y225" s="84" t="s">
        <v>5990</v>
      </c>
      <c r="Z225" s="84" t="s">
        <v>692</v>
      </c>
      <c r="AA225" s="84" t="s">
        <v>5661</v>
      </c>
      <c r="AB225" s="84" t="s">
        <v>692</v>
      </c>
      <c r="AC225" s="84" t="s">
        <v>692</v>
      </c>
      <c r="AD225" s="54" t="s">
        <v>692</v>
      </c>
    </row>
    <row r="226" spans="1:30" ht="6.75" customHeight="1" x14ac:dyDescent="0.25">
      <c r="A226" s="85">
        <v>226</v>
      </c>
      <c r="B226" s="59" t="s">
        <v>5419</v>
      </c>
      <c r="C226" s="59" t="s">
        <v>1568</v>
      </c>
      <c r="D226" s="59" t="s">
        <v>1835</v>
      </c>
      <c r="E226" s="59" t="s">
        <v>1836</v>
      </c>
      <c r="F226" s="61" t="s">
        <v>1852</v>
      </c>
      <c r="G226" s="81" t="s">
        <v>692</v>
      </c>
      <c r="H226" s="81" t="s">
        <v>692</v>
      </c>
      <c r="I226" s="81" t="s">
        <v>692</v>
      </c>
      <c r="J226" s="81" t="s">
        <v>692</v>
      </c>
      <c r="K226" s="81" t="s">
        <v>692</v>
      </c>
      <c r="L226" s="53" t="str">
        <f t="shared" si="39"/>
        <v>Composições</v>
      </c>
      <c r="M226" s="53" t="str">
        <f t="shared" si="39"/>
        <v>Camadas.Acústicas</v>
      </c>
      <c r="N226" s="53" t="str">
        <f t="shared" si="38"/>
        <v>Acústicas</v>
      </c>
      <c r="O226" s="53" t="str">
        <f t="shared" si="38"/>
        <v>Nuvem Quadrada</v>
      </c>
      <c r="P226" s="56" t="s">
        <v>1853</v>
      </c>
      <c r="Q226" s="57" t="s">
        <v>1854</v>
      </c>
      <c r="R226" s="54" t="s">
        <v>6221</v>
      </c>
      <c r="S226" s="54" t="s">
        <v>692</v>
      </c>
      <c r="T226" s="55" t="str">
        <f t="shared" ref="T226:V289" si="41">SUBSTITUTE(C226, ".", " ")</f>
        <v>Composições</v>
      </c>
      <c r="U226" s="55" t="str">
        <f t="shared" si="41"/>
        <v>Camadas Acústicas</v>
      </c>
      <c r="V226" s="55" t="str">
        <f t="shared" si="41"/>
        <v>Acústicas</v>
      </c>
      <c r="W226" s="54" t="s">
        <v>7259</v>
      </c>
      <c r="X226" s="84" t="str">
        <f t="shared" si="40"/>
        <v>Key-COD-CT-226</v>
      </c>
      <c r="Y226" s="84" t="s">
        <v>5990</v>
      </c>
      <c r="Z226" s="84" t="s">
        <v>692</v>
      </c>
      <c r="AA226" s="84" t="s">
        <v>5661</v>
      </c>
      <c r="AB226" s="84" t="s">
        <v>692</v>
      </c>
      <c r="AC226" s="84" t="s">
        <v>692</v>
      </c>
      <c r="AD226" s="54" t="s">
        <v>692</v>
      </c>
    </row>
    <row r="227" spans="1:30" ht="6.75" customHeight="1" x14ac:dyDescent="0.25">
      <c r="A227" s="85">
        <v>227</v>
      </c>
      <c r="B227" s="59" t="s">
        <v>5419</v>
      </c>
      <c r="C227" s="59" t="s">
        <v>1568</v>
      </c>
      <c r="D227" s="59" t="s">
        <v>1835</v>
      </c>
      <c r="E227" s="59" t="s">
        <v>1836</v>
      </c>
      <c r="F227" s="61" t="s">
        <v>1855</v>
      </c>
      <c r="G227" s="81" t="s">
        <v>692</v>
      </c>
      <c r="H227" s="81" t="s">
        <v>692</v>
      </c>
      <c r="I227" s="81" t="s">
        <v>692</v>
      </c>
      <c r="J227" s="81" t="s">
        <v>692</v>
      </c>
      <c r="K227" s="81" t="s">
        <v>692</v>
      </c>
      <c r="L227" s="53" t="str">
        <f t="shared" si="39"/>
        <v>Composições</v>
      </c>
      <c r="M227" s="53" t="str">
        <f t="shared" si="39"/>
        <v>Camadas.Acústicas</v>
      </c>
      <c r="N227" s="53" t="str">
        <f t="shared" si="38"/>
        <v>Acústicas</v>
      </c>
      <c r="O227" s="53" t="str">
        <f t="shared" si="38"/>
        <v>Nuvem Circular</v>
      </c>
      <c r="P227" s="56" t="s">
        <v>1856</v>
      </c>
      <c r="Q227" s="57" t="s">
        <v>1857</v>
      </c>
      <c r="R227" s="54" t="s">
        <v>6222</v>
      </c>
      <c r="S227" s="54" t="s">
        <v>692</v>
      </c>
      <c r="T227" s="55" t="str">
        <f t="shared" si="41"/>
        <v>Composições</v>
      </c>
      <c r="U227" s="55" t="str">
        <f t="shared" si="41"/>
        <v>Camadas Acústicas</v>
      </c>
      <c r="V227" s="55" t="str">
        <f t="shared" si="41"/>
        <v>Acústicas</v>
      </c>
      <c r="W227" s="54" t="s">
        <v>7259</v>
      </c>
      <c r="X227" s="84" t="str">
        <f t="shared" si="40"/>
        <v>Key-COD-CT-227</v>
      </c>
      <c r="Y227" s="84" t="s">
        <v>5990</v>
      </c>
      <c r="Z227" s="84" t="s">
        <v>692</v>
      </c>
      <c r="AA227" s="84" t="s">
        <v>5661</v>
      </c>
      <c r="AB227" s="84" t="s">
        <v>692</v>
      </c>
      <c r="AC227" s="84" t="s">
        <v>692</v>
      </c>
      <c r="AD227" s="54" t="s">
        <v>692</v>
      </c>
    </row>
    <row r="228" spans="1:30" ht="6.75" customHeight="1" x14ac:dyDescent="0.25">
      <c r="A228" s="85">
        <v>228</v>
      </c>
      <c r="B228" s="59" t="s">
        <v>5419</v>
      </c>
      <c r="C228" s="59" t="s">
        <v>1568</v>
      </c>
      <c r="D228" s="59" t="s">
        <v>1835</v>
      </c>
      <c r="E228" s="59" t="s">
        <v>1836</v>
      </c>
      <c r="F228" s="61" t="s">
        <v>1858</v>
      </c>
      <c r="G228" s="81" t="s">
        <v>692</v>
      </c>
      <c r="H228" s="81" t="s">
        <v>692</v>
      </c>
      <c r="I228" s="81" t="s">
        <v>692</v>
      </c>
      <c r="J228" s="81" t="s">
        <v>692</v>
      </c>
      <c r="K228" s="81" t="s">
        <v>692</v>
      </c>
      <c r="L228" s="53" t="str">
        <f t="shared" si="39"/>
        <v>Composições</v>
      </c>
      <c r="M228" s="53" t="str">
        <f t="shared" si="39"/>
        <v>Camadas.Acústicas</v>
      </c>
      <c r="N228" s="53" t="str">
        <f t="shared" si="38"/>
        <v>Acústicas</v>
      </c>
      <c r="O228" s="53" t="str">
        <f t="shared" si="38"/>
        <v>Nuvem Geométrica</v>
      </c>
      <c r="P228" s="56" t="s">
        <v>1859</v>
      </c>
      <c r="Q228" s="57" t="s">
        <v>1860</v>
      </c>
      <c r="R228" s="54" t="s">
        <v>6223</v>
      </c>
      <c r="S228" s="54" t="s">
        <v>692</v>
      </c>
      <c r="T228" s="55" t="str">
        <f t="shared" si="41"/>
        <v>Composições</v>
      </c>
      <c r="U228" s="55" t="str">
        <f t="shared" si="41"/>
        <v>Camadas Acústicas</v>
      </c>
      <c r="V228" s="55" t="str">
        <f t="shared" si="41"/>
        <v>Acústicas</v>
      </c>
      <c r="W228" s="54" t="s">
        <v>7259</v>
      </c>
      <c r="X228" s="84" t="str">
        <f t="shared" si="40"/>
        <v>Key-COD-CT-228</v>
      </c>
      <c r="Y228" s="84" t="s">
        <v>5990</v>
      </c>
      <c r="Z228" s="84" t="s">
        <v>692</v>
      </c>
      <c r="AA228" s="84" t="s">
        <v>5661</v>
      </c>
      <c r="AB228" s="84" t="s">
        <v>692</v>
      </c>
      <c r="AC228" s="84" t="s">
        <v>692</v>
      </c>
      <c r="AD228" s="54" t="s">
        <v>692</v>
      </c>
    </row>
    <row r="229" spans="1:30" ht="6.75" customHeight="1" x14ac:dyDescent="0.25">
      <c r="A229" s="85">
        <v>229</v>
      </c>
      <c r="B229" s="59" t="s">
        <v>5419</v>
      </c>
      <c r="C229" s="59" t="s">
        <v>1568</v>
      </c>
      <c r="D229" s="59" t="s">
        <v>1861</v>
      </c>
      <c r="E229" s="59" t="s">
        <v>1862</v>
      </c>
      <c r="F229" s="59" t="s">
        <v>1863</v>
      </c>
      <c r="G229" s="81" t="s">
        <v>692</v>
      </c>
      <c r="H229" s="81" t="s">
        <v>692</v>
      </c>
      <c r="I229" s="81" t="s">
        <v>692</v>
      </c>
      <c r="J229" s="82" t="s">
        <v>1864</v>
      </c>
      <c r="K229" s="81" t="s">
        <v>692</v>
      </c>
      <c r="L229" s="53" t="str">
        <f t="shared" si="39"/>
        <v>Composições</v>
      </c>
      <c r="M229" s="53" t="str">
        <f t="shared" si="39"/>
        <v>Placas.Cegas</v>
      </c>
      <c r="N229" s="53" t="str">
        <f t="shared" si="38"/>
        <v>Placas</v>
      </c>
      <c r="O229" s="53" t="str">
        <f t="shared" si="38"/>
        <v>Placa Eucatex</v>
      </c>
      <c r="P229" s="56" t="s">
        <v>1865</v>
      </c>
      <c r="Q229" s="57" t="s">
        <v>1866</v>
      </c>
      <c r="R229" s="54" t="s">
        <v>6224</v>
      </c>
      <c r="S229" s="54" t="s">
        <v>692</v>
      </c>
      <c r="T229" s="55" t="str">
        <f t="shared" si="41"/>
        <v>Composições</v>
      </c>
      <c r="U229" s="55" t="str">
        <f t="shared" si="41"/>
        <v>Placas Cegas</v>
      </c>
      <c r="V229" s="55" t="str">
        <f t="shared" si="41"/>
        <v>Placas</v>
      </c>
      <c r="W229" s="54" t="s">
        <v>7259</v>
      </c>
      <c r="X229" s="84" t="str">
        <f t="shared" si="40"/>
        <v>Key-COD-CT-229</v>
      </c>
      <c r="Y229" s="84" t="s">
        <v>5991</v>
      </c>
      <c r="Z229" s="84" t="s">
        <v>692</v>
      </c>
      <c r="AA229" s="84" t="s">
        <v>5652</v>
      </c>
      <c r="AB229" s="84" t="s">
        <v>692</v>
      </c>
      <c r="AC229" s="84" t="s">
        <v>692</v>
      </c>
      <c r="AD229" s="54" t="s">
        <v>692</v>
      </c>
    </row>
    <row r="230" spans="1:30" ht="6.75" customHeight="1" x14ac:dyDescent="0.25">
      <c r="A230" s="85">
        <v>230</v>
      </c>
      <c r="B230" s="59" t="s">
        <v>5419</v>
      </c>
      <c r="C230" s="59" t="s">
        <v>1568</v>
      </c>
      <c r="D230" s="59" t="s">
        <v>1861</v>
      </c>
      <c r="E230" s="59" t="s">
        <v>1862</v>
      </c>
      <c r="F230" s="59" t="s">
        <v>1867</v>
      </c>
      <c r="G230" s="81" t="s">
        <v>692</v>
      </c>
      <c r="H230" s="81" t="s">
        <v>692</v>
      </c>
      <c r="I230" s="81" t="s">
        <v>692</v>
      </c>
      <c r="J230" s="81" t="s">
        <v>692</v>
      </c>
      <c r="K230" s="81" t="s">
        <v>692</v>
      </c>
      <c r="L230" s="53" t="str">
        <f t="shared" si="39"/>
        <v>Composições</v>
      </c>
      <c r="M230" s="53" t="str">
        <f t="shared" si="39"/>
        <v>Placas.Cegas</v>
      </c>
      <c r="N230" s="53" t="str">
        <f t="shared" si="38"/>
        <v>Placas</v>
      </c>
      <c r="O230" s="53" t="str">
        <f t="shared" si="38"/>
        <v>Placa Metálica</v>
      </c>
      <c r="P230" s="56" t="s">
        <v>1868</v>
      </c>
      <c r="Q230" s="57" t="s">
        <v>1869</v>
      </c>
      <c r="R230" s="54" t="s">
        <v>6225</v>
      </c>
      <c r="S230" s="54" t="s">
        <v>692</v>
      </c>
      <c r="T230" s="55" t="str">
        <f t="shared" si="41"/>
        <v>Composições</v>
      </c>
      <c r="U230" s="55" t="str">
        <f t="shared" si="41"/>
        <v>Placas Cegas</v>
      </c>
      <c r="V230" s="55" t="str">
        <f t="shared" si="41"/>
        <v>Placas</v>
      </c>
      <c r="W230" s="54" t="s">
        <v>7259</v>
      </c>
      <c r="X230" s="84" t="str">
        <f t="shared" si="40"/>
        <v>Key-COD-CT-230</v>
      </c>
      <c r="Y230" s="84" t="s">
        <v>5991</v>
      </c>
      <c r="Z230" s="84" t="s">
        <v>692</v>
      </c>
      <c r="AA230" s="84" t="s">
        <v>5652</v>
      </c>
      <c r="AB230" s="84" t="s">
        <v>692</v>
      </c>
      <c r="AC230" s="84" t="s">
        <v>692</v>
      </c>
      <c r="AD230" s="54" t="s">
        <v>692</v>
      </c>
    </row>
    <row r="231" spans="1:30" ht="6.75" customHeight="1" x14ac:dyDescent="0.25">
      <c r="A231" s="85">
        <v>231</v>
      </c>
      <c r="B231" s="59" t="s">
        <v>5419</v>
      </c>
      <c r="C231" s="59" t="s">
        <v>1568</v>
      </c>
      <c r="D231" s="59" t="s">
        <v>1861</v>
      </c>
      <c r="E231" s="59" t="s">
        <v>1862</v>
      </c>
      <c r="F231" s="59" t="s">
        <v>1870</v>
      </c>
      <c r="G231" s="81" t="s">
        <v>692</v>
      </c>
      <c r="H231" s="81" t="s">
        <v>692</v>
      </c>
      <c r="I231" s="81" t="s">
        <v>692</v>
      </c>
      <c r="J231" s="81" t="s">
        <v>692</v>
      </c>
      <c r="K231" s="81" t="s">
        <v>692</v>
      </c>
      <c r="L231" s="53" t="str">
        <f t="shared" si="39"/>
        <v>Composições</v>
      </c>
      <c r="M231" s="53" t="str">
        <f t="shared" si="39"/>
        <v>Placas.Cegas</v>
      </c>
      <c r="N231" s="53" t="str">
        <f t="shared" si="38"/>
        <v>Placas</v>
      </c>
      <c r="O231" s="53" t="str">
        <f t="shared" si="38"/>
        <v>Placa Alumínio Composto</v>
      </c>
      <c r="P231" s="56" t="s">
        <v>1868</v>
      </c>
      <c r="Q231" s="57" t="s">
        <v>1869</v>
      </c>
      <c r="R231" s="54" t="s">
        <v>6225</v>
      </c>
      <c r="S231" s="54" t="s">
        <v>692</v>
      </c>
      <c r="T231" s="55" t="str">
        <f t="shared" si="41"/>
        <v>Composições</v>
      </c>
      <c r="U231" s="55" t="str">
        <f t="shared" si="41"/>
        <v>Placas Cegas</v>
      </c>
      <c r="V231" s="55" t="str">
        <f t="shared" si="41"/>
        <v>Placas</v>
      </c>
      <c r="W231" s="54" t="s">
        <v>7259</v>
      </c>
      <c r="X231" s="84" t="str">
        <f t="shared" si="40"/>
        <v>Key-COD-CT-231</v>
      </c>
      <c r="Y231" s="84" t="s">
        <v>5991</v>
      </c>
      <c r="Z231" s="84" t="s">
        <v>692</v>
      </c>
      <c r="AA231" s="84" t="s">
        <v>5652</v>
      </c>
      <c r="AB231" s="84" t="s">
        <v>692</v>
      </c>
      <c r="AC231" s="84" t="s">
        <v>692</v>
      </c>
      <c r="AD231" s="54" t="s">
        <v>692</v>
      </c>
    </row>
    <row r="232" spans="1:30" ht="6.75" customHeight="1" x14ac:dyDescent="0.25">
      <c r="A232" s="85">
        <v>232</v>
      </c>
      <c r="B232" s="59" t="s">
        <v>5419</v>
      </c>
      <c r="C232" s="59" t="s">
        <v>1568</v>
      </c>
      <c r="D232" s="59" t="s">
        <v>1861</v>
      </c>
      <c r="E232" s="59" t="s">
        <v>1862</v>
      </c>
      <c r="F232" s="59" t="s">
        <v>1871</v>
      </c>
      <c r="G232" s="81" t="s">
        <v>692</v>
      </c>
      <c r="H232" s="81" t="s">
        <v>692</v>
      </c>
      <c r="I232" s="81" t="s">
        <v>692</v>
      </c>
      <c r="J232" s="81" t="s">
        <v>692</v>
      </c>
      <c r="K232" s="81" t="s">
        <v>692</v>
      </c>
      <c r="L232" s="53" t="str">
        <f t="shared" si="39"/>
        <v>Composições</v>
      </c>
      <c r="M232" s="53" t="str">
        <f t="shared" si="39"/>
        <v>Placas.Cegas</v>
      </c>
      <c r="N232" s="53" t="str">
        <f t="shared" si="38"/>
        <v>Placas</v>
      </c>
      <c r="O232" s="53" t="str">
        <f t="shared" si="38"/>
        <v>Placa Laminada TS</v>
      </c>
      <c r="P232" s="54" t="s">
        <v>1872</v>
      </c>
      <c r="Q232" s="57" t="s">
        <v>1873</v>
      </c>
      <c r="R232" s="54" t="s">
        <v>6226</v>
      </c>
      <c r="S232" s="54" t="s">
        <v>692</v>
      </c>
      <c r="T232" s="55" t="str">
        <f t="shared" si="41"/>
        <v>Composições</v>
      </c>
      <c r="U232" s="55" t="str">
        <f t="shared" si="41"/>
        <v>Placas Cegas</v>
      </c>
      <c r="V232" s="55" t="str">
        <f t="shared" si="41"/>
        <v>Placas</v>
      </c>
      <c r="W232" s="54" t="s">
        <v>7259</v>
      </c>
      <c r="X232" s="84" t="str">
        <f t="shared" si="40"/>
        <v>Key-COD-CT-232</v>
      </c>
      <c r="Y232" s="84" t="s">
        <v>5991</v>
      </c>
      <c r="Z232" s="84" t="s">
        <v>692</v>
      </c>
      <c r="AA232" s="84" t="s">
        <v>5652</v>
      </c>
      <c r="AB232" s="84" t="s">
        <v>692</v>
      </c>
      <c r="AC232" s="84" t="s">
        <v>692</v>
      </c>
      <c r="AD232" s="54" t="s">
        <v>692</v>
      </c>
    </row>
    <row r="233" spans="1:30" ht="6.75" customHeight="1" x14ac:dyDescent="0.25">
      <c r="A233" s="85">
        <v>233</v>
      </c>
      <c r="B233" s="59" t="s">
        <v>5419</v>
      </c>
      <c r="C233" s="59" t="s">
        <v>1568</v>
      </c>
      <c r="D233" s="59" t="s">
        <v>1861</v>
      </c>
      <c r="E233" s="59" t="s">
        <v>1862</v>
      </c>
      <c r="F233" s="59" t="s">
        <v>1874</v>
      </c>
      <c r="G233" s="81" t="s">
        <v>692</v>
      </c>
      <c r="H233" s="81" t="s">
        <v>692</v>
      </c>
      <c r="I233" s="81" t="s">
        <v>692</v>
      </c>
      <c r="J233" s="81" t="s">
        <v>692</v>
      </c>
      <c r="K233" s="81" t="s">
        <v>692</v>
      </c>
      <c r="L233" s="53" t="str">
        <f t="shared" si="39"/>
        <v>Composições</v>
      </c>
      <c r="M233" s="53" t="str">
        <f t="shared" si="39"/>
        <v>Placas.Cegas</v>
      </c>
      <c r="N233" s="53" t="str">
        <f t="shared" si="38"/>
        <v>Placas</v>
      </c>
      <c r="O233" s="53" t="str">
        <f t="shared" si="38"/>
        <v>Placa Cimentícia</v>
      </c>
      <c r="P233" s="54" t="s">
        <v>1875</v>
      </c>
      <c r="Q233" s="57" t="s">
        <v>1876</v>
      </c>
      <c r="R233" s="54" t="s">
        <v>6227</v>
      </c>
      <c r="S233" s="54" t="s">
        <v>692</v>
      </c>
      <c r="T233" s="55" t="str">
        <f t="shared" si="41"/>
        <v>Composições</v>
      </c>
      <c r="U233" s="55" t="str">
        <f t="shared" si="41"/>
        <v>Placas Cegas</v>
      </c>
      <c r="V233" s="55" t="str">
        <f t="shared" si="41"/>
        <v>Placas</v>
      </c>
      <c r="W233" s="54" t="s">
        <v>7259</v>
      </c>
      <c r="X233" s="84" t="str">
        <f t="shared" si="40"/>
        <v>Key-COD-CT-233</v>
      </c>
      <c r="Y233" s="84" t="s">
        <v>5991</v>
      </c>
      <c r="Z233" s="84" t="s">
        <v>692</v>
      </c>
      <c r="AA233" s="84" t="s">
        <v>5652</v>
      </c>
      <c r="AB233" s="84" t="s">
        <v>692</v>
      </c>
      <c r="AC233" s="84" t="s">
        <v>692</v>
      </c>
      <c r="AD233" s="54" t="s">
        <v>692</v>
      </c>
    </row>
    <row r="234" spans="1:30" ht="6.75" customHeight="1" x14ac:dyDescent="0.25">
      <c r="A234" s="85">
        <v>234</v>
      </c>
      <c r="B234" s="59" t="s">
        <v>5419</v>
      </c>
      <c r="C234" s="59" t="s">
        <v>1568</v>
      </c>
      <c r="D234" s="59" t="s">
        <v>1861</v>
      </c>
      <c r="E234" s="59" t="s">
        <v>1862</v>
      </c>
      <c r="F234" s="59" t="s">
        <v>1877</v>
      </c>
      <c r="G234" s="81" t="s">
        <v>692</v>
      </c>
      <c r="H234" s="81" t="s">
        <v>692</v>
      </c>
      <c r="I234" s="81" t="s">
        <v>692</v>
      </c>
      <c r="J234" s="81" t="s">
        <v>692</v>
      </c>
      <c r="K234" s="81" t="s">
        <v>692</v>
      </c>
      <c r="L234" s="53" t="str">
        <f t="shared" si="39"/>
        <v>Composições</v>
      </c>
      <c r="M234" s="53" t="str">
        <f t="shared" si="39"/>
        <v>Placas.Cegas</v>
      </c>
      <c r="N234" s="53" t="str">
        <f t="shared" si="38"/>
        <v>Placas</v>
      </c>
      <c r="O234" s="53" t="str">
        <f t="shared" si="38"/>
        <v>Placa Gesso Acartonado</v>
      </c>
      <c r="P234" s="54" t="s">
        <v>1878</v>
      </c>
      <c r="Q234" s="57" t="s">
        <v>1879</v>
      </c>
      <c r="R234" s="54" t="s">
        <v>6228</v>
      </c>
      <c r="S234" s="54" t="s">
        <v>692</v>
      </c>
      <c r="T234" s="55" t="str">
        <f t="shared" si="41"/>
        <v>Composições</v>
      </c>
      <c r="U234" s="55" t="str">
        <f t="shared" si="41"/>
        <v>Placas Cegas</v>
      </c>
      <c r="V234" s="55" t="str">
        <f t="shared" si="41"/>
        <v>Placas</v>
      </c>
      <c r="W234" s="54" t="s">
        <v>7259</v>
      </c>
      <c r="X234" s="84" t="str">
        <f t="shared" si="40"/>
        <v>Key-COD-CT-234</v>
      </c>
      <c r="Y234" s="84" t="s">
        <v>5991</v>
      </c>
      <c r="Z234" s="84" t="s">
        <v>692</v>
      </c>
      <c r="AA234" s="84" t="s">
        <v>5652</v>
      </c>
      <c r="AB234" s="84" t="s">
        <v>692</v>
      </c>
      <c r="AC234" s="84" t="s">
        <v>692</v>
      </c>
      <c r="AD234" s="54" t="s">
        <v>692</v>
      </c>
    </row>
    <row r="235" spans="1:30" ht="6.75" customHeight="1" x14ac:dyDescent="0.25">
      <c r="A235" s="85">
        <v>235</v>
      </c>
      <c r="B235" s="59" t="s">
        <v>5419</v>
      </c>
      <c r="C235" s="59" t="s">
        <v>1568</v>
      </c>
      <c r="D235" s="59" t="s">
        <v>1861</v>
      </c>
      <c r="E235" s="59" t="s">
        <v>1862</v>
      </c>
      <c r="F235" s="59" t="s">
        <v>1880</v>
      </c>
      <c r="G235" s="81" t="s">
        <v>692</v>
      </c>
      <c r="H235" s="81" t="s">
        <v>692</v>
      </c>
      <c r="I235" s="81" t="s">
        <v>692</v>
      </c>
      <c r="J235" s="81" t="s">
        <v>692</v>
      </c>
      <c r="K235" s="81" t="s">
        <v>692</v>
      </c>
      <c r="L235" s="53" t="str">
        <f t="shared" si="39"/>
        <v>Composições</v>
      </c>
      <c r="M235" s="53" t="str">
        <f t="shared" si="39"/>
        <v>Placas.Cegas</v>
      </c>
      <c r="N235" s="53" t="str">
        <f t="shared" si="38"/>
        <v>Placas</v>
      </c>
      <c r="O235" s="53" t="str">
        <f t="shared" si="38"/>
        <v>Placa Pedra</v>
      </c>
      <c r="P235" s="54" t="s">
        <v>1881</v>
      </c>
      <c r="Q235" s="57" t="s">
        <v>1882</v>
      </c>
      <c r="R235" s="54" t="s">
        <v>6229</v>
      </c>
      <c r="S235" s="54" t="s">
        <v>692</v>
      </c>
      <c r="T235" s="55" t="str">
        <f t="shared" si="41"/>
        <v>Composições</v>
      </c>
      <c r="U235" s="55" t="str">
        <f t="shared" si="41"/>
        <v>Placas Cegas</v>
      </c>
      <c r="V235" s="55" t="str">
        <f t="shared" si="41"/>
        <v>Placas</v>
      </c>
      <c r="W235" s="54" t="s">
        <v>7259</v>
      </c>
      <c r="X235" s="84" t="str">
        <f t="shared" si="40"/>
        <v>Key-COD-CT-235</v>
      </c>
      <c r="Y235" s="84" t="s">
        <v>5991</v>
      </c>
      <c r="Z235" s="84" t="s">
        <v>692</v>
      </c>
      <c r="AA235" s="84" t="s">
        <v>5652</v>
      </c>
      <c r="AB235" s="84" t="s">
        <v>692</v>
      </c>
      <c r="AC235" s="84" t="s">
        <v>692</v>
      </c>
      <c r="AD235" s="54" t="s">
        <v>692</v>
      </c>
    </row>
    <row r="236" spans="1:30" ht="6.75" customHeight="1" x14ac:dyDescent="0.25">
      <c r="A236" s="85">
        <v>236</v>
      </c>
      <c r="B236" s="59" t="s">
        <v>5419</v>
      </c>
      <c r="C236" s="59" t="s">
        <v>1568</v>
      </c>
      <c r="D236" s="59" t="s">
        <v>1883</v>
      </c>
      <c r="E236" s="59" t="s">
        <v>1884</v>
      </c>
      <c r="F236" s="59" t="s">
        <v>1885</v>
      </c>
      <c r="G236" s="81" t="s">
        <v>692</v>
      </c>
      <c r="H236" s="81" t="s">
        <v>692</v>
      </c>
      <c r="I236" s="81" t="s">
        <v>692</v>
      </c>
      <c r="J236" s="82" t="s">
        <v>1864</v>
      </c>
      <c r="K236" s="81" t="s">
        <v>692</v>
      </c>
      <c r="L236" s="53" t="str">
        <f t="shared" si="39"/>
        <v>Composições</v>
      </c>
      <c r="M236" s="53" t="str">
        <f t="shared" si="39"/>
        <v>Placas.Transparentes</v>
      </c>
      <c r="N236" s="53" t="str">
        <f t="shared" si="38"/>
        <v>Vidros</v>
      </c>
      <c r="O236" s="53" t="str">
        <f t="shared" si="38"/>
        <v>Vidro Temperado</v>
      </c>
      <c r="P236" s="54" t="s">
        <v>1886</v>
      </c>
      <c r="Q236" s="57" t="s">
        <v>1887</v>
      </c>
      <c r="R236" s="54" t="s">
        <v>6230</v>
      </c>
      <c r="S236" s="54" t="s">
        <v>692</v>
      </c>
      <c r="T236" s="55" t="str">
        <f t="shared" si="41"/>
        <v>Composições</v>
      </c>
      <c r="U236" s="55" t="str">
        <f t="shared" si="41"/>
        <v>Placas Transparentes</v>
      </c>
      <c r="V236" s="55" t="str">
        <f t="shared" si="41"/>
        <v>Vidros</v>
      </c>
      <c r="W236" s="54" t="s">
        <v>7259</v>
      </c>
      <c r="X236" s="84" t="str">
        <f t="shared" si="40"/>
        <v>Key-COD-CT-236</v>
      </c>
      <c r="Y236" s="84" t="s">
        <v>5991</v>
      </c>
      <c r="Z236" s="84" t="s">
        <v>692</v>
      </c>
      <c r="AA236" s="84" t="s">
        <v>5652</v>
      </c>
      <c r="AB236" s="84" t="s">
        <v>692</v>
      </c>
      <c r="AC236" s="84" t="s">
        <v>692</v>
      </c>
      <c r="AD236" s="54" t="s">
        <v>692</v>
      </c>
    </row>
    <row r="237" spans="1:30" ht="6.75" customHeight="1" x14ac:dyDescent="0.25">
      <c r="A237" s="85">
        <v>237</v>
      </c>
      <c r="B237" s="59" t="s">
        <v>5419</v>
      </c>
      <c r="C237" s="59" t="s">
        <v>1568</v>
      </c>
      <c r="D237" s="59" t="s">
        <v>1883</v>
      </c>
      <c r="E237" s="59" t="s">
        <v>1884</v>
      </c>
      <c r="F237" s="59" t="s">
        <v>1888</v>
      </c>
      <c r="G237" s="81" t="s">
        <v>692</v>
      </c>
      <c r="H237" s="81" t="s">
        <v>692</v>
      </c>
      <c r="I237" s="81" t="s">
        <v>692</v>
      </c>
      <c r="J237" s="82" t="s">
        <v>1889</v>
      </c>
      <c r="K237" s="81" t="s">
        <v>692</v>
      </c>
      <c r="L237" s="53" t="str">
        <f t="shared" si="39"/>
        <v>Composições</v>
      </c>
      <c r="M237" s="53" t="str">
        <f t="shared" si="39"/>
        <v>Placas.Transparentes</v>
      </c>
      <c r="N237" s="53" t="str">
        <f t="shared" si="38"/>
        <v>Vidros</v>
      </c>
      <c r="O237" s="53" t="str">
        <f t="shared" si="38"/>
        <v>Vidro Laminado</v>
      </c>
      <c r="P237" s="54" t="s">
        <v>1890</v>
      </c>
      <c r="Q237" s="57" t="s">
        <v>1891</v>
      </c>
      <c r="R237" s="54" t="s">
        <v>6231</v>
      </c>
      <c r="S237" s="54" t="s">
        <v>692</v>
      </c>
      <c r="T237" s="55" t="str">
        <f t="shared" si="41"/>
        <v>Composições</v>
      </c>
      <c r="U237" s="55" t="str">
        <f t="shared" si="41"/>
        <v>Placas Transparentes</v>
      </c>
      <c r="V237" s="55" t="str">
        <f t="shared" si="41"/>
        <v>Vidros</v>
      </c>
      <c r="W237" s="54" t="s">
        <v>7259</v>
      </c>
      <c r="X237" s="84" t="str">
        <f t="shared" si="40"/>
        <v>Key-COD-CT-237</v>
      </c>
      <c r="Y237" s="84" t="s">
        <v>5991</v>
      </c>
      <c r="Z237" s="84" t="s">
        <v>692</v>
      </c>
      <c r="AA237" s="84" t="s">
        <v>5652</v>
      </c>
      <c r="AB237" s="84" t="s">
        <v>692</v>
      </c>
      <c r="AC237" s="84" t="s">
        <v>692</v>
      </c>
      <c r="AD237" s="54" t="s">
        <v>692</v>
      </c>
    </row>
    <row r="238" spans="1:30" ht="6.75" customHeight="1" x14ac:dyDescent="0.25">
      <c r="A238" s="85">
        <v>238</v>
      </c>
      <c r="B238" s="59" t="s">
        <v>5419</v>
      </c>
      <c r="C238" s="59" t="s">
        <v>1568</v>
      </c>
      <c r="D238" s="59" t="s">
        <v>1883</v>
      </c>
      <c r="E238" s="59" t="s">
        <v>1884</v>
      </c>
      <c r="F238" s="59" t="s">
        <v>1892</v>
      </c>
      <c r="G238" s="81" t="s">
        <v>692</v>
      </c>
      <c r="H238" s="81" t="s">
        <v>692</v>
      </c>
      <c r="I238" s="81" t="s">
        <v>692</v>
      </c>
      <c r="J238" s="81" t="s">
        <v>692</v>
      </c>
      <c r="K238" s="81" t="s">
        <v>692</v>
      </c>
      <c r="L238" s="53" t="str">
        <f t="shared" si="39"/>
        <v>Composições</v>
      </c>
      <c r="M238" s="53" t="str">
        <f t="shared" si="39"/>
        <v>Placas.Transparentes</v>
      </c>
      <c r="N238" s="53" t="str">
        <f t="shared" si="38"/>
        <v>Vidros</v>
      </c>
      <c r="O238" s="53" t="str">
        <f t="shared" si="38"/>
        <v>Vidro Polarizado</v>
      </c>
      <c r="P238" s="54" t="s">
        <v>1893</v>
      </c>
      <c r="Q238" s="57" t="s">
        <v>1894</v>
      </c>
      <c r="R238" s="54" t="s">
        <v>6232</v>
      </c>
      <c r="S238" s="54" t="s">
        <v>692</v>
      </c>
      <c r="T238" s="55" t="str">
        <f t="shared" si="41"/>
        <v>Composições</v>
      </c>
      <c r="U238" s="55" t="str">
        <f t="shared" si="41"/>
        <v>Placas Transparentes</v>
      </c>
      <c r="V238" s="55" t="str">
        <f t="shared" si="41"/>
        <v>Vidros</v>
      </c>
      <c r="W238" s="54" t="s">
        <v>7259</v>
      </c>
      <c r="X238" s="84" t="str">
        <f t="shared" si="40"/>
        <v>Key-COD-CT-238</v>
      </c>
      <c r="Y238" s="84" t="s">
        <v>5991</v>
      </c>
      <c r="Z238" s="84" t="s">
        <v>692</v>
      </c>
      <c r="AA238" s="84" t="s">
        <v>5652</v>
      </c>
      <c r="AB238" s="84" t="s">
        <v>692</v>
      </c>
      <c r="AC238" s="84" t="s">
        <v>692</v>
      </c>
      <c r="AD238" s="54" t="s">
        <v>692</v>
      </c>
    </row>
    <row r="239" spans="1:30" ht="6.75" customHeight="1" x14ac:dyDescent="0.25">
      <c r="A239" s="85">
        <v>239</v>
      </c>
      <c r="B239" s="59" t="s">
        <v>5419</v>
      </c>
      <c r="C239" s="59" t="s">
        <v>1568</v>
      </c>
      <c r="D239" s="59" t="s">
        <v>1883</v>
      </c>
      <c r="E239" s="59" t="s">
        <v>1884</v>
      </c>
      <c r="F239" s="59" t="s">
        <v>1895</v>
      </c>
      <c r="G239" s="81" t="s">
        <v>692</v>
      </c>
      <c r="H239" s="81" t="s">
        <v>692</v>
      </c>
      <c r="I239" s="81" t="s">
        <v>692</v>
      </c>
      <c r="J239" s="81" t="s">
        <v>692</v>
      </c>
      <c r="K239" s="81" t="s">
        <v>692</v>
      </c>
      <c r="L239" s="53" t="str">
        <f t="shared" si="39"/>
        <v>Composições</v>
      </c>
      <c r="M239" s="53" t="str">
        <f t="shared" si="39"/>
        <v>Placas.Transparentes</v>
      </c>
      <c r="N239" s="53" t="str">
        <f t="shared" si="38"/>
        <v>Vidros</v>
      </c>
      <c r="O239" s="53" t="str">
        <f t="shared" si="38"/>
        <v>Vidro Low E</v>
      </c>
      <c r="P239" s="57" t="s">
        <v>1896</v>
      </c>
      <c r="Q239" s="57" t="s">
        <v>1897</v>
      </c>
      <c r="R239" s="54" t="s">
        <v>6233</v>
      </c>
      <c r="S239" s="54" t="s">
        <v>692</v>
      </c>
      <c r="T239" s="55" t="str">
        <f t="shared" si="41"/>
        <v>Composições</v>
      </c>
      <c r="U239" s="55" t="str">
        <f t="shared" si="41"/>
        <v>Placas Transparentes</v>
      </c>
      <c r="V239" s="55" t="str">
        <f t="shared" si="41"/>
        <v>Vidros</v>
      </c>
      <c r="W239" s="54" t="s">
        <v>7259</v>
      </c>
      <c r="X239" s="84" t="str">
        <f t="shared" si="40"/>
        <v>Key-COD-CT-239</v>
      </c>
      <c r="Y239" s="84" t="s">
        <v>5991</v>
      </c>
      <c r="Z239" s="84" t="s">
        <v>692</v>
      </c>
      <c r="AA239" s="84" t="s">
        <v>5652</v>
      </c>
      <c r="AB239" s="84" t="s">
        <v>692</v>
      </c>
      <c r="AC239" s="84" t="s">
        <v>692</v>
      </c>
      <c r="AD239" s="54" t="s">
        <v>692</v>
      </c>
    </row>
    <row r="240" spans="1:30" ht="6.75" customHeight="1" x14ac:dyDescent="0.25">
      <c r="A240" s="85">
        <v>240</v>
      </c>
      <c r="B240" s="59" t="s">
        <v>5419</v>
      </c>
      <c r="C240" s="59" t="s">
        <v>1568</v>
      </c>
      <c r="D240" s="59" t="s">
        <v>1883</v>
      </c>
      <c r="E240" s="59" t="s">
        <v>1884</v>
      </c>
      <c r="F240" s="59" t="s">
        <v>1898</v>
      </c>
      <c r="G240" s="81" t="s">
        <v>692</v>
      </c>
      <c r="H240" s="81" t="s">
        <v>692</v>
      </c>
      <c r="I240" s="81" t="s">
        <v>692</v>
      </c>
      <c r="J240" s="81" t="s">
        <v>692</v>
      </c>
      <c r="K240" s="81" t="s">
        <v>692</v>
      </c>
      <c r="L240" s="53" t="str">
        <f t="shared" si="39"/>
        <v>Composições</v>
      </c>
      <c r="M240" s="53" t="str">
        <f t="shared" si="39"/>
        <v>Placas.Transparentes</v>
      </c>
      <c r="N240" s="53" t="str">
        <f t="shared" si="38"/>
        <v>Vidros</v>
      </c>
      <c r="O240" s="53" t="str">
        <f t="shared" si="38"/>
        <v>Vidro Comúm</v>
      </c>
      <c r="P240" s="54" t="s">
        <v>1899</v>
      </c>
      <c r="Q240" s="57" t="s">
        <v>1900</v>
      </c>
      <c r="R240" s="54" t="s">
        <v>6234</v>
      </c>
      <c r="S240" s="54" t="s">
        <v>692</v>
      </c>
      <c r="T240" s="55" t="str">
        <f t="shared" si="41"/>
        <v>Composições</v>
      </c>
      <c r="U240" s="55" t="str">
        <f t="shared" si="41"/>
        <v>Placas Transparentes</v>
      </c>
      <c r="V240" s="55" t="str">
        <f t="shared" si="41"/>
        <v>Vidros</v>
      </c>
      <c r="W240" s="54" t="s">
        <v>7259</v>
      </c>
      <c r="X240" s="84" t="str">
        <f t="shared" si="40"/>
        <v>Key-COD-CT-240</v>
      </c>
      <c r="Y240" s="84" t="s">
        <v>5991</v>
      </c>
      <c r="Z240" s="84" t="s">
        <v>692</v>
      </c>
      <c r="AA240" s="84" t="s">
        <v>5652</v>
      </c>
      <c r="AB240" s="84" t="s">
        <v>692</v>
      </c>
      <c r="AC240" s="84" t="s">
        <v>692</v>
      </c>
      <c r="AD240" s="54" t="s">
        <v>692</v>
      </c>
    </row>
    <row r="241" spans="1:30" ht="6.75" customHeight="1" x14ac:dyDescent="0.25">
      <c r="A241" s="85">
        <v>241</v>
      </c>
      <c r="B241" s="59" t="s">
        <v>5419</v>
      </c>
      <c r="C241" s="59" t="s">
        <v>1568</v>
      </c>
      <c r="D241" s="59" t="s">
        <v>1883</v>
      </c>
      <c r="E241" s="59" t="s">
        <v>1884</v>
      </c>
      <c r="F241" s="59" t="s">
        <v>1901</v>
      </c>
      <c r="G241" s="81" t="s">
        <v>692</v>
      </c>
      <c r="H241" s="81" t="s">
        <v>692</v>
      </c>
      <c r="I241" s="81" t="s">
        <v>692</v>
      </c>
      <c r="J241" s="81" t="s">
        <v>692</v>
      </c>
      <c r="K241" s="81" t="s">
        <v>692</v>
      </c>
      <c r="L241" s="53" t="str">
        <f t="shared" si="39"/>
        <v>Composições</v>
      </c>
      <c r="M241" s="53" t="str">
        <f t="shared" si="39"/>
        <v>Placas.Transparentes</v>
      </c>
      <c r="N241" s="53" t="str">
        <f t="shared" si="38"/>
        <v>Vidros</v>
      </c>
      <c r="O241" s="53" t="str">
        <f t="shared" si="38"/>
        <v>Vidro Plumbífero</v>
      </c>
      <c r="P241" s="54" t="s">
        <v>1902</v>
      </c>
      <c r="Q241" s="57" t="s">
        <v>1903</v>
      </c>
      <c r="R241" s="54" t="s">
        <v>6235</v>
      </c>
      <c r="S241" s="54" t="s">
        <v>692</v>
      </c>
      <c r="T241" s="55" t="str">
        <f t="shared" si="41"/>
        <v>Composições</v>
      </c>
      <c r="U241" s="55" t="str">
        <f t="shared" si="41"/>
        <v>Placas Transparentes</v>
      </c>
      <c r="V241" s="55" t="str">
        <f t="shared" si="41"/>
        <v>Vidros</v>
      </c>
      <c r="W241" s="54" t="s">
        <v>7259</v>
      </c>
      <c r="X241" s="84" t="str">
        <f t="shared" si="40"/>
        <v>Key-COD-CT-241</v>
      </c>
      <c r="Y241" s="84" t="s">
        <v>5991</v>
      </c>
      <c r="Z241" s="84" t="s">
        <v>692</v>
      </c>
      <c r="AA241" s="84" t="s">
        <v>5652</v>
      </c>
      <c r="AB241" s="84" t="s">
        <v>692</v>
      </c>
      <c r="AC241" s="84" t="s">
        <v>692</v>
      </c>
      <c r="AD241" s="54" t="s">
        <v>692</v>
      </c>
    </row>
    <row r="242" spans="1:30" ht="6.75" customHeight="1" x14ac:dyDescent="0.25">
      <c r="A242" s="85">
        <v>242</v>
      </c>
      <c r="B242" s="59" t="s">
        <v>5419</v>
      </c>
      <c r="C242" s="59" t="s">
        <v>1568</v>
      </c>
      <c r="D242" s="59" t="s">
        <v>1883</v>
      </c>
      <c r="E242" s="59" t="s">
        <v>1884</v>
      </c>
      <c r="F242" s="59" t="s">
        <v>1904</v>
      </c>
      <c r="G242" s="81" t="s">
        <v>692</v>
      </c>
      <c r="H242" s="81" t="s">
        <v>692</v>
      </c>
      <c r="I242" s="81" t="s">
        <v>692</v>
      </c>
      <c r="J242" s="81" t="s">
        <v>692</v>
      </c>
      <c r="K242" s="81" t="s">
        <v>692</v>
      </c>
      <c r="L242" s="53" t="str">
        <f t="shared" si="39"/>
        <v>Composições</v>
      </c>
      <c r="M242" s="53" t="str">
        <f t="shared" si="39"/>
        <v>Placas.Transparentes</v>
      </c>
      <c r="N242" s="53" t="str">
        <f t="shared" si="38"/>
        <v>Vidros</v>
      </c>
      <c r="O242" s="53" t="str">
        <f t="shared" si="38"/>
        <v>Vidro Serigrafado</v>
      </c>
      <c r="P242" s="54" t="s">
        <v>1905</v>
      </c>
      <c r="Q242" s="54" t="s">
        <v>1906</v>
      </c>
      <c r="R242" s="54" t="s">
        <v>6236</v>
      </c>
      <c r="S242" s="54" t="s">
        <v>692</v>
      </c>
      <c r="T242" s="55" t="str">
        <f t="shared" si="41"/>
        <v>Composições</v>
      </c>
      <c r="U242" s="55" t="str">
        <f t="shared" si="41"/>
        <v>Placas Transparentes</v>
      </c>
      <c r="V242" s="55" t="str">
        <f t="shared" si="41"/>
        <v>Vidros</v>
      </c>
      <c r="W242" s="54" t="s">
        <v>7259</v>
      </c>
      <c r="X242" s="84" t="str">
        <f t="shared" si="40"/>
        <v>Key-COD-CT-242</v>
      </c>
      <c r="Y242" s="84" t="s">
        <v>5991</v>
      </c>
      <c r="Z242" s="84" t="s">
        <v>692</v>
      </c>
      <c r="AA242" s="84" t="s">
        <v>5652</v>
      </c>
      <c r="AB242" s="84" t="s">
        <v>692</v>
      </c>
      <c r="AC242" s="84" t="s">
        <v>692</v>
      </c>
      <c r="AD242" s="54" t="s">
        <v>692</v>
      </c>
    </row>
    <row r="243" spans="1:30" ht="6.75" customHeight="1" x14ac:dyDescent="0.25">
      <c r="A243" s="85">
        <v>243</v>
      </c>
      <c r="B243" s="59" t="s">
        <v>5419</v>
      </c>
      <c r="C243" s="59" t="s">
        <v>1568</v>
      </c>
      <c r="D243" s="59" t="s">
        <v>1907</v>
      </c>
      <c r="E243" s="59" t="s">
        <v>1908</v>
      </c>
      <c r="F243" s="59" t="s">
        <v>1909</v>
      </c>
      <c r="G243" s="81" t="s">
        <v>692</v>
      </c>
      <c r="H243" s="81" t="s">
        <v>692</v>
      </c>
      <c r="I243" s="81" t="s">
        <v>692</v>
      </c>
      <c r="J243" s="82" t="s">
        <v>1864</v>
      </c>
      <c r="K243" s="81" t="s">
        <v>692</v>
      </c>
      <c r="L243" s="53" t="str">
        <f t="shared" si="39"/>
        <v>Composições</v>
      </c>
      <c r="M243" s="53" t="str">
        <f t="shared" si="39"/>
        <v>Guias.de.Placas</v>
      </c>
      <c r="N243" s="53" t="str">
        <f t="shared" si="38"/>
        <v>Guias</v>
      </c>
      <c r="O243" s="53" t="str">
        <f t="shared" si="38"/>
        <v>Guia L</v>
      </c>
      <c r="P243" s="54" t="s">
        <v>1910</v>
      </c>
      <c r="Q243" s="57" t="s">
        <v>1911</v>
      </c>
      <c r="R243" s="54" t="s">
        <v>6237</v>
      </c>
      <c r="S243" s="54" t="s">
        <v>692</v>
      </c>
      <c r="T243" s="55" t="str">
        <f t="shared" si="41"/>
        <v>Composições</v>
      </c>
      <c r="U243" s="55" t="str">
        <f t="shared" si="41"/>
        <v>Guias de Placas</v>
      </c>
      <c r="V243" s="55" t="str">
        <f t="shared" si="41"/>
        <v>Guias</v>
      </c>
      <c r="W243" s="54" t="s">
        <v>7259</v>
      </c>
      <c r="X243" s="84" t="str">
        <f t="shared" si="40"/>
        <v>Key-COD-CT-243</v>
      </c>
      <c r="Y243" s="84" t="s">
        <v>5992</v>
      </c>
      <c r="Z243" s="84" t="s">
        <v>692</v>
      </c>
      <c r="AA243" s="84" t="s">
        <v>5652</v>
      </c>
      <c r="AB243" s="84" t="s">
        <v>692</v>
      </c>
      <c r="AC243" s="84" t="s">
        <v>692</v>
      </c>
      <c r="AD243" s="54" t="s">
        <v>692</v>
      </c>
    </row>
    <row r="244" spans="1:30" ht="6.75" customHeight="1" x14ac:dyDescent="0.25">
      <c r="A244" s="85">
        <v>244</v>
      </c>
      <c r="B244" s="59" t="s">
        <v>5419</v>
      </c>
      <c r="C244" s="59" t="s">
        <v>1568</v>
      </c>
      <c r="D244" s="59" t="s">
        <v>1907</v>
      </c>
      <c r="E244" s="59" t="s">
        <v>1908</v>
      </c>
      <c r="F244" s="59" t="s">
        <v>1912</v>
      </c>
      <c r="G244" s="81" t="s">
        <v>692</v>
      </c>
      <c r="H244" s="81" t="s">
        <v>692</v>
      </c>
      <c r="I244" s="81" t="s">
        <v>692</v>
      </c>
      <c r="J244" s="81" t="s">
        <v>692</v>
      </c>
      <c r="K244" s="81" t="s">
        <v>692</v>
      </c>
      <c r="L244" s="53" t="str">
        <f t="shared" si="39"/>
        <v>Composições</v>
      </c>
      <c r="M244" s="53" t="str">
        <f t="shared" si="39"/>
        <v>Guias.de.Placas</v>
      </c>
      <c r="N244" s="53" t="str">
        <f t="shared" si="38"/>
        <v>Guias</v>
      </c>
      <c r="O244" s="53" t="str">
        <f t="shared" si="38"/>
        <v>Guia U</v>
      </c>
      <c r="P244" s="54" t="s">
        <v>1913</v>
      </c>
      <c r="Q244" s="57" t="s">
        <v>1914</v>
      </c>
      <c r="R244" s="54" t="s">
        <v>6238</v>
      </c>
      <c r="S244" s="54" t="s">
        <v>692</v>
      </c>
      <c r="T244" s="55" t="str">
        <f t="shared" si="41"/>
        <v>Composições</v>
      </c>
      <c r="U244" s="55" t="str">
        <f t="shared" si="41"/>
        <v>Guias de Placas</v>
      </c>
      <c r="V244" s="55" t="str">
        <f t="shared" si="41"/>
        <v>Guias</v>
      </c>
      <c r="W244" s="54" t="s">
        <v>7259</v>
      </c>
      <c r="X244" s="84" t="str">
        <f t="shared" si="40"/>
        <v>Key-COD-CT-244</v>
      </c>
      <c r="Y244" s="84" t="s">
        <v>5992</v>
      </c>
      <c r="Z244" s="84" t="s">
        <v>692</v>
      </c>
      <c r="AA244" s="84" t="s">
        <v>5652</v>
      </c>
      <c r="AB244" s="84" t="s">
        <v>692</v>
      </c>
      <c r="AC244" s="84" t="s">
        <v>692</v>
      </c>
      <c r="AD244" s="54" t="s">
        <v>692</v>
      </c>
    </row>
    <row r="245" spans="1:30" ht="6.75" customHeight="1" x14ac:dyDescent="0.25">
      <c r="A245" s="85">
        <v>245</v>
      </c>
      <c r="B245" s="59" t="s">
        <v>5419</v>
      </c>
      <c r="C245" s="59" t="s">
        <v>1568</v>
      </c>
      <c r="D245" s="59" t="s">
        <v>1907</v>
      </c>
      <c r="E245" s="59" t="s">
        <v>1908</v>
      </c>
      <c r="F245" s="59" t="s">
        <v>1915</v>
      </c>
      <c r="G245" s="81" t="s">
        <v>692</v>
      </c>
      <c r="H245" s="81" t="s">
        <v>692</v>
      </c>
      <c r="I245" s="81" t="s">
        <v>692</v>
      </c>
      <c r="J245" s="81" t="s">
        <v>692</v>
      </c>
      <c r="K245" s="81" t="s">
        <v>692</v>
      </c>
      <c r="L245" s="53" t="str">
        <f t="shared" si="39"/>
        <v>Composições</v>
      </c>
      <c r="M245" s="53" t="str">
        <f t="shared" si="39"/>
        <v>Guias.de.Placas</v>
      </c>
      <c r="N245" s="53" t="str">
        <f t="shared" si="38"/>
        <v>Guias</v>
      </c>
      <c r="O245" s="53" t="str">
        <f t="shared" si="38"/>
        <v>Guia Montante</v>
      </c>
      <c r="P245" s="54" t="s">
        <v>1913</v>
      </c>
      <c r="Q245" s="57" t="s">
        <v>1914</v>
      </c>
      <c r="R245" s="54" t="s">
        <v>6238</v>
      </c>
      <c r="S245" s="54" t="s">
        <v>692</v>
      </c>
      <c r="T245" s="55" t="str">
        <f t="shared" si="41"/>
        <v>Composições</v>
      </c>
      <c r="U245" s="55" t="str">
        <f t="shared" si="41"/>
        <v>Guias de Placas</v>
      </c>
      <c r="V245" s="55" t="str">
        <f t="shared" si="41"/>
        <v>Guias</v>
      </c>
      <c r="W245" s="54" t="s">
        <v>7259</v>
      </c>
      <c r="X245" s="84" t="str">
        <f t="shared" si="40"/>
        <v>Key-COD-CT-245</v>
      </c>
      <c r="Y245" s="84" t="s">
        <v>5992</v>
      </c>
      <c r="Z245" s="84" t="s">
        <v>692</v>
      </c>
      <c r="AA245" s="84" t="s">
        <v>5652</v>
      </c>
      <c r="AB245" s="84" t="s">
        <v>692</v>
      </c>
      <c r="AC245" s="84" t="s">
        <v>692</v>
      </c>
      <c r="AD245" s="54" t="s">
        <v>692</v>
      </c>
    </row>
    <row r="246" spans="1:30" ht="6.75" customHeight="1" x14ac:dyDescent="0.25">
      <c r="A246" s="85">
        <v>246</v>
      </c>
      <c r="B246" s="59" t="s">
        <v>5419</v>
      </c>
      <c r="C246" s="59" t="s">
        <v>1568</v>
      </c>
      <c r="D246" s="59" t="s">
        <v>1916</v>
      </c>
      <c r="E246" s="59" t="s">
        <v>1917</v>
      </c>
      <c r="F246" s="59" t="s">
        <v>1918</v>
      </c>
      <c r="G246" s="81" t="s">
        <v>692</v>
      </c>
      <c r="H246" s="81" t="s">
        <v>692</v>
      </c>
      <c r="I246" s="81" t="s">
        <v>692</v>
      </c>
      <c r="J246" s="82" t="s">
        <v>1864</v>
      </c>
      <c r="K246" s="81" t="s">
        <v>692</v>
      </c>
      <c r="L246" s="53" t="str">
        <f t="shared" si="39"/>
        <v>Composições</v>
      </c>
      <c r="M246" s="53" t="str">
        <f t="shared" si="39"/>
        <v>Acessórios</v>
      </c>
      <c r="N246" s="53" t="str">
        <f t="shared" si="38"/>
        <v>Fixadores</v>
      </c>
      <c r="O246" s="53" t="str">
        <f t="shared" si="38"/>
        <v>Parafuso</v>
      </c>
      <c r="P246" s="54" t="s">
        <v>1919</v>
      </c>
      <c r="Q246" s="57" t="s">
        <v>1920</v>
      </c>
      <c r="R246" s="54" t="s">
        <v>6239</v>
      </c>
      <c r="S246" s="54" t="s">
        <v>692</v>
      </c>
      <c r="T246" s="55" t="str">
        <f t="shared" si="41"/>
        <v>Composições</v>
      </c>
      <c r="U246" s="55" t="str">
        <f t="shared" si="41"/>
        <v>Acessórios</v>
      </c>
      <c r="V246" s="55" t="str">
        <f t="shared" si="41"/>
        <v>Fixadores</v>
      </c>
      <c r="W246" s="54" t="s">
        <v>7259</v>
      </c>
      <c r="X246" s="84" t="str">
        <f t="shared" si="40"/>
        <v>Key-COD-CT-246</v>
      </c>
      <c r="Y246" s="84" t="s">
        <v>5524</v>
      </c>
      <c r="Z246" s="84" t="s">
        <v>692</v>
      </c>
      <c r="AA246" s="84" t="s">
        <v>5662</v>
      </c>
      <c r="AB246" s="84" t="s">
        <v>692</v>
      </c>
      <c r="AC246" s="84" t="s">
        <v>692</v>
      </c>
      <c r="AD246" s="54" t="s">
        <v>692</v>
      </c>
    </row>
    <row r="247" spans="1:30" ht="6.75" customHeight="1" x14ac:dyDescent="0.25">
      <c r="A247" s="85">
        <v>247</v>
      </c>
      <c r="B247" s="59" t="s">
        <v>5419</v>
      </c>
      <c r="C247" s="59" t="s">
        <v>1568</v>
      </c>
      <c r="D247" s="59" t="s">
        <v>1916</v>
      </c>
      <c r="E247" s="59" t="s">
        <v>1917</v>
      </c>
      <c r="F247" s="59" t="s">
        <v>1921</v>
      </c>
      <c r="G247" s="81" t="s">
        <v>692</v>
      </c>
      <c r="H247" s="81" t="s">
        <v>692</v>
      </c>
      <c r="I247" s="81" t="s">
        <v>692</v>
      </c>
      <c r="J247" s="81" t="s">
        <v>692</v>
      </c>
      <c r="K247" s="81" t="s">
        <v>692</v>
      </c>
      <c r="L247" s="53" t="str">
        <f t="shared" si="39"/>
        <v>Composições</v>
      </c>
      <c r="M247" s="53" t="str">
        <f t="shared" si="39"/>
        <v>Acessórios</v>
      </c>
      <c r="N247" s="53" t="str">
        <f t="shared" si="38"/>
        <v>Fixadores</v>
      </c>
      <c r="O247" s="53" t="str">
        <f t="shared" si="38"/>
        <v>Bucha</v>
      </c>
      <c r="P247" s="54" t="s">
        <v>1922</v>
      </c>
      <c r="Q247" s="57" t="s">
        <v>1923</v>
      </c>
      <c r="R247" s="54" t="s">
        <v>6240</v>
      </c>
      <c r="S247" s="54" t="s">
        <v>692</v>
      </c>
      <c r="T247" s="55" t="str">
        <f t="shared" si="41"/>
        <v>Composições</v>
      </c>
      <c r="U247" s="55" t="str">
        <f t="shared" si="41"/>
        <v>Acessórios</v>
      </c>
      <c r="V247" s="55" t="str">
        <f t="shared" si="41"/>
        <v>Fixadores</v>
      </c>
      <c r="W247" s="54" t="s">
        <v>7259</v>
      </c>
      <c r="X247" s="84" t="str">
        <f t="shared" si="40"/>
        <v>Key-COD-CT-247</v>
      </c>
      <c r="Y247" s="84" t="s">
        <v>5524</v>
      </c>
      <c r="Z247" s="84" t="s">
        <v>692</v>
      </c>
      <c r="AA247" s="84" t="s">
        <v>5662</v>
      </c>
      <c r="AB247" s="84" t="s">
        <v>692</v>
      </c>
      <c r="AC247" s="84" t="s">
        <v>692</v>
      </c>
      <c r="AD247" s="54" t="s">
        <v>692</v>
      </c>
    </row>
    <row r="248" spans="1:30" ht="6.75" customHeight="1" x14ac:dyDescent="0.25">
      <c r="A248" s="85">
        <v>248</v>
      </c>
      <c r="B248" s="59" t="s">
        <v>5419</v>
      </c>
      <c r="C248" s="59" t="s">
        <v>1568</v>
      </c>
      <c r="D248" s="59" t="s">
        <v>1916</v>
      </c>
      <c r="E248" s="59" t="s">
        <v>1917</v>
      </c>
      <c r="F248" s="59" t="s">
        <v>1924</v>
      </c>
      <c r="G248" s="81" t="s">
        <v>692</v>
      </c>
      <c r="H248" s="81" t="s">
        <v>692</v>
      </c>
      <c r="I248" s="81" t="s">
        <v>692</v>
      </c>
      <c r="J248" s="81" t="s">
        <v>692</v>
      </c>
      <c r="K248" s="81" t="s">
        <v>692</v>
      </c>
      <c r="L248" s="53" t="str">
        <f t="shared" si="39"/>
        <v>Composições</v>
      </c>
      <c r="M248" s="53" t="str">
        <f t="shared" si="39"/>
        <v>Acessórios</v>
      </c>
      <c r="N248" s="53" t="str">
        <f t="shared" ref="N248:O311" si="42">(SUBSTITUTE(SUBSTITUTE(CONCATENATE("",E248),"."," ")," De "," de "))</f>
        <v>Fixadores</v>
      </c>
      <c r="O248" s="53" t="str">
        <f t="shared" si="42"/>
        <v>Fixador Pinça</v>
      </c>
      <c r="P248" s="54" t="s">
        <v>1925</v>
      </c>
      <c r="Q248" s="57" t="s">
        <v>1926</v>
      </c>
      <c r="R248" s="54" t="s">
        <v>6241</v>
      </c>
      <c r="S248" s="54" t="s">
        <v>692</v>
      </c>
      <c r="T248" s="55" t="str">
        <f t="shared" si="41"/>
        <v>Composições</v>
      </c>
      <c r="U248" s="55" t="str">
        <f t="shared" si="41"/>
        <v>Acessórios</v>
      </c>
      <c r="V248" s="55" t="str">
        <f t="shared" si="41"/>
        <v>Fixadores</v>
      </c>
      <c r="W248" s="54" t="s">
        <v>7259</v>
      </c>
      <c r="X248" s="84" t="str">
        <f t="shared" si="40"/>
        <v>Key-COD-CT-248</v>
      </c>
      <c r="Y248" s="84" t="s">
        <v>5524</v>
      </c>
      <c r="Z248" s="84" t="s">
        <v>692</v>
      </c>
      <c r="AA248" s="84" t="s">
        <v>5662</v>
      </c>
      <c r="AB248" s="84" t="s">
        <v>692</v>
      </c>
      <c r="AC248" s="84" t="s">
        <v>692</v>
      </c>
      <c r="AD248" s="54" t="s">
        <v>692</v>
      </c>
    </row>
    <row r="249" spans="1:30" ht="6.75" customHeight="1" x14ac:dyDescent="0.25">
      <c r="A249" s="85">
        <v>249</v>
      </c>
      <c r="B249" s="59" t="s">
        <v>5419</v>
      </c>
      <c r="C249" s="59" t="s">
        <v>1568</v>
      </c>
      <c r="D249" s="59" t="s">
        <v>1916</v>
      </c>
      <c r="E249" s="59" t="s">
        <v>1917</v>
      </c>
      <c r="F249" s="59" t="s">
        <v>1927</v>
      </c>
      <c r="G249" s="81" t="s">
        <v>692</v>
      </c>
      <c r="H249" s="81" t="s">
        <v>692</v>
      </c>
      <c r="I249" s="81" t="s">
        <v>692</v>
      </c>
      <c r="J249" s="81" t="s">
        <v>692</v>
      </c>
      <c r="K249" s="81" t="s">
        <v>692</v>
      </c>
      <c r="L249" s="53" t="str">
        <f t="shared" si="39"/>
        <v>Composições</v>
      </c>
      <c r="M249" s="53" t="str">
        <f t="shared" si="39"/>
        <v>Acessórios</v>
      </c>
      <c r="N249" s="53" t="str">
        <f t="shared" si="42"/>
        <v>Fixadores</v>
      </c>
      <c r="O249" s="53" t="str">
        <f t="shared" si="42"/>
        <v>Fixador Cantoneira</v>
      </c>
      <c r="P249" s="54" t="s">
        <v>1928</v>
      </c>
      <c r="Q249" s="57" t="s">
        <v>1929</v>
      </c>
      <c r="R249" s="54" t="s">
        <v>6242</v>
      </c>
      <c r="S249" s="54" t="s">
        <v>692</v>
      </c>
      <c r="T249" s="55" t="str">
        <f t="shared" si="41"/>
        <v>Composições</v>
      </c>
      <c r="U249" s="55" t="str">
        <f t="shared" si="41"/>
        <v>Acessórios</v>
      </c>
      <c r="V249" s="55" t="str">
        <f t="shared" si="41"/>
        <v>Fixadores</v>
      </c>
      <c r="W249" s="54" t="s">
        <v>7259</v>
      </c>
      <c r="X249" s="84" t="str">
        <f t="shared" si="40"/>
        <v>Key-COD-CT-249</v>
      </c>
      <c r="Y249" s="84" t="s">
        <v>5524</v>
      </c>
      <c r="Z249" s="84" t="s">
        <v>692</v>
      </c>
      <c r="AA249" s="84" t="s">
        <v>5662</v>
      </c>
      <c r="AB249" s="84" t="s">
        <v>692</v>
      </c>
      <c r="AC249" s="84" t="s">
        <v>692</v>
      </c>
      <c r="AD249" s="54" t="s">
        <v>692</v>
      </c>
    </row>
    <row r="250" spans="1:30" ht="6.75" customHeight="1" x14ac:dyDescent="0.25">
      <c r="A250" s="85">
        <v>250</v>
      </c>
      <c r="B250" s="59" t="s">
        <v>5419</v>
      </c>
      <c r="C250" s="59" t="s">
        <v>1568</v>
      </c>
      <c r="D250" s="59" t="s">
        <v>1916</v>
      </c>
      <c r="E250" s="59" t="s">
        <v>1917</v>
      </c>
      <c r="F250" s="59" t="s">
        <v>1930</v>
      </c>
      <c r="G250" s="81" t="s">
        <v>692</v>
      </c>
      <c r="H250" s="81" t="s">
        <v>692</v>
      </c>
      <c r="I250" s="81" t="s">
        <v>692</v>
      </c>
      <c r="J250" s="81" t="s">
        <v>692</v>
      </c>
      <c r="K250" s="81" t="s">
        <v>692</v>
      </c>
      <c r="L250" s="53" t="str">
        <f t="shared" si="39"/>
        <v>Composições</v>
      </c>
      <c r="M250" s="53" t="str">
        <f t="shared" si="39"/>
        <v>Acessórios</v>
      </c>
      <c r="N250" s="53" t="str">
        <f t="shared" si="42"/>
        <v>Fixadores</v>
      </c>
      <c r="O250" s="53" t="str">
        <f t="shared" si="42"/>
        <v>Conector</v>
      </c>
      <c r="P250" s="54" t="s">
        <v>1931</v>
      </c>
      <c r="Q250" s="57" t="s">
        <v>1931</v>
      </c>
      <c r="R250" s="54" t="s">
        <v>6243</v>
      </c>
      <c r="S250" s="54" t="s">
        <v>692</v>
      </c>
      <c r="T250" s="55" t="str">
        <f t="shared" si="41"/>
        <v>Composições</v>
      </c>
      <c r="U250" s="55" t="str">
        <f t="shared" si="41"/>
        <v>Acessórios</v>
      </c>
      <c r="V250" s="55" t="str">
        <f t="shared" si="41"/>
        <v>Fixadores</v>
      </c>
      <c r="W250" s="54" t="s">
        <v>7259</v>
      </c>
      <c r="X250" s="84" t="str">
        <f t="shared" si="40"/>
        <v>Key-COD-CT-250</v>
      </c>
      <c r="Y250" s="84" t="s">
        <v>5524</v>
      </c>
      <c r="Z250" s="84" t="s">
        <v>692</v>
      </c>
      <c r="AA250" s="84" t="s">
        <v>5662</v>
      </c>
      <c r="AB250" s="84" t="s">
        <v>692</v>
      </c>
      <c r="AC250" s="84" t="s">
        <v>692</v>
      </c>
      <c r="AD250" s="54" t="s">
        <v>692</v>
      </c>
    </row>
    <row r="251" spans="1:30" ht="6.75" customHeight="1" x14ac:dyDescent="0.25">
      <c r="A251" s="85">
        <v>251</v>
      </c>
      <c r="B251" s="59" t="s">
        <v>5419</v>
      </c>
      <c r="C251" s="59" t="s">
        <v>1568</v>
      </c>
      <c r="D251" s="59" t="s">
        <v>1916</v>
      </c>
      <c r="E251" s="59" t="s">
        <v>1932</v>
      </c>
      <c r="F251" s="59" t="s">
        <v>1933</v>
      </c>
      <c r="G251" s="81" t="s">
        <v>692</v>
      </c>
      <c r="H251" s="81" t="s">
        <v>692</v>
      </c>
      <c r="I251" s="81" t="s">
        <v>692</v>
      </c>
      <c r="J251" s="81" t="s">
        <v>692</v>
      </c>
      <c r="K251" s="81" t="s">
        <v>692</v>
      </c>
      <c r="L251" s="53" t="str">
        <f t="shared" si="39"/>
        <v>Composições</v>
      </c>
      <c r="M251" s="53" t="str">
        <f t="shared" si="39"/>
        <v>Acessórios</v>
      </c>
      <c r="N251" s="53" t="str">
        <f t="shared" si="42"/>
        <v>Puxadores</v>
      </c>
      <c r="O251" s="53" t="str">
        <f t="shared" si="42"/>
        <v>Puxador Externo</v>
      </c>
      <c r="P251" s="54" t="s">
        <v>1934</v>
      </c>
      <c r="Q251" s="57" t="s">
        <v>1935</v>
      </c>
      <c r="R251" s="54" t="s">
        <v>6244</v>
      </c>
      <c r="S251" s="54" t="s">
        <v>692</v>
      </c>
      <c r="T251" s="55" t="str">
        <f t="shared" si="41"/>
        <v>Composições</v>
      </c>
      <c r="U251" s="55" t="str">
        <f t="shared" si="41"/>
        <v>Acessórios</v>
      </c>
      <c r="V251" s="55" t="str">
        <f t="shared" si="41"/>
        <v>Puxadores</v>
      </c>
      <c r="W251" s="54" t="s">
        <v>7259</v>
      </c>
      <c r="X251" s="84" t="str">
        <f t="shared" si="40"/>
        <v>Key-COD-CT-251</v>
      </c>
      <c r="Y251" s="84" t="s">
        <v>5466</v>
      </c>
      <c r="Z251" s="84" t="s">
        <v>692</v>
      </c>
      <c r="AA251" s="84" t="s">
        <v>5662</v>
      </c>
      <c r="AB251" s="84" t="s">
        <v>692</v>
      </c>
      <c r="AC251" s="84" t="s">
        <v>692</v>
      </c>
      <c r="AD251" s="54" t="s">
        <v>692</v>
      </c>
    </row>
    <row r="252" spans="1:30" ht="6.75" customHeight="1" x14ac:dyDescent="0.25">
      <c r="A252" s="85">
        <v>252</v>
      </c>
      <c r="B252" s="59" t="s">
        <v>5419</v>
      </c>
      <c r="C252" s="59" t="s">
        <v>1568</v>
      </c>
      <c r="D252" s="59" t="s">
        <v>1916</v>
      </c>
      <c r="E252" s="59" t="s">
        <v>1932</v>
      </c>
      <c r="F252" s="59" t="s">
        <v>1936</v>
      </c>
      <c r="G252" s="81" t="s">
        <v>692</v>
      </c>
      <c r="H252" s="81" t="s">
        <v>692</v>
      </c>
      <c r="I252" s="81" t="s">
        <v>692</v>
      </c>
      <c r="J252" s="81" t="s">
        <v>692</v>
      </c>
      <c r="K252" s="81" t="s">
        <v>692</v>
      </c>
      <c r="L252" s="53" t="str">
        <f t="shared" si="39"/>
        <v>Composições</v>
      </c>
      <c r="M252" s="53" t="str">
        <f t="shared" si="39"/>
        <v>Acessórios</v>
      </c>
      <c r="N252" s="53" t="str">
        <f t="shared" si="42"/>
        <v>Puxadores</v>
      </c>
      <c r="O252" s="53" t="str">
        <f t="shared" si="42"/>
        <v>Puxador Interno</v>
      </c>
      <c r="P252" s="54" t="s">
        <v>1937</v>
      </c>
      <c r="Q252" s="57" t="s">
        <v>1938</v>
      </c>
      <c r="R252" s="54" t="s">
        <v>6245</v>
      </c>
      <c r="S252" s="54" t="s">
        <v>692</v>
      </c>
      <c r="T252" s="55" t="str">
        <f t="shared" si="41"/>
        <v>Composições</v>
      </c>
      <c r="U252" s="55" t="str">
        <f t="shared" si="41"/>
        <v>Acessórios</v>
      </c>
      <c r="V252" s="55" t="str">
        <f t="shared" si="41"/>
        <v>Puxadores</v>
      </c>
      <c r="W252" s="54" t="s">
        <v>7259</v>
      </c>
      <c r="X252" s="84" t="str">
        <f t="shared" si="40"/>
        <v>Key-COD-CT-252</v>
      </c>
      <c r="Y252" s="84" t="s">
        <v>5466</v>
      </c>
      <c r="Z252" s="84" t="s">
        <v>692</v>
      </c>
      <c r="AA252" s="84" t="s">
        <v>5662</v>
      </c>
      <c r="AB252" s="84" t="s">
        <v>692</v>
      </c>
      <c r="AC252" s="84" t="s">
        <v>692</v>
      </c>
      <c r="AD252" s="54" t="s">
        <v>692</v>
      </c>
    </row>
    <row r="253" spans="1:30" ht="6.75" customHeight="1" x14ac:dyDescent="0.25">
      <c r="A253" s="85">
        <v>253</v>
      </c>
      <c r="B253" s="59" t="s">
        <v>5419</v>
      </c>
      <c r="C253" s="59" t="s">
        <v>1568</v>
      </c>
      <c r="D253" s="59" t="s">
        <v>1916</v>
      </c>
      <c r="E253" s="59" t="s">
        <v>1939</v>
      </c>
      <c r="F253" s="59" t="s">
        <v>1940</v>
      </c>
      <c r="G253" s="81" t="s">
        <v>692</v>
      </c>
      <c r="H253" s="81" t="s">
        <v>692</v>
      </c>
      <c r="I253" s="81" t="s">
        <v>692</v>
      </c>
      <c r="J253" s="81" t="s">
        <v>692</v>
      </c>
      <c r="K253" s="81" t="s">
        <v>692</v>
      </c>
      <c r="L253" s="53" t="str">
        <f t="shared" si="39"/>
        <v>Composições</v>
      </c>
      <c r="M253" s="53" t="str">
        <f t="shared" si="39"/>
        <v>Acessórios</v>
      </c>
      <c r="N253" s="53" t="str">
        <f t="shared" si="42"/>
        <v>Cabides</v>
      </c>
      <c r="O253" s="53" t="str">
        <f t="shared" si="42"/>
        <v>Tipo Gancho</v>
      </c>
      <c r="P253" s="54" t="s">
        <v>1941</v>
      </c>
      <c r="Q253" s="57" t="s">
        <v>1942</v>
      </c>
      <c r="R253" s="54" t="s">
        <v>6246</v>
      </c>
      <c r="S253" s="54" t="s">
        <v>692</v>
      </c>
      <c r="T253" s="55" t="str">
        <f t="shared" si="41"/>
        <v>Composições</v>
      </c>
      <c r="U253" s="55" t="str">
        <f t="shared" si="41"/>
        <v>Acessórios</v>
      </c>
      <c r="V253" s="55" t="str">
        <f t="shared" si="41"/>
        <v>Cabides</v>
      </c>
      <c r="W253" s="54" t="s">
        <v>7259</v>
      </c>
      <c r="X253" s="84" t="str">
        <f t="shared" si="40"/>
        <v>Key-COD-CT-253</v>
      </c>
      <c r="Y253" s="84" t="s">
        <v>5466</v>
      </c>
      <c r="Z253" s="84" t="s">
        <v>692</v>
      </c>
      <c r="AA253" s="84" t="s">
        <v>5662</v>
      </c>
      <c r="AB253" s="84" t="s">
        <v>692</v>
      </c>
      <c r="AC253" s="84" t="s">
        <v>692</v>
      </c>
      <c r="AD253" s="54" t="s">
        <v>692</v>
      </c>
    </row>
    <row r="254" spans="1:30" ht="6.75" customHeight="1" x14ac:dyDescent="0.25">
      <c r="A254" s="85">
        <v>254</v>
      </c>
      <c r="B254" s="59" t="s">
        <v>5419</v>
      </c>
      <c r="C254" s="59" t="s">
        <v>1568</v>
      </c>
      <c r="D254" s="59" t="s">
        <v>1916</v>
      </c>
      <c r="E254" s="59" t="s">
        <v>1939</v>
      </c>
      <c r="F254" s="59" t="s">
        <v>1943</v>
      </c>
      <c r="G254" s="81" t="s">
        <v>692</v>
      </c>
      <c r="H254" s="81" t="s">
        <v>692</v>
      </c>
      <c r="I254" s="81" t="s">
        <v>692</v>
      </c>
      <c r="J254" s="81" t="s">
        <v>692</v>
      </c>
      <c r="K254" s="81" t="s">
        <v>692</v>
      </c>
      <c r="L254" s="53" t="str">
        <f t="shared" si="39"/>
        <v>Composições</v>
      </c>
      <c r="M254" s="53" t="str">
        <f t="shared" si="39"/>
        <v>Acessórios</v>
      </c>
      <c r="N254" s="53" t="str">
        <f t="shared" si="42"/>
        <v>Cabides</v>
      </c>
      <c r="O254" s="53" t="str">
        <f t="shared" si="42"/>
        <v>Antifurto</v>
      </c>
      <c r="P254" s="54" t="s">
        <v>1944</v>
      </c>
      <c r="Q254" s="57" t="s">
        <v>1945</v>
      </c>
      <c r="R254" s="54" t="s">
        <v>6247</v>
      </c>
      <c r="S254" s="54" t="s">
        <v>692</v>
      </c>
      <c r="T254" s="55" t="str">
        <f t="shared" si="41"/>
        <v>Composições</v>
      </c>
      <c r="U254" s="55" t="str">
        <f t="shared" si="41"/>
        <v>Acessórios</v>
      </c>
      <c r="V254" s="55" t="str">
        <f t="shared" si="41"/>
        <v>Cabides</v>
      </c>
      <c r="W254" s="54" t="s">
        <v>7259</v>
      </c>
      <c r="X254" s="84" t="str">
        <f t="shared" si="40"/>
        <v>Key-COD-CT-254</v>
      </c>
      <c r="Y254" s="84" t="s">
        <v>5466</v>
      </c>
      <c r="Z254" s="84" t="s">
        <v>692</v>
      </c>
      <c r="AA254" s="84" t="s">
        <v>5662</v>
      </c>
      <c r="AB254" s="84" t="s">
        <v>692</v>
      </c>
      <c r="AC254" s="84" t="s">
        <v>692</v>
      </c>
      <c r="AD254" s="54" t="s">
        <v>692</v>
      </c>
    </row>
    <row r="255" spans="1:30" ht="6.75" customHeight="1" x14ac:dyDescent="0.25">
      <c r="A255" s="85">
        <v>255</v>
      </c>
      <c r="B255" s="59" t="s">
        <v>5419</v>
      </c>
      <c r="C255" s="59" t="s">
        <v>1568</v>
      </c>
      <c r="D255" s="59" t="s">
        <v>1916</v>
      </c>
      <c r="E255" s="59" t="s">
        <v>1946</v>
      </c>
      <c r="F255" s="59" t="s">
        <v>1947</v>
      </c>
      <c r="G255" s="81" t="s">
        <v>692</v>
      </c>
      <c r="H255" s="81" t="s">
        <v>692</v>
      </c>
      <c r="I255" s="81" t="s">
        <v>692</v>
      </c>
      <c r="J255" s="81" t="s">
        <v>692</v>
      </c>
      <c r="K255" s="81" t="s">
        <v>692</v>
      </c>
      <c r="L255" s="53" t="str">
        <f t="shared" si="39"/>
        <v>Composições</v>
      </c>
      <c r="M255" s="53" t="str">
        <f t="shared" si="39"/>
        <v>Acessórios</v>
      </c>
      <c r="N255" s="53" t="str">
        <f t="shared" si="42"/>
        <v>Fechaduras</v>
      </c>
      <c r="O255" s="53" t="str">
        <f t="shared" si="42"/>
        <v>Multiponto</v>
      </c>
      <c r="P255" s="54" t="s">
        <v>1948</v>
      </c>
      <c r="Q255" s="54" t="s">
        <v>1949</v>
      </c>
      <c r="R255" s="54" t="s">
        <v>6248</v>
      </c>
      <c r="S255" s="54" t="s">
        <v>692</v>
      </c>
      <c r="T255" s="55" t="str">
        <f t="shared" si="41"/>
        <v>Composições</v>
      </c>
      <c r="U255" s="55" t="str">
        <f t="shared" si="41"/>
        <v>Acessórios</v>
      </c>
      <c r="V255" s="55" t="str">
        <f t="shared" si="41"/>
        <v>Fechaduras</v>
      </c>
      <c r="W255" s="54" t="s">
        <v>7259</v>
      </c>
      <c r="X255" s="84" t="str">
        <f t="shared" si="40"/>
        <v>Key-COD-CT-255</v>
      </c>
      <c r="Y255" s="84" t="s">
        <v>5466</v>
      </c>
      <c r="Z255" s="84" t="s">
        <v>692</v>
      </c>
      <c r="AA255" s="84" t="s">
        <v>5662</v>
      </c>
      <c r="AB255" s="84" t="s">
        <v>692</v>
      </c>
      <c r="AC255" s="84" t="s">
        <v>692</v>
      </c>
      <c r="AD255" s="54" t="s">
        <v>692</v>
      </c>
    </row>
    <row r="256" spans="1:30" ht="6.75" customHeight="1" x14ac:dyDescent="0.25">
      <c r="A256" s="85">
        <v>256</v>
      </c>
      <c r="B256" s="59" t="s">
        <v>5419</v>
      </c>
      <c r="C256" s="59" t="s">
        <v>1568</v>
      </c>
      <c r="D256" s="59" t="s">
        <v>1916</v>
      </c>
      <c r="E256" s="59" t="s">
        <v>1946</v>
      </c>
      <c r="F256" s="59" t="s">
        <v>1950</v>
      </c>
      <c r="G256" s="81" t="s">
        <v>692</v>
      </c>
      <c r="H256" s="81" t="s">
        <v>692</v>
      </c>
      <c r="I256" s="81" t="s">
        <v>692</v>
      </c>
      <c r="J256" s="81" t="s">
        <v>692</v>
      </c>
      <c r="K256" s="81" t="s">
        <v>692</v>
      </c>
      <c r="L256" s="53" t="str">
        <f t="shared" si="39"/>
        <v>Composições</v>
      </c>
      <c r="M256" s="53" t="str">
        <f t="shared" si="39"/>
        <v>Acessórios</v>
      </c>
      <c r="N256" s="53" t="str">
        <f t="shared" si="42"/>
        <v>Fechaduras</v>
      </c>
      <c r="O256" s="53" t="str">
        <f t="shared" si="42"/>
        <v>Biométrica</v>
      </c>
      <c r="P256" s="54" t="s">
        <v>1951</v>
      </c>
      <c r="Q256" s="54" t="s">
        <v>1952</v>
      </c>
      <c r="R256" s="54" t="s">
        <v>6249</v>
      </c>
      <c r="S256" s="54" t="s">
        <v>692</v>
      </c>
      <c r="T256" s="55" t="str">
        <f t="shared" si="41"/>
        <v>Composições</v>
      </c>
      <c r="U256" s="55" t="str">
        <f t="shared" si="41"/>
        <v>Acessórios</v>
      </c>
      <c r="V256" s="55" t="str">
        <f t="shared" si="41"/>
        <v>Fechaduras</v>
      </c>
      <c r="W256" s="54" t="s">
        <v>7259</v>
      </c>
      <c r="X256" s="84" t="str">
        <f t="shared" si="40"/>
        <v>Key-COD-CT-256</v>
      </c>
      <c r="Y256" s="84" t="s">
        <v>5466</v>
      </c>
      <c r="Z256" s="84" t="s">
        <v>692</v>
      </c>
      <c r="AA256" s="84" t="s">
        <v>5662</v>
      </c>
      <c r="AB256" s="84" t="s">
        <v>692</v>
      </c>
      <c r="AC256" s="84" t="s">
        <v>692</v>
      </c>
      <c r="AD256" s="54" t="s">
        <v>692</v>
      </c>
    </row>
    <row r="257" spans="1:30" ht="6.75" customHeight="1" x14ac:dyDescent="0.25">
      <c r="A257" s="85">
        <v>257</v>
      </c>
      <c r="B257" s="59" t="s">
        <v>5419</v>
      </c>
      <c r="C257" s="59" t="s">
        <v>1568</v>
      </c>
      <c r="D257" s="59" t="s">
        <v>1916</v>
      </c>
      <c r="E257" s="59" t="s">
        <v>1946</v>
      </c>
      <c r="F257" s="59" t="s">
        <v>1953</v>
      </c>
      <c r="G257" s="81" t="s">
        <v>692</v>
      </c>
      <c r="H257" s="81" t="s">
        <v>692</v>
      </c>
      <c r="I257" s="81" t="s">
        <v>692</v>
      </c>
      <c r="J257" s="81" t="s">
        <v>692</v>
      </c>
      <c r="K257" s="81" t="s">
        <v>692</v>
      </c>
      <c r="L257" s="53" t="str">
        <f t="shared" si="39"/>
        <v>Composições</v>
      </c>
      <c r="M257" s="53" t="str">
        <f t="shared" si="39"/>
        <v>Acessórios</v>
      </c>
      <c r="N257" s="53" t="str">
        <f t="shared" si="42"/>
        <v>Fechaduras</v>
      </c>
      <c r="O257" s="53" t="str">
        <f t="shared" si="42"/>
        <v>Cartão Magnético</v>
      </c>
      <c r="P257" s="54" t="s">
        <v>1954</v>
      </c>
      <c r="Q257" s="54" t="s">
        <v>1955</v>
      </c>
      <c r="R257" s="54" t="s">
        <v>6250</v>
      </c>
      <c r="S257" s="54" t="s">
        <v>692</v>
      </c>
      <c r="T257" s="55" t="str">
        <f t="shared" si="41"/>
        <v>Composições</v>
      </c>
      <c r="U257" s="55" t="str">
        <f t="shared" si="41"/>
        <v>Acessórios</v>
      </c>
      <c r="V257" s="55" t="str">
        <f t="shared" si="41"/>
        <v>Fechaduras</v>
      </c>
      <c r="W257" s="54" t="s">
        <v>7259</v>
      </c>
      <c r="X257" s="84" t="str">
        <f t="shared" si="40"/>
        <v>Key-COD-CT-257</v>
      </c>
      <c r="Y257" s="84" t="s">
        <v>5466</v>
      </c>
      <c r="Z257" s="84" t="s">
        <v>692</v>
      </c>
      <c r="AA257" s="84" t="s">
        <v>5662</v>
      </c>
      <c r="AB257" s="84" t="s">
        <v>692</v>
      </c>
      <c r="AC257" s="84" t="s">
        <v>692</v>
      </c>
      <c r="AD257" s="54" t="s">
        <v>692</v>
      </c>
    </row>
    <row r="258" spans="1:30" ht="6.75" customHeight="1" x14ac:dyDescent="0.25">
      <c r="A258" s="85">
        <v>258</v>
      </c>
      <c r="B258" s="59" t="s">
        <v>5419</v>
      </c>
      <c r="C258" s="59" t="s">
        <v>1568</v>
      </c>
      <c r="D258" s="59" t="s">
        <v>1916</v>
      </c>
      <c r="E258" s="59" t="s">
        <v>1946</v>
      </c>
      <c r="F258" s="59" t="s">
        <v>853</v>
      </c>
      <c r="G258" s="81" t="s">
        <v>692</v>
      </c>
      <c r="H258" s="81" t="s">
        <v>692</v>
      </c>
      <c r="I258" s="81" t="s">
        <v>692</v>
      </c>
      <c r="J258" s="81" t="s">
        <v>692</v>
      </c>
      <c r="K258" s="81" t="s">
        <v>692</v>
      </c>
      <c r="L258" s="53" t="str">
        <f t="shared" si="39"/>
        <v>Composições</v>
      </c>
      <c r="M258" s="53" t="str">
        <f t="shared" si="39"/>
        <v>Acessórios</v>
      </c>
      <c r="N258" s="53" t="str">
        <f t="shared" si="42"/>
        <v>Fechaduras</v>
      </c>
      <c r="O258" s="53" t="str">
        <f t="shared" si="42"/>
        <v>Chave</v>
      </c>
      <c r="P258" s="54" t="s">
        <v>1956</v>
      </c>
      <c r="Q258" s="54" t="s">
        <v>1957</v>
      </c>
      <c r="R258" s="54" t="s">
        <v>6251</v>
      </c>
      <c r="S258" s="54" t="s">
        <v>692</v>
      </c>
      <c r="T258" s="55" t="str">
        <f t="shared" si="41"/>
        <v>Composições</v>
      </c>
      <c r="U258" s="55" t="str">
        <f t="shared" si="41"/>
        <v>Acessórios</v>
      </c>
      <c r="V258" s="55" t="str">
        <f t="shared" si="41"/>
        <v>Fechaduras</v>
      </c>
      <c r="W258" s="54" t="s">
        <v>7259</v>
      </c>
      <c r="X258" s="84" t="str">
        <f t="shared" si="40"/>
        <v>Key-COD-CT-258</v>
      </c>
      <c r="Y258" s="84" t="s">
        <v>5466</v>
      </c>
      <c r="Z258" s="84" t="s">
        <v>692</v>
      </c>
      <c r="AA258" s="84" t="s">
        <v>5662</v>
      </c>
      <c r="AB258" s="84" t="s">
        <v>692</v>
      </c>
      <c r="AC258" s="84" t="s">
        <v>692</v>
      </c>
      <c r="AD258" s="54" t="s">
        <v>692</v>
      </c>
    </row>
    <row r="259" spans="1:30" ht="6.75" customHeight="1" x14ac:dyDescent="0.25">
      <c r="A259" s="85">
        <v>259</v>
      </c>
      <c r="B259" s="59" t="s">
        <v>5419</v>
      </c>
      <c r="C259" s="59" t="s">
        <v>1568</v>
      </c>
      <c r="D259" s="59" t="s">
        <v>1916</v>
      </c>
      <c r="E259" s="59" t="s">
        <v>1958</v>
      </c>
      <c r="F259" s="59" t="s">
        <v>1959</v>
      </c>
      <c r="G259" s="81" t="s">
        <v>692</v>
      </c>
      <c r="H259" s="81" t="s">
        <v>692</v>
      </c>
      <c r="I259" s="81" t="s">
        <v>692</v>
      </c>
      <c r="J259" s="81" t="s">
        <v>692</v>
      </c>
      <c r="K259" s="81" t="s">
        <v>692</v>
      </c>
      <c r="L259" s="53" t="str">
        <f t="shared" si="39"/>
        <v>Composições</v>
      </c>
      <c r="M259" s="53" t="str">
        <f t="shared" si="39"/>
        <v>Acessórios</v>
      </c>
      <c r="N259" s="53" t="str">
        <f t="shared" si="42"/>
        <v>Maçanetas</v>
      </c>
      <c r="O259" s="53" t="str">
        <f t="shared" si="42"/>
        <v>Alavanca e Trinco</v>
      </c>
      <c r="P259" s="54" t="s">
        <v>1960</v>
      </c>
      <c r="Q259" s="54" t="s">
        <v>1961</v>
      </c>
      <c r="R259" s="54" t="s">
        <v>6252</v>
      </c>
      <c r="S259" s="54" t="s">
        <v>692</v>
      </c>
      <c r="T259" s="55" t="str">
        <f t="shared" si="41"/>
        <v>Composições</v>
      </c>
      <c r="U259" s="55" t="str">
        <f t="shared" si="41"/>
        <v>Acessórios</v>
      </c>
      <c r="V259" s="55" t="str">
        <f t="shared" si="41"/>
        <v>Maçanetas</v>
      </c>
      <c r="W259" s="54" t="s">
        <v>7259</v>
      </c>
      <c r="X259" s="84" t="str">
        <f t="shared" ref="X259:X322" si="43">CONCATENATE("Key-COD-CT-",A259)</f>
        <v>Key-COD-CT-259</v>
      </c>
      <c r="Y259" s="84" t="s">
        <v>5466</v>
      </c>
      <c r="Z259" s="84" t="s">
        <v>692</v>
      </c>
      <c r="AA259" s="84" t="s">
        <v>5662</v>
      </c>
      <c r="AB259" s="84" t="s">
        <v>692</v>
      </c>
      <c r="AC259" s="84" t="s">
        <v>692</v>
      </c>
      <c r="AD259" s="54" t="s">
        <v>692</v>
      </c>
    </row>
    <row r="260" spans="1:30" ht="6.75" customHeight="1" x14ac:dyDescent="0.25">
      <c r="A260" s="85">
        <v>260</v>
      </c>
      <c r="B260" s="59" t="s">
        <v>5419</v>
      </c>
      <c r="C260" s="59" t="s">
        <v>1568</v>
      </c>
      <c r="D260" s="59" t="s">
        <v>1916</v>
      </c>
      <c r="E260" s="59" t="s">
        <v>1958</v>
      </c>
      <c r="F260" s="59" t="s">
        <v>1962</v>
      </c>
      <c r="G260" s="81" t="s">
        <v>692</v>
      </c>
      <c r="H260" s="81" t="s">
        <v>692</v>
      </c>
      <c r="I260" s="81" t="s">
        <v>692</v>
      </c>
      <c r="J260" s="81" t="s">
        <v>692</v>
      </c>
      <c r="K260" s="81" t="s">
        <v>692</v>
      </c>
      <c r="L260" s="53" t="str">
        <f t="shared" ref="L260:M322" si="44">CONCATENATE("", C260)</f>
        <v>Composições</v>
      </c>
      <c r="M260" s="53" t="str">
        <f t="shared" si="44"/>
        <v>Acessórios</v>
      </c>
      <c r="N260" s="53" t="str">
        <f t="shared" si="42"/>
        <v>Maçanetas</v>
      </c>
      <c r="O260" s="53" t="str">
        <f t="shared" si="42"/>
        <v>Alavanca</v>
      </c>
      <c r="P260" s="54" t="s">
        <v>1963</v>
      </c>
      <c r="Q260" s="54" t="s">
        <v>1964</v>
      </c>
      <c r="R260" s="54" t="s">
        <v>6253</v>
      </c>
      <c r="S260" s="54" t="s">
        <v>692</v>
      </c>
      <c r="T260" s="55" t="str">
        <f t="shared" si="41"/>
        <v>Composições</v>
      </c>
      <c r="U260" s="55" t="str">
        <f t="shared" si="41"/>
        <v>Acessórios</v>
      </c>
      <c r="V260" s="55" t="str">
        <f t="shared" si="41"/>
        <v>Maçanetas</v>
      </c>
      <c r="W260" s="54" t="s">
        <v>7259</v>
      </c>
      <c r="X260" s="84" t="str">
        <f t="shared" si="43"/>
        <v>Key-COD-CT-260</v>
      </c>
      <c r="Y260" s="84" t="s">
        <v>5466</v>
      </c>
      <c r="Z260" s="84" t="s">
        <v>692</v>
      </c>
      <c r="AA260" s="84" t="s">
        <v>5662</v>
      </c>
      <c r="AB260" s="84" t="s">
        <v>692</v>
      </c>
      <c r="AC260" s="84" t="s">
        <v>692</v>
      </c>
      <c r="AD260" s="54" t="s">
        <v>692</v>
      </c>
    </row>
    <row r="261" spans="1:30" ht="6.75" customHeight="1" x14ac:dyDescent="0.25">
      <c r="A261" s="85">
        <v>261</v>
      </c>
      <c r="B261" s="59" t="s">
        <v>5419</v>
      </c>
      <c r="C261" s="59" t="s">
        <v>1568</v>
      </c>
      <c r="D261" s="59" t="s">
        <v>1916</v>
      </c>
      <c r="E261" s="59" t="s">
        <v>1958</v>
      </c>
      <c r="F261" s="59" t="s">
        <v>1965</v>
      </c>
      <c r="G261" s="81" t="s">
        <v>692</v>
      </c>
      <c r="H261" s="81" t="s">
        <v>692</v>
      </c>
      <c r="I261" s="81" t="s">
        <v>692</v>
      </c>
      <c r="J261" s="81" t="s">
        <v>692</v>
      </c>
      <c r="K261" s="81" t="s">
        <v>692</v>
      </c>
      <c r="L261" s="53" t="str">
        <f t="shared" si="44"/>
        <v>Composições</v>
      </c>
      <c r="M261" s="53" t="str">
        <f t="shared" si="44"/>
        <v>Acessórios</v>
      </c>
      <c r="N261" s="53" t="str">
        <f t="shared" si="42"/>
        <v>Maçanetas</v>
      </c>
      <c r="O261" s="53" t="str">
        <f t="shared" si="42"/>
        <v>Esférica</v>
      </c>
      <c r="P261" s="54" t="s">
        <v>1966</v>
      </c>
      <c r="Q261" s="54" t="s">
        <v>1967</v>
      </c>
      <c r="R261" s="54" t="s">
        <v>6254</v>
      </c>
      <c r="S261" s="54" t="s">
        <v>692</v>
      </c>
      <c r="T261" s="55" t="str">
        <f t="shared" si="41"/>
        <v>Composições</v>
      </c>
      <c r="U261" s="55" t="str">
        <f t="shared" si="41"/>
        <v>Acessórios</v>
      </c>
      <c r="V261" s="55" t="str">
        <f t="shared" si="41"/>
        <v>Maçanetas</v>
      </c>
      <c r="W261" s="54" t="s">
        <v>7259</v>
      </c>
      <c r="X261" s="84" t="str">
        <f t="shared" si="43"/>
        <v>Key-COD-CT-261</v>
      </c>
      <c r="Y261" s="84" t="s">
        <v>5466</v>
      </c>
      <c r="Z261" s="84" t="s">
        <v>692</v>
      </c>
      <c r="AA261" s="84" t="s">
        <v>5662</v>
      </c>
      <c r="AB261" s="84" t="s">
        <v>692</v>
      </c>
      <c r="AC261" s="84" t="s">
        <v>692</v>
      </c>
      <c r="AD261" s="54" t="s">
        <v>692</v>
      </c>
    </row>
    <row r="262" spans="1:30" ht="6.75" customHeight="1" x14ac:dyDescent="0.25">
      <c r="A262" s="85">
        <v>262</v>
      </c>
      <c r="B262" s="59" t="s">
        <v>5419</v>
      </c>
      <c r="C262" s="59" t="s">
        <v>1568</v>
      </c>
      <c r="D262" s="59" t="s">
        <v>1916</v>
      </c>
      <c r="E262" s="59" t="s">
        <v>1958</v>
      </c>
      <c r="F262" s="59" t="s">
        <v>1968</v>
      </c>
      <c r="G262" s="81" t="s">
        <v>692</v>
      </c>
      <c r="H262" s="81" t="s">
        <v>692</v>
      </c>
      <c r="I262" s="81" t="s">
        <v>692</v>
      </c>
      <c r="J262" s="81" t="s">
        <v>692</v>
      </c>
      <c r="K262" s="81" t="s">
        <v>692</v>
      </c>
      <c r="L262" s="53" t="str">
        <f t="shared" si="44"/>
        <v>Composições</v>
      </c>
      <c r="M262" s="53" t="str">
        <f t="shared" si="44"/>
        <v>Acessórios</v>
      </c>
      <c r="N262" s="53" t="str">
        <f t="shared" si="42"/>
        <v>Maçanetas</v>
      </c>
      <c r="O262" s="53" t="str">
        <f t="shared" si="42"/>
        <v>Saída Emergência</v>
      </c>
      <c r="P262" s="54" t="s">
        <v>1969</v>
      </c>
      <c r="Q262" s="54" t="s">
        <v>1969</v>
      </c>
      <c r="R262" s="54" t="s">
        <v>6255</v>
      </c>
      <c r="S262" s="54" t="s">
        <v>692</v>
      </c>
      <c r="T262" s="55" t="str">
        <f t="shared" si="41"/>
        <v>Composições</v>
      </c>
      <c r="U262" s="55" t="str">
        <f t="shared" si="41"/>
        <v>Acessórios</v>
      </c>
      <c r="V262" s="55" t="str">
        <f t="shared" si="41"/>
        <v>Maçanetas</v>
      </c>
      <c r="W262" s="54" t="s">
        <v>7259</v>
      </c>
      <c r="X262" s="84" t="str">
        <f t="shared" si="43"/>
        <v>Key-COD-CT-262</v>
      </c>
      <c r="Y262" s="84" t="s">
        <v>5466</v>
      </c>
      <c r="Z262" s="84" t="s">
        <v>692</v>
      </c>
      <c r="AA262" s="84" t="s">
        <v>5662</v>
      </c>
      <c r="AB262" s="84" t="s">
        <v>692</v>
      </c>
      <c r="AC262" s="84" t="s">
        <v>692</v>
      </c>
      <c r="AD262" s="54" t="s">
        <v>692</v>
      </c>
    </row>
    <row r="263" spans="1:30" ht="6.75" customHeight="1" x14ac:dyDescent="0.25">
      <c r="A263" s="85">
        <v>263</v>
      </c>
      <c r="B263" s="59" t="s">
        <v>5419</v>
      </c>
      <c r="C263" s="59" t="s">
        <v>1568</v>
      </c>
      <c r="D263" s="59" t="s">
        <v>1916</v>
      </c>
      <c r="E263" s="59" t="s">
        <v>1970</v>
      </c>
      <c r="F263" s="59" t="s">
        <v>1971</v>
      </c>
      <c r="G263" s="81" t="s">
        <v>692</v>
      </c>
      <c r="H263" s="81" t="s">
        <v>692</v>
      </c>
      <c r="I263" s="81" t="s">
        <v>692</v>
      </c>
      <c r="J263" s="81" t="s">
        <v>692</v>
      </c>
      <c r="K263" s="81" t="s">
        <v>692</v>
      </c>
      <c r="L263" s="53" t="str">
        <f t="shared" si="44"/>
        <v>Composições</v>
      </c>
      <c r="M263" s="53" t="str">
        <f t="shared" si="44"/>
        <v>Acessórios</v>
      </c>
      <c r="N263" s="53" t="str">
        <f t="shared" si="42"/>
        <v>Barras Apoio</v>
      </c>
      <c r="O263" s="53" t="str">
        <f t="shared" si="42"/>
        <v>Barra Reta Sanitário</v>
      </c>
      <c r="P263" s="54" t="s">
        <v>1972</v>
      </c>
      <c r="Q263" s="54" t="s">
        <v>1973</v>
      </c>
      <c r="R263" s="54" t="s">
        <v>6256</v>
      </c>
      <c r="S263" s="54" t="s">
        <v>692</v>
      </c>
      <c r="T263" s="55" t="str">
        <f t="shared" si="41"/>
        <v>Composições</v>
      </c>
      <c r="U263" s="55" t="str">
        <f t="shared" si="41"/>
        <v>Acessórios</v>
      </c>
      <c r="V263" s="55" t="str">
        <f t="shared" si="41"/>
        <v>Barras Apoio</v>
      </c>
      <c r="W263" s="54" t="s">
        <v>7259</v>
      </c>
      <c r="X263" s="84" t="str">
        <f t="shared" si="43"/>
        <v>Key-COD-CT-263</v>
      </c>
      <c r="Y263" s="84" t="s">
        <v>5466</v>
      </c>
      <c r="Z263" s="84" t="s">
        <v>692</v>
      </c>
      <c r="AA263" s="84" t="s">
        <v>5662</v>
      </c>
      <c r="AB263" s="84" t="s">
        <v>692</v>
      </c>
      <c r="AC263" s="84" t="s">
        <v>692</v>
      </c>
      <c r="AD263" s="54" t="s">
        <v>692</v>
      </c>
    </row>
    <row r="264" spans="1:30" ht="6.75" customHeight="1" x14ac:dyDescent="0.25">
      <c r="A264" s="85">
        <v>264</v>
      </c>
      <c r="B264" s="59" t="s">
        <v>5419</v>
      </c>
      <c r="C264" s="59" t="s">
        <v>1568</v>
      </c>
      <c r="D264" s="59" t="s">
        <v>1916</v>
      </c>
      <c r="E264" s="59" t="s">
        <v>1970</v>
      </c>
      <c r="F264" s="59" t="s">
        <v>1974</v>
      </c>
      <c r="G264" s="81" t="s">
        <v>692</v>
      </c>
      <c r="H264" s="81" t="s">
        <v>692</v>
      </c>
      <c r="I264" s="81" t="s">
        <v>692</v>
      </c>
      <c r="J264" s="81" t="s">
        <v>692</v>
      </c>
      <c r="K264" s="81" t="s">
        <v>692</v>
      </c>
      <c r="L264" s="53" t="str">
        <f t="shared" si="44"/>
        <v>Composições</v>
      </c>
      <c r="M264" s="53" t="str">
        <f t="shared" si="44"/>
        <v>Acessórios</v>
      </c>
      <c r="N264" s="53" t="str">
        <f t="shared" si="42"/>
        <v>Barras Apoio</v>
      </c>
      <c r="O264" s="53" t="str">
        <f t="shared" si="42"/>
        <v>Barra Chuveiro Sanitário</v>
      </c>
      <c r="P264" s="54" t="s">
        <v>1975</v>
      </c>
      <c r="Q264" s="54" t="s">
        <v>1976</v>
      </c>
      <c r="R264" s="54" t="s">
        <v>6257</v>
      </c>
      <c r="S264" s="54" t="s">
        <v>692</v>
      </c>
      <c r="T264" s="55" t="str">
        <f t="shared" si="41"/>
        <v>Composições</v>
      </c>
      <c r="U264" s="55" t="str">
        <f t="shared" si="41"/>
        <v>Acessórios</v>
      </c>
      <c r="V264" s="55" t="str">
        <f t="shared" si="41"/>
        <v>Barras Apoio</v>
      </c>
      <c r="W264" s="54" t="s">
        <v>7259</v>
      </c>
      <c r="X264" s="84" t="str">
        <f t="shared" si="43"/>
        <v>Key-COD-CT-264</v>
      </c>
      <c r="Y264" s="84" t="s">
        <v>5466</v>
      </c>
      <c r="Z264" s="84" t="s">
        <v>692</v>
      </c>
      <c r="AA264" s="84" t="s">
        <v>5662</v>
      </c>
      <c r="AB264" s="84" t="s">
        <v>692</v>
      </c>
      <c r="AC264" s="84" t="s">
        <v>692</v>
      </c>
      <c r="AD264" s="54" t="s">
        <v>692</v>
      </c>
    </row>
    <row r="265" spans="1:30" ht="6.75" customHeight="1" x14ac:dyDescent="0.25">
      <c r="A265" s="85">
        <v>265</v>
      </c>
      <c r="B265" s="59" t="s">
        <v>5419</v>
      </c>
      <c r="C265" s="59" t="s">
        <v>1568</v>
      </c>
      <c r="D265" s="59" t="s">
        <v>1916</v>
      </c>
      <c r="E265" s="59" t="s">
        <v>1970</v>
      </c>
      <c r="F265" s="59" t="s">
        <v>1977</v>
      </c>
      <c r="G265" s="81" t="s">
        <v>692</v>
      </c>
      <c r="H265" s="81" t="s">
        <v>692</v>
      </c>
      <c r="I265" s="81" t="s">
        <v>692</v>
      </c>
      <c r="J265" s="81" t="s">
        <v>692</v>
      </c>
      <c r="K265" s="81" t="s">
        <v>692</v>
      </c>
      <c r="L265" s="53" t="str">
        <f t="shared" si="44"/>
        <v>Composições</v>
      </c>
      <c r="M265" s="53" t="str">
        <f t="shared" si="44"/>
        <v>Acessórios</v>
      </c>
      <c r="N265" s="53" t="str">
        <f t="shared" si="42"/>
        <v>Barras Apoio</v>
      </c>
      <c r="O265" s="53" t="str">
        <f t="shared" si="42"/>
        <v>Barra Cantonera Sanitária</v>
      </c>
      <c r="P265" s="54" t="s">
        <v>1978</v>
      </c>
      <c r="Q265" s="54" t="s">
        <v>1979</v>
      </c>
      <c r="R265" s="54" t="s">
        <v>6258</v>
      </c>
      <c r="S265" s="54" t="s">
        <v>692</v>
      </c>
      <c r="T265" s="55" t="str">
        <f t="shared" si="41"/>
        <v>Composições</v>
      </c>
      <c r="U265" s="55" t="str">
        <f t="shared" si="41"/>
        <v>Acessórios</v>
      </c>
      <c r="V265" s="55" t="str">
        <f t="shared" si="41"/>
        <v>Barras Apoio</v>
      </c>
      <c r="W265" s="54" t="s">
        <v>7259</v>
      </c>
      <c r="X265" s="84" t="str">
        <f t="shared" si="43"/>
        <v>Key-COD-CT-265</v>
      </c>
      <c r="Y265" s="84" t="s">
        <v>5466</v>
      </c>
      <c r="Z265" s="84" t="s">
        <v>692</v>
      </c>
      <c r="AA265" s="84" t="s">
        <v>5662</v>
      </c>
      <c r="AB265" s="84" t="s">
        <v>692</v>
      </c>
      <c r="AC265" s="84" t="s">
        <v>692</v>
      </c>
      <c r="AD265" s="54" t="s">
        <v>692</v>
      </c>
    </row>
    <row r="266" spans="1:30" ht="6.75" customHeight="1" x14ac:dyDescent="0.25">
      <c r="A266" s="85">
        <v>266</v>
      </c>
      <c r="B266" s="59" t="s">
        <v>5419</v>
      </c>
      <c r="C266" s="59" t="s">
        <v>1568</v>
      </c>
      <c r="D266" s="59" t="s">
        <v>1916</v>
      </c>
      <c r="E266" s="59" t="s">
        <v>1970</v>
      </c>
      <c r="F266" s="59" t="s">
        <v>1980</v>
      </c>
      <c r="G266" s="81" t="s">
        <v>692</v>
      </c>
      <c r="H266" s="81" t="s">
        <v>692</v>
      </c>
      <c r="I266" s="81" t="s">
        <v>692</v>
      </c>
      <c r="J266" s="81" t="s">
        <v>692</v>
      </c>
      <c r="K266" s="81" t="s">
        <v>692</v>
      </c>
      <c r="L266" s="53" t="str">
        <f t="shared" si="44"/>
        <v>Composições</v>
      </c>
      <c r="M266" s="53" t="str">
        <f t="shared" si="44"/>
        <v>Acessórios</v>
      </c>
      <c r="N266" s="53" t="str">
        <f t="shared" si="42"/>
        <v>Barras Apoio</v>
      </c>
      <c r="O266" s="53" t="str">
        <f t="shared" si="42"/>
        <v>Barra Angular Sanitária</v>
      </c>
      <c r="P266" s="54" t="s">
        <v>1981</v>
      </c>
      <c r="Q266" s="54" t="s">
        <v>1982</v>
      </c>
      <c r="R266" s="54" t="s">
        <v>6259</v>
      </c>
      <c r="S266" s="54" t="s">
        <v>692</v>
      </c>
      <c r="T266" s="55" t="str">
        <f t="shared" si="41"/>
        <v>Composições</v>
      </c>
      <c r="U266" s="55" t="str">
        <f t="shared" si="41"/>
        <v>Acessórios</v>
      </c>
      <c r="V266" s="55" t="str">
        <f t="shared" si="41"/>
        <v>Barras Apoio</v>
      </c>
      <c r="W266" s="54" t="s">
        <v>7259</v>
      </c>
      <c r="X266" s="84" t="str">
        <f t="shared" si="43"/>
        <v>Key-COD-CT-266</v>
      </c>
      <c r="Y266" s="84" t="s">
        <v>5466</v>
      </c>
      <c r="Z266" s="84" t="s">
        <v>692</v>
      </c>
      <c r="AA266" s="84" t="s">
        <v>5662</v>
      </c>
      <c r="AB266" s="84" t="s">
        <v>692</v>
      </c>
      <c r="AC266" s="84" t="s">
        <v>692</v>
      </c>
      <c r="AD266" s="54" t="s">
        <v>692</v>
      </c>
    </row>
    <row r="267" spans="1:30" ht="6.75" customHeight="1" x14ac:dyDescent="0.25">
      <c r="A267" s="85">
        <v>267</v>
      </c>
      <c r="B267" s="59" t="s">
        <v>5419</v>
      </c>
      <c r="C267" s="59" t="s">
        <v>1568</v>
      </c>
      <c r="D267" s="59" t="s">
        <v>1916</v>
      </c>
      <c r="E267" s="59" t="s">
        <v>1970</v>
      </c>
      <c r="F267" s="59" t="s">
        <v>1983</v>
      </c>
      <c r="G267" s="81" t="s">
        <v>692</v>
      </c>
      <c r="H267" s="81" t="s">
        <v>692</v>
      </c>
      <c r="I267" s="81" t="s">
        <v>692</v>
      </c>
      <c r="J267" s="81" t="s">
        <v>692</v>
      </c>
      <c r="K267" s="81" t="s">
        <v>692</v>
      </c>
      <c r="L267" s="53" t="str">
        <f t="shared" si="44"/>
        <v>Composições</v>
      </c>
      <c r="M267" s="53" t="str">
        <f t="shared" si="44"/>
        <v>Acessórios</v>
      </c>
      <c r="N267" s="53" t="str">
        <f t="shared" si="42"/>
        <v>Barras Apoio</v>
      </c>
      <c r="O267" s="53" t="str">
        <f t="shared" si="42"/>
        <v>Barra Articulada</v>
      </c>
      <c r="P267" s="54" t="s">
        <v>1984</v>
      </c>
      <c r="Q267" s="54" t="s">
        <v>1985</v>
      </c>
      <c r="R267" s="54" t="s">
        <v>6260</v>
      </c>
      <c r="S267" s="54" t="s">
        <v>692</v>
      </c>
      <c r="T267" s="55" t="str">
        <f t="shared" si="41"/>
        <v>Composições</v>
      </c>
      <c r="U267" s="55" t="str">
        <f t="shared" si="41"/>
        <v>Acessórios</v>
      </c>
      <c r="V267" s="55" t="str">
        <f t="shared" si="41"/>
        <v>Barras Apoio</v>
      </c>
      <c r="W267" s="54" t="s">
        <v>7259</v>
      </c>
      <c r="X267" s="84" t="str">
        <f t="shared" si="43"/>
        <v>Key-COD-CT-267</v>
      </c>
      <c r="Y267" s="84" t="s">
        <v>5466</v>
      </c>
      <c r="Z267" s="84" t="s">
        <v>692</v>
      </c>
      <c r="AA267" s="84" t="s">
        <v>5662</v>
      </c>
      <c r="AB267" s="84" t="s">
        <v>692</v>
      </c>
      <c r="AC267" s="84" t="s">
        <v>692</v>
      </c>
      <c r="AD267" s="54" t="s">
        <v>692</v>
      </c>
    </row>
    <row r="268" spans="1:30" ht="6.75" customHeight="1" x14ac:dyDescent="0.25">
      <c r="A268" s="85">
        <v>268</v>
      </c>
      <c r="B268" s="59" t="s">
        <v>5419</v>
      </c>
      <c r="C268" s="59" t="s">
        <v>1568</v>
      </c>
      <c r="D268" s="59" t="s">
        <v>1916</v>
      </c>
      <c r="E268" s="59" t="s">
        <v>1970</v>
      </c>
      <c r="F268" s="59" t="s">
        <v>1986</v>
      </c>
      <c r="G268" s="81" t="s">
        <v>692</v>
      </c>
      <c r="H268" s="81" t="s">
        <v>692</v>
      </c>
      <c r="I268" s="81" t="s">
        <v>692</v>
      </c>
      <c r="J268" s="81" t="s">
        <v>692</v>
      </c>
      <c r="K268" s="81" t="s">
        <v>692</v>
      </c>
      <c r="L268" s="53" t="str">
        <f t="shared" si="44"/>
        <v>Composições</v>
      </c>
      <c r="M268" s="53" t="str">
        <f t="shared" si="44"/>
        <v>Acessórios</v>
      </c>
      <c r="N268" s="53" t="str">
        <f t="shared" si="42"/>
        <v>Barras Apoio</v>
      </c>
      <c r="O268" s="53" t="str">
        <f t="shared" si="42"/>
        <v>Barra Articulada com Coluna</v>
      </c>
      <c r="P268" s="54" t="s">
        <v>1987</v>
      </c>
      <c r="Q268" s="54" t="s">
        <v>1988</v>
      </c>
      <c r="R268" s="54" t="s">
        <v>6261</v>
      </c>
      <c r="S268" s="54" t="s">
        <v>692</v>
      </c>
      <c r="T268" s="55" t="str">
        <f t="shared" si="41"/>
        <v>Composições</v>
      </c>
      <c r="U268" s="55" t="str">
        <f t="shared" si="41"/>
        <v>Acessórios</v>
      </c>
      <c r="V268" s="55" t="str">
        <f t="shared" si="41"/>
        <v>Barras Apoio</v>
      </c>
      <c r="W268" s="54" t="s">
        <v>7259</v>
      </c>
      <c r="X268" s="84" t="str">
        <f t="shared" si="43"/>
        <v>Key-COD-CT-268</v>
      </c>
      <c r="Y268" s="84" t="s">
        <v>5466</v>
      </c>
      <c r="Z268" s="84" t="s">
        <v>692</v>
      </c>
      <c r="AA268" s="84" t="s">
        <v>5662</v>
      </c>
      <c r="AB268" s="84" t="s">
        <v>692</v>
      </c>
      <c r="AC268" s="84" t="s">
        <v>692</v>
      </c>
      <c r="AD268" s="54" t="s">
        <v>692</v>
      </c>
    </row>
    <row r="269" spans="1:30" ht="6.75" customHeight="1" x14ac:dyDescent="0.25">
      <c r="A269" s="85">
        <v>269</v>
      </c>
      <c r="B269" s="59" t="s">
        <v>5419</v>
      </c>
      <c r="C269" s="59" t="s">
        <v>1568</v>
      </c>
      <c r="D269" s="59" t="s">
        <v>1916</v>
      </c>
      <c r="E269" s="59" t="s">
        <v>1989</v>
      </c>
      <c r="F269" s="59" t="s">
        <v>1990</v>
      </c>
      <c r="G269" s="81" t="s">
        <v>692</v>
      </c>
      <c r="H269" s="81" t="s">
        <v>692</v>
      </c>
      <c r="I269" s="81" t="s">
        <v>692</v>
      </c>
      <c r="J269" s="81" t="s">
        <v>692</v>
      </c>
      <c r="K269" s="81" t="s">
        <v>692</v>
      </c>
      <c r="L269" s="53" t="str">
        <f t="shared" si="44"/>
        <v>Composições</v>
      </c>
      <c r="M269" s="53" t="str">
        <f t="shared" si="44"/>
        <v>Acessórios</v>
      </c>
      <c r="N269" s="53" t="str">
        <f t="shared" si="42"/>
        <v>Dobradiças</v>
      </c>
      <c r="O269" s="53" t="str">
        <f t="shared" si="42"/>
        <v>Automática</v>
      </c>
      <c r="P269" s="54" t="s">
        <v>1991</v>
      </c>
      <c r="Q269" s="57" t="s">
        <v>1992</v>
      </c>
      <c r="R269" s="54" t="s">
        <v>6262</v>
      </c>
      <c r="S269" s="54" t="s">
        <v>692</v>
      </c>
      <c r="T269" s="55" t="str">
        <f t="shared" si="41"/>
        <v>Composições</v>
      </c>
      <c r="U269" s="55" t="str">
        <f t="shared" si="41"/>
        <v>Acessórios</v>
      </c>
      <c r="V269" s="55" t="str">
        <f t="shared" si="41"/>
        <v>Dobradiças</v>
      </c>
      <c r="W269" s="54" t="s">
        <v>7259</v>
      </c>
      <c r="X269" s="84" t="str">
        <f t="shared" si="43"/>
        <v>Key-COD-CT-269</v>
      </c>
      <c r="Y269" s="84" t="s">
        <v>5466</v>
      </c>
      <c r="Z269" s="84" t="s">
        <v>692</v>
      </c>
      <c r="AA269" s="84" t="s">
        <v>5662</v>
      </c>
      <c r="AB269" s="84" t="s">
        <v>692</v>
      </c>
      <c r="AC269" s="84" t="s">
        <v>692</v>
      </c>
      <c r="AD269" s="54" t="s">
        <v>692</v>
      </c>
    </row>
    <row r="270" spans="1:30" ht="6.75" customHeight="1" x14ac:dyDescent="0.25">
      <c r="A270" s="85">
        <v>270</v>
      </c>
      <c r="B270" s="59" t="s">
        <v>5419</v>
      </c>
      <c r="C270" s="59" t="s">
        <v>1993</v>
      </c>
      <c r="D270" s="59" t="s">
        <v>1994</v>
      </c>
      <c r="E270" s="59" t="s">
        <v>1995</v>
      </c>
      <c r="F270" s="59" t="s">
        <v>1996</v>
      </c>
      <c r="G270" s="81" t="s">
        <v>692</v>
      </c>
      <c r="H270" s="81" t="s">
        <v>692</v>
      </c>
      <c r="I270" s="81" t="s">
        <v>692</v>
      </c>
      <c r="J270" s="81" t="s">
        <v>692</v>
      </c>
      <c r="K270" s="81" t="s">
        <v>692</v>
      </c>
      <c r="L270" s="53" t="str">
        <f t="shared" si="44"/>
        <v>Aberturas</v>
      </c>
      <c r="M270" s="53" t="str">
        <f t="shared" si="44"/>
        <v>Atmósfera.Lateral</v>
      </c>
      <c r="N270" s="53" t="str">
        <f t="shared" si="42"/>
        <v>Janelas</v>
      </c>
      <c r="O270" s="53" t="str">
        <f t="shared" si="42"/>
        <v>Janela Aberta</v>
      </c>
      <c r="P270" s="54" t="s">
        <v>1997</v>
      </c>
      <c r="Q270" s="57" t="s">
        <v>1998</v>
      </c>
      <c r="R270" s="54" t="s">
        <v>6263</v>
      </c>
      <c r="S270" s="54" t="s">
        <v>692</v>
      </c>
      <c r="T270" s="55" t="str">
        <f t="shared" si="41"/>
        <v>Aberturas</v>
      </c>
      <c r="U270" s="55" t="str">
        <f t="shared" si="41"/>
        <v>Atmósfera Lateral</v>
      </c>
      <c r="V270" s="55" t="str">
        <f t="shared" si="41"/>
        <v>Janelas</v>
      </c>
      <c r="W270" s="54" t="s">
        <v>7259</v>
      </c>
      <c r="X270" s="84" t="str">
        <f t="shared" si="43"/>
        <v>Key-COD-CT-270</v>
      </c>
      <c r="Y270" s="84" t="s">
        <v>5499</v>
      </c>
      <c r="Z270" s="84" t="s">
        <v>692</v>
      </c>
      <c r="AA270" s="84" t="s">
        <v>5625</v>
      </c>
      <c r="AB270" s="84" t="s">
        <v>692</v>
      </c>
      <c r="AC270" s="84" t="s">
        <v>692</v>
      </c>
      <c r="AD270" s="54" t="s">
        <v>692</v>
      </c>
    </row>
    <row r="271" spans="1:30" ht="6.75" customHeight="1" x14ac:dyDescent="0.25">
      <c r="A271" s="85">
        <v>271</v>
      </c>
      <c r="B271" s="59" t="s">
        <v>5419</v>
      </c>
      <c r="C271" s="59" t="s">
        <v>1993</v>
      </c>
      <c r="D271" s="59" t="s">
        <v>1994</v>
      </c>
      <c r="E271" s="59" t="s">
        <v>1995</v>
      </c>
      <c r="F271" s="59" t="s">
        <v>1999</v>
      </c>
      <c r="G271" s="81" t="s">
        <v>692</v>
      </c>
      <c r="H271" s="81" t="s">
        <v>692</v>
      </c>
      <c r="I271" s="81" t="s">
        <v>692</v>
      </c>
      <c r="J271" s="81" t="s">
        <v>692</v>
      </c>
      <c r="K271" s="81" t="s">
        <v>692</v>
      </c>
      <c r="L271" s="53" t="str">
        <f t="shared" si="44"/>
        <v>Aberturas</v>
      </c>
      <c r="M271" s="53" t="str">
        <f t="shared" si="44"/>
        <v>Atmósfera.Lateral</v>
      </c>
      <c r="N271" s="53" t="str">
        <f t="shared" si="42"/>
        <v>Janelas</v>
      </c>
      <c r="O271" s="53" t="str">
        <f t="shared" si="42"/>
        <v>Janela Fixa</v>
      </c>
      <c r="P271" s="54" t="s">
        <v>2000</v>
      </c>
      <c r="Q271" s="57" t="s">
        <v>2001</v>
      </c>
      <c r="R271" s="54" t="s">
        <v>6264</v>
      </c>
      <c r="S271" s="54" t="s">
        <v>692</v>
      </c>
      <c r="T271" s="55" t="str">
        <f t="shared" si="41"/>
        <v>Aberturas</v>
      </c>
      <c r="U271" s="55" t="str">
        <f t="shared" si="41"/>
        <v>Atmósfera Lateral</v>
      </c>
      <c r="V271" s="55" t="str">
        <f t="shared" si="41"/>
        <v>Janelas</v>
      </c>
      <c r="W271" s="54" t="s">
        <v>7259</v>
      </c>
      <c r="X271" s="84" t="str">
        <f t="shared" si="43"/>
        <v>Key-COD-CT-271</v>
      </c>
      <c r="Y271" s="84" t="s">
        <v>5499</v>
      </c>
      <c r="Z271" s="84" t="s">
        <v>692</v>
      </c>
      <c r="AA271" s="84" t="s">
        <v>5625</v>
      </c>
      <c r="AB271" s="84" t="s">
        <v>692</v>
      </c>
      <c r="AC271" s="84" t="s">
        <v>692</v>
      </c>
      <c r="AD271" s="54" t="s">
        <v>692</v>
      </c>
    </row>
    <row r="272" spans="1:30" ht="6.75" customHeight="1" x14ac:dyDescent="0.25">
      <c r="A272" s="85">
        <v>272</v>
      </c>
      <c r="B272" s="59" t="s">
        <v>5419</v>
      </c>
      <c r="C272" s="59" t="s">
        <v>1993</v>
      </c>
      <c r="D272" s="59" t="s">
        <v>1994</v>
      </c>
      <c r="E272" s="59" t="s">
        <v>1995</v>
      </c>
      <c r="F272" s="59" t="s">
        <v>2002</v>
      </c>
      <c r="G272" s="81" t="s">
        <v>692</v>
      </c>
      <c r="H272" s="81" t="s">
        <v>692</v>
      </c>
      <c r="I272" s="81" t="s">
        <v>692</v>
      </c>
      <c r="J272" s="81" t="s">
        <v>692</v>
      </c>
      <c r="K272" s="81" t="s">
        <v>692</v>
      </c>
      <c r="L272" s="53" t="str">
        <f t="shared" si="44"/>
        <v>Aberturas</v>
      </c>
      <c r="M272" s="53" t="str">
        <f t="shared" si="44"/>
        <v>Atmósfera.Lateral</v>
      </c>
      <c r="N272" s="53" t="str">
        <f t="shared" si="42"/>
        <v>Janelas</v>
      </c>
      <c r="O272" s="53" t="str">
        <f t="shared" si="42"/>
        <v>Janela Batente</v>
      </c>
      <c r="P272" s="54" t="s">
        <v>2003</v>
      </c>
      <c r="Q272" s="57" t="s">
        <v>2004</v>
      </c>
      <c r="R272" s="54" t="s">
        <v>6265</v>
      </c>
      <c r="S272" s="54" t="s">
        <v>692</v>
      </c>
      <c r="T272" s="55" t="str">
        <f t="shared" si="41"/>
        <v>Aberturas</v>
      </c>
      <c r="U272" s="55" t="str">
        <f t="shared" si="41"/>
        <v>Atmósfera Lateral</v>
      </c>
      <c r="V272" s="55" t="str">
        <f t="shared" si="41"/>
        <v>Janelas</v>
      </c>
      <c r="W272" s="54" t="s">
        <v>7259</v>
      </c>
      <c r="X272" s="84" t="str">
        <f t="shared" si="43"/>
        <v>Key-COD-CT-272</v>
      </c>
      <c r="Y272" s="84" t="s">
        <v>5499</v>
      </c>
      <c r="Z272" s="84" t="s">
        <v>692</v>
      </c>
      <c r="AA272" s="84" t="s">
        <v>5625</v>
      </c>
      <c r="AB272" s="84" t="s">
        <v>692</v>
      </c>
      <c r="AC272" s="84" t="s">
        <v>692</v>
      </c>
      <c r="AD272" s="54" t="s">
        <v>692</v>
      </c>
    </row>
    <row r="273" spans="1:30" ht="6.75" customHeight="1" x14ac:dyDescent="0.25">
      <c r="A273" s="85">
        <v>273</v>
      </c>
      <c r="B273" s="59" t="s">
        <v>5419</v>
      </c>
      <c r="C273" s="59" t="s">
        <v>1993</v>
      </c>
      <c r="D273" s="59" t="s">
        <v>1994</v>
      </c>
      <c r="E273" s="59" t="s">
        <v>1995</v>
      </c>
      <c r="F273" s="59" t="s">
        <v>2005</v>
      </c>
      <c r="G273" s="81" t="s">
        <v>692</v>
      </c>
      <c r="H273" s="81" t="s">
        <v>692</v>
      </c>
      <c r="I273" s="81" t="s">
        <v>692</v>
      </c>
      <c r="J273" s="81" t="s">
        <v>692</v>
      </c>
      <c r="K273" s="81" t="s">
        <v>692</v>
      </c>
      <c r="L273" s="53" t="str">
        <f t="shared" si="44"/>
        <v>Aberturas</v>
      </c>
      <c r="M273" s="53" t="str">
        <f t="shared" si="44"/>
        <v>Atmósfera.Lateral</v>
      </c>
      <c r="N273" s="53" t="str">
        <f t="shared" si="42"/>
        <v>Janelas</v>
      </c>
      <c r="O273" s="53" t="str">
        <f t="shared" si="42"/>
        <v>Janela Corrediça</v>
      </c>
      <c r="P273" s="54" t="s">
        <v>2006</v>
      </c>
      <c r="Q273" s="57" t="s">
        <v>2007</v>
      </c>
      <c r="R273" s="54" t="s">
        <v>6266</v>
      </c>
      <c r="S273" s="54" t="s">
        <v>692</v>
      </c>
      <c r="T273" s="55" t="str">
        <f t="shared" si="41"/>
        <v>Aberturas</v>
      </c>
      <c r="U273" s="55" t="str">
        <f t="shared" si="41"/>
        <v>Atmósfera Lateral</v>
      </c>
      <c r="V273" s="55" t="str">
        <f t="shared" si="41"/>
        <v>Janelas</v>
      </c>
      <c r="W273" s="54" t="s">
        <v>7259</v>
      </c>
      <c r="X273" s="84" t="str">
        <f t="shared" si="43"/>
        <v>Key-COD-CT-273</v>
      </c>
      <c r="Y273" s="84" t="s">
        <v>5499</v>
      </c>
      <c r="Z273" s="84" t="s">
        <v>692</v>
      </c>
      <c r="AA273" s="84" t="s">
        <v>5625</v>
      </c>
      <c r="AB273" s="84" t="s">
        <v>692</v>
      </c>
      <c r="AC273" s="84" t="s">
        <v>692</v>
      </c>
      <c r="AD273" s="54" t="s">
        <v>692</v>
      </c>
    </row>
    <row r="274" spans="1:30" ht="6.75" customHeight="1" x14ac:dyDescent="0.25">
      <c r="A274" s="85">
        <v>274</v>
      </c>
      <c r="B274" s="59" t="s">
        <v>5419</v>
      </c>
      <c r="C274" s="59" t="s">
        <v>1993</v>
      </c>
      <c r="D274" s="59" t="s">
        <v>1994</v>
      </c>
      <c r="E274" s="59" t="s">
        <v>1995</v>
      </c>
      <c r="F274" s="59" t="s">
        <v>2008</v>
      </c>
      <c r="G274" s="81" t="s">
        <v>692</v>
      </c>
      <c r="H274" s="81" t="s">
        <v>692</v>
      </c>
      <c r="I274" s="81" t="s">
        <v>692</v>
      </c>
      <c r="J274" s="81" t="s">
        <v>692</v>
      </c>
      <c r="K274" s="81" t="s">
        <v>692</v>
      </c>
      <c r="L274" s="53" t="str">
        <f t="shared" si="44"/>
        <v>Aberturas</v>
      </c>
      <c r="M274" s="53" t="str">
        <f t="shared" si="44"/>
        <v>Atmósfera.Lateral</v>
      </c>
      <c r="N274" s="53" t="str">
        <f t="shared" si="42"/>
        <v>Janelas</v>
      </c>
      <c r="O274" s="53" t="str">
        <f t="shared" si="42"/>
        <v>Janela Pivotante</v>
      </c>
      <c r="P274" s="54" t="s">
        <v>2009</v>
      </c>
      <c r="Q274" s="57" t="s">
        <v>2010</v>
      </c>
      <c r="R274" s="54" t="s">
        <v>6267</v>
      </c>
      <c r="S274" s="54" t="s">
        <v>692</v>
      </c>
      <c r="T274" s="55" t="str">
        <f t="shared" si="41"/>
        <v>Aberturas</v>
      </c>
      <c r="U274" s="55" t="str">
        <f t="shared" si="41"/>
        <v>Atmósfera Lateral</v>
      </c>
      <c r="V274" s="55" t="str">
        <f t="shared" si="41"/>
        <v>Janelas</v>
      </c>
      <c r="W274" s="54" t="s">
        <v>7259</v>
      </c>
      <c r="X274" s="84" t="str">
        <f t="shared" si="43"/>
        <v>Key-COD-CT-274</v>
      </c>
      <c r="Y274" s="84" t="s">
        <v>5499</v>
      </c>
      <c r="Z274" s="84" t="s">
        <v>692</v>
      </c>
      <c r="AA274" s="84" t="s">
        <v>5625</v>
      </c>
      <c r="AB274" s="84" t="s">
        <v>692</v>
      </c>
      <c r="AC274" s="84" t="s">
        <v>692</v>
      </c>
      <c r="AD274" s="54" t="s">
        <v>692</v>
      </c>
    </row>
    <row r="275" spans="1:30" ht="6.75" customHeight="1" x14ac:dyDescent="0.25">
      <c r="A275" s="85">
        <v>275</v>
      </c>
      <c r="B275" s="59" t="s">
        <v>5419</v>
      </c>
      <c r="C275" s="59" t="s">
        <v>1993</v>
      </c>
      <c r="D275" s="59" t="s">
        <v>1994</v>
      </c>
      <c r="E275" s="59" t="s">
        <v>1995</v>
      </c>
      <c r="F275" s="59" t="s">
        <v>2011</v>
      </c>
      <c r="G275" s="81" t="s">
        <v>692</v>
      </c>
      <c r="H275" s="81" t="s">
        <v>692</v>
      </c>
      <c r="I275" s="81" t="s">
        <v>692</v>
      </c>
      <c r="J275" s="81" t="s">
        <v>692</v>
      </c>
      <c r="K275" s="81" t="s">
        <v>692</v>
      </c>
      <c r="L275" s="53" t="str">
        <f t="shared" si="44"/>
        <v>Aberturas</v>
      </c>
      <c r="M275" s="53" t="str">
        <f t="shared" si="44"/>
        <v>Atmósfera.Lateral</v>
      </c>
      <c r="N275" s="53" t="str">
        <f t="shared" si="42"/>
        <v>Janelas</v>
      </c>
      <c r="O275" s="53" t="str">
        <f t="shared" si="42"/>
        <v>Janela Guilhotina</v>
      </c>
      <c r="P275" s="54" t="s">
        <v>2012</v>
      </c>
      <c r="Q275" s="57" t="s">
        <v>2013</v>
      </c>
      <c r="R275" s="54" t="s">
        <v>6268</v>
      </c>
      <c r="S275" s="54" t="s">
        <v>692</v>
      </c>
      <c r="T275" s="55" t="str">
        <f t="shared" si="41"/>
        <v>Aberturas</v>
      </c>
      <c r="U275" s="55" t="str">
        <f t="shared" si="41"/>
        <v>Atmósfera Lateral</v>
      </c>
      <c r="V275" s="55" t="str">
        <f t="shared" si="41"/>
        <v>Janelas</v>
      </c>
      <c r="W275" s="54" t="s">
        <v>7259</v>
      </c>
      <c r="X275" s="84" t="str">
        <f t="shared" si="43"/>
        <v>Key-COD-CT-275</v>
      </c>
      <c r="Y275" s="84" t="s">
        <v>5499</v>
      </c>
      <c r="Z275" s="84" t="s">
        <v>692</v>
      </c>
      <c r="AA275" s="84" t="s">
        <v>5625</v>
      </c>
      <c r="AB275" s="84" t="s">
        <v>692</v>
      </c>
      <c r="AC275" s="84" t="s">
        <v>692</v>
      </c>
      <c r="AD275" s="54" t="s">
        <v>692</v>
      </c>
    </row>
    <row r="276" spans="1:30" ht="6.75" customHeight="1" x14ac:dyDescent="0.25">
      <c r="A276" s="85">
        <v>276</v>
      </c>
      <c r="B276" s="59" t="s">
        <v>5419</v>
      </c>
      <c r="C276" s="59" t="s">
        <v>1993</v>
      </c>
      <c r="D276" s="59" t="s">
        <v>1994</v>
      </c>
      <c r="E276" s="59" t="s">
        <v>1995</v>
      </c>
      <c r="F276" s="59" t="s">
        <v>2014</v>
      </c>
      <c r="G276" s="81" t="s">
        <v>692</v>
      </c>
      <c r="H276" s="81" t="s">
        <v>692</v>
      </c>
      <c r="I276" s="81" t="s">
        <v>692</v>
      </c>
      <c r="J276" s="81" t="s">
        <v>692</v>
      </c>
      <c r="K276" s="81" t="s">
        <v>692</v>
      </c>
      <c r="L276" s="53" t="str">
        <f t="shared" si="44"/>
        <v>Aberturas</v>
      </c>
      <c r="M276" s="53" t="str">
        <f t="shared" si="44"/>
        <v>Atmósfera.Lateral</v>
      </c>
      <c r="N276" s="53" t="str">
        <f t="shared" si="42"/>
        <v>Janelas</v>
      </c>
      <c r="O276" s="53" t="str">
        <f t="shared" si="42"/>
        <v>Janela MaximAr</v>
      </c>
      <c r="P276" s="54" t="s">
        <v>2015</v>
      </c>
      <c r="Q276" s="57" t="s">
        <v>2016</v>
      </c>
      <c r="R276" s="54" t="s">
        <v>6269</v>
      </c>
      <c r="S276" s="54" t="s">
        <v>692</v>
      </c>
      <c r="T276" s="55" t="str">
        <f t="shared" si="41"/>
        <v>Aberturas</v>
      </c>
      <c r="U276" s="55" t="str">
        <f t="shared" si="41"/>
        <v>Atmósfera Lateral</v>
      </c>
      <c r="V276" s="55" t="str">
        <f t="shared" si="41"/>
        <v>Janelas</v>
      </c>
      <c r="W276" s="54" t="s">
        <v>7259</v>
      </c>
      <c r="X276" s="84" t="str">
        <f t="shared" si="43"/>
        <v>Key-COD-CT-276</v>
      </c>
      <c r="Y276" s="84" t="s">
        <v>5499</v>
      </c>
      <c r="Z276" s="84" t="s">
        <v>692</v>
      </c>
      <c r="AA276" s="84" t="s">
        <v>5625</v>
      </c>
      <c r="AB276" s="84" t="s">
        <v>692</v>
      </c>
      <c r="AC276" s="84" t="s">
        <v>692</v>
      </c>
      <c r="AD276" s="54" t="s">
        <v>692</v>
      </c>
    </row>
    <row r="277" spans="1:30" ht="6.75" customHeight="1" x14ac:dyDescent="0.25">
      <c r="A277" s="85">
        <v>277</v>
      </c>
      <c r="B277" s="59" t="s">
        <v>5419</v>
      </c>
      <c r="C277" s="59" t="s">
        <v>1993</v>
      </c>
      <c r="D277" s="59" t="s">
        <v>1994</v>
      </c>
      <c r="E277" s="59" t="s">
        <v>1995</v>
      </c>
      <c r="F277" s="59" t="s">
        <v>2017</v>
      </c>
      <c r="G277" s="81" t="s">
        <v>692</v>
      </c>
      <c r="H277" s="81" t="s">
        <v>692</v>
      </c>
      <c r="I277" s="81" t="s">
        <v>692</v>
      </c>
      <c r="J277" s="81" t="s">
        <v>692</v>
      </c>
      <c r="K277" s="81" t="s">
        <v>692</v>
      </c>
      <c r="L277" s="53" t="str">
        <f t="shared" si="44"/>
        <v>Aberturas</v>
      </c>
      <c r="M277" s="53" t="str">
        <f t="shared" si="44"/>
        <v>Atmósfera.Lateral</v>
      </c>
      <c r="N277" s="53" t="str">
        <f t="shared" si="42"/>
        <v>Janelas</v>
      </c>
      <c r="O277" s="53" t="str">
        <f t="shared" si="42"/>
        <v>Janela Basculante</v>
      </c>
      <c r="P277" s="54" t="s">
        <v>2018</v>
      </c>
      <c r="Q277" s="57" t="s">
        <v>2019</v>
      </c>
      <c r="R277" s="54" t="s">
        <v>6270</v>
      </c>
      <c r="S277" s="54" t="s">
        <v>692</v>
      </c>
      <c r="T277" s="55" t="str">
        <f t="shared" si="41"/>
        <v>Aberturas</v>
      </c>
      <c r="U277" s="55" t="str">
        <f t="shared" si="41"/>
        <v>Atmósfera Lateral</v>
      </c>
      <c r="V277" s="55" t="str">
        <f t="shared" si="41"/>
        <v>Janelas</v>
      </c>
      <c r="W277" s="54" t="s">
        <v>7259</v>
      </c>
      <c r="X277" s="84" t="str">
        <f t="shared" si="43"/>
        <v>Key-COD-CT-277</v>
      </c>
      <c r="Y277" s="84" t="s">
        <v>5499</v>
      </c>
      <c r="Z277" s="84" t="s">
        <v>692</v>
      </c>
      <c r="AA277" s="84" t="s">
        <v>5625</v>
      </c>
      <c r="AB277" s="84" t="s">
        <v>692</v>
      </c>
      <c r="AC277" s="84" t="s">
        <v>692</v>
      </c>
      <c r="AD277" s="54" t="s">
        <v>692</v>
      </c>
    </row>
    <row r="278" spans="1:30" ht="6.75" customHeight="1" x14ac:dyDescent="0.25">
      <c r="A278" s="85">
        <v>278</v>
      </c>
      <c r="B278" s="59" t="s">
        <v>5419</v>
      </c>
      <c r="C278" s="59" t="s">
        <v>1993</v>
      </c>
      <c r="D278" s="59" t="s">
        <v>1994</v>
      </c>
      <c r="E278" s="59" t="s">
        <v>1995</v>
      </c>
      <c r="F278" s="59" t="s">
        <v>2020</v>
      </c>
      <c r="G278" s="81" t="s">
        <v>692</v>
      </c>
      <c r="H278" s="81" t="s">
        <v>692</v>
      </c>
      <c r="I278" s="81" t="s">
        <v>692</v>
      </c>
      <c r="J278" s="81" t="s">
        <v>692</v>
      </c>
      <c r="K278" s="81" t="s">
        <v>692</v>
      </c>
      <c r="L278" s="53" t="str">
        <f t="shared" si="44"/>
        <v>Aberturas</v>
      </c>
      <c r="M278" s="53" t="str">
        <f t="shared" si="44"/>
        <v>Atmósfera.Lateral</v>
      </c>
      <c r="N278" s="53" t="str">
        <f t="shared" si="42"/>
        <v>Janelas</v>
      </c>
      <c r="O278" s="53" t="str">
        <f t="shared" si="42"/>
        <v>Janela Oscilobatente</v>
      </c>
      <c r="P278" s="54" t="s">
        <v>2021</v>
      </c>
      <c r="Q278" s="57" t="s">
        <v>2022</v>
      </c>
      <c r="R278" s="54" t="s">
        <v>6271</v>
      </c>
      <c r="S278" s="54" t="s">
        <v>692</v>
      </c>
      <c r="T278" s="55" t="str">
        <f t="shared" si="41"/>
        <v>Aberturas</v>
      </c>
      <c r="U278" s="55" t="str">
        <f t="shared" si="41"/>
        <v>Atmósfera Lateral</v>
      </c>
      <c r="V278" s="55" t="str">
        <f t="shared" si="41"/>
        <v>Janelas</v>
      </c>
      <c r="W278" s="54" t="s">
        <v>7259</v>
      </c>
      <c r="X278" s="84" t="str">
        <f t="shared" si="43"/>
        <v>Key-COD-CT-278</v>
      </c>
      <c r="Y278" s="84" t="s">
        <v>5499</v>
      </c>
      <c r="Z278" s="84" t="s">
        <v>692</v>
      </c>
      <c r="AA278" s="84" t="s">
        <v>5625</v>
      </c>
      <c r="AB278" s="84" t="s">
        <v>692</v>
      </c>
      <c r="AC278" s="84" t="s">
        <v>692</v>
      </c>
      <c r="AD278" s="54" t="s">
        <v>692</v>
      </c>
    </row>
    <row r="279" spans="1:30" ht="6.75" customHeight="1" x14ac:dyDescent="0.25">
      <c r="A279" s="85">
        <v>279</v>
      </c>
      <c r="B279" s="59" t="s">
        <v>5419</v>
      </c>
      <c r="C279" s="59" t="s">
        <v>1993</v>
      </c>
      <c r="D279" s="59" t="s">
        <v>1994</v>
      </c>
      <c r="E279" s="59" t="s">
        <v>1995</v>
      </c>
      <c r="F279" s="59" t="s">
        <v>2023</v>
      </c>
      <c r="G279" s="81" t="s">
        <v>692</v>
      </c>
      <c r="H279" s="81" t="s">
        <v>692</v>
      </c>
      <c r="I279" s="81" t="s">
        <v>692</v>
      </c>
      <c r="J279" s="81" t="s">
        <v>692</v>
      </c>
      <c r="K279" s="81" t="s">
        <v>692</v>
      </c>
      <c r="L279" s="53" t="str">
        <f t="shared" si="44"/>
        <v>Aberturas</v>
      </c>
      <c r="M279" s="53" t="str">
        <f t="shared" si="44"/>
        <v>Atmósfera.Lateral</v>
      </c>
      <c r="N279" s="53" t="str">
        <f t="shared" si="42"/>
        <v>Janelas</v>
      </c>
      <c r="O279" s="53" t="str">
        <f t="shared" si="42"/>
        <v>Janela Telescópica</v>
      </c>
      <c r="P279" s="54" t="s">
        <v>2024</v>
      </c>
      <c r="Q279" s="57" t="s">
        <v>2025</v>
      </c>
      <c r="R279" s="54" t="s">
        <v>6272</v>
      </c>
      <c r="S279" s="54" t="s">
        <v>692</v>
      </c>
      <c r="T279" s="55" t="str">
        <f t="shared" si="41"/>
        <v>Aberturas</v>
      </c>
      <c r="U279" s="55" t="str">
        <f t="shared" si="41"/>
        <v>Atmósfera Lateral</v>
      </c>
      <c r="V279" s="55" t="str">
        <f t="shared" si="41"/>
        <v>Janelas</v>
      </c>
      <c r="W279" s="54" t="s">
        <v>7259</v>
      </c>
      <c r="X279" s="84" t="str">
        <f t="shared" si="43"/>
        <v>Key-COD-CT-279</v>
      </c>
      <c r="Y279" s="84" t="s">
        <v>5499</v>
      </c>
      <c r="Z279" s="84" t="s">
        <v>692</v>
      </c>
      <c r="AA279" s="84" t="s">
        <v>5625</v>
      </c>
      <c r="AB279" s="84" t="s">
        <v>692</v>
      </c>
      <c r="AC279" s="84" t="s">
        <v>692</v>
      </c>
      <c r="AD279" s="54" t="s">
        <v>692</v>
      </c>
    </row>
    <row r="280" spans="1:30" ht="6.75" customHeight="1" x14ac:dyDescent="0.25">
      <c r="A280" s="85">
        <v>280</v>
      </c>
      <c r="B280" s="59" t="s">
        <v>5419</v>
      </c>
      <c r="C280" s="59" t="s">
        <v>1993</v>
      </c>
      <c r="D280" s="59" t="s">
        <v>1994</v>
      </c>
      <c r="E280" s="59" t="s">
        <v>1995</v>
      </c>
      <c r="F280" s="59" t="s">
        <v>2026</v>
      </c>
      <c r="G280" s="81" t="s">
        <v>692</v>
      </c>
      <c r="H280" s="81" t="s">
        <v>692</v>
      </c>
      <c r="I280" s="81" t="s">
        <v>692</v>
      </c>
      <c r="J280" s="81" t="s">
        <v>692</v>
      </c>
      <c r="K280" s="81" t="s">
        <v>692</v>
      </c>
      <c r="L280" s="53" t="str">
        <f t="shared" si="44"/>
        <v>Aberturas</v>
      </c>
      <c r="M280" s="53" t="str">
        <f t="shared" si="44"/>
        <v>Atmósfera.Lateral</v>
      </c>
      <c r="N280" s="53" t="str">
        <f t="shared" si="42"/>
        <v>Janelas</v>
      </c>
      <c r="O280" s="53" t="str">
        <f t="shared" si="42"/>
        <v>Janela Veneziana</v>
      </c>
      <c r="P280" s="54" t="s">
        <v>2027</v>
      </c>
      <c r="Q280" s="57" t="s">
        <v>2028</v>
      </c>
      <c r="R280" s="54" t="s">
        <v>6273</v>
      </c>
      <c r="S280" s="54" t="s">
        <v>692</v>
      </c>
      <c r="T280" s="55" t="str">
        <f t="shared" si="41"/>
        <v>Aberturas</v>
      </c>
      <c r="U280" s="55" t="str">
        <f t="shared" si="41"/>
        <v>Atmósfera Lateral</v>
      </c>
      <c r="V280" s="55" t="str">
        <f t="shared" si="41"/>
        <v>Janelas</v>
      </c>
      <c r="W280" s="54" t="s">
        <v>7259</v>
      </c>
      <c r="X280" s="84" t="str">
        <f t="shared" si="43"/>
        <v>Key-COD-CT-280</v>
      </c>
      <c r="Y280" s="84" t="s">
        <v>5499</v>
      </c>
      <c r="Z280" s="84" t="s">
        <v>692</v>
      </c>
      <c r="AA280" s="84" t="s">
        <v>5625</v>
      </c>
      <c r="AB280" s="84" t="s">
        <v>692</v>
      </c>
      <c r="AC280" s="84" t="s">
        <v>692</v>
      </c>
      <c r="AD280" s="54" t="s">
        <v>692</v>
      </c>
    </row>
    <row r="281" spans="1:30" ht="6.75" customHeight="1" x14ac:dyDescent="0.25">
      <c r="A281" s="85">
        <v>281</v>
      </c>
      <c r="B281" s="59" t="s">
        <v>5419</v>
      </c>
      <c r="C281" s="59" t="s">
        <v>1993</v>
      </c>
      <c r="D281" s="59" t="s">
        <v>1994</v>
      </c>
      <c r="E281" s="59" t="s">
        <v>1995</v>
      </c>
      <c r="F281" s="59" t="s">
        <v>2029</v>
      </c>
      <c r="G281" s="81" t="s">
        <v>692</v>
      </c>
      <c r="H281" s="81" t="s">
        <v>692</v>
      </c>
      <c r="I281" s="81" t="s">
        <v>692</v>
      </c>
      <c r="J281" s="81" t="s">
        <v>692</v>
      </c>
      <c r="K281" s="81" t="s">
        <v>692</v>
      </c>
      <c r="L281" s="53" t="str">
        <f t="shared" si="44"/>
        <v>Aberturas</v>
      </c>
      <c r="M281" s="53" t="str">
        <f t="shared" si="44"/>
        <v>Atmósfera.Lateral</v>
      </c>
      <c r="N281" s="53" t="str">
        <f t="shared" si="42"/>
        <v>Janelas</v>
      </c>
      <c r="O281" s="53" t="str">
        <f t="shared" si="42"/>
        <v>Janela Integral</v>
      </c>
      <c r="P281" s="54" t="s">
        <v>2030</v>
      </c>
      <c r="Q281" s="57" t="s">
        <v>2031</v>
      </c>
      <c r="R281" s="54" t="s">
        <v>6274</v>
      </c>
      <c r="S281" s="54" t="s">
        <v>692</v>
      </c>
      <c r="T281" s="55" t="str">
        <f t="shared" si="41"/>
        <v>Aberturas</v>
      </c>
      <c r="U281" s="55" t="str">
        <f t="shared" si="41"/>
        <v>Atmósfera Lateral</v>
      </c>
      <c r="V281" s="55" t="str">
        <f t="shared" si="41"/>
        <v>Janelas</v>
      </c>
      <c r="W281" s="54" t="s">
        <v>7259</v>
      </c>
      <c r="X281" s="84" t="str">
        <f t="shared" si="43"/>
        <v>Key-COD-CT-281</v>
      </c>
      <c r="Y281" s="84" t="s">
        <v>5993</v>
      </c>
      <c r="Z281" s="84" t="s">
        <v>692</v>
      </c>
      <c r="AA281" s="84" t="s">
        <v>5625</v>
      </c>
      <c r="AB281" s="84" t="s">
        <v>692</v>
      </c>
      <c r="AC281" s="84" t="s">
        <v>692</v>
      </c>
      <c r="AD281" s="54" t="s">
        <v>692</v>
      </c>
    </row>
    <row r="282" spans="1:30" ht="6.75" customHeight="1" x14ac:dyDescent="0.25">
      <c r="A282" s="85">
        <v>282</v>
      </c>
      <c r="B282" s="59" t="s">
        <v>5419</v>
      </c>
      <c r="C282" s="59" t="s">
        <v>1993</v>
      </c>
      <c r="D282" s="59" t="s">
        <v>2032</v>
      </c>
      <c r="E282" s="59" t="s">
        <v>2033</v>
      </c>
      <c r="F282" s="59" t="s">
        <v>2034</v>
      </c>
      <c r="G282" s="81" t="s">
        <v>692</v>
      </c>
      <c r="H282" s="81" t="s">
        <v>692</v>
      </c>
      <c r="I282" s="81" t="s">
        <v>692</v>
      </c>
      <c r="J282" s="81" t="s">
        <v>692</v>
      </c>
      <c r="K282" s="81" t="s">
        <v>692</v>
      </c>
      <c r="L282" s="53" t="str">
        <f t="shared" si="44"/>
        <v>Aberturas</v>
      </c>
      <c r="M282" s="53" t="str">
        <f t="shared" si="44"/>
        <v>Atmósfera.Superior</v>
      </c>
      <c r="N282" s="53" t="str">
        <f t="shared" si="42"/>
        <v>Claraboias</v>
      </c>
      <c r="O282" s="53" t="str">
        <f t="shared" si="42"/>
        <v>Claraboia Cúpula</v>
      </c>
      <c r="P282" s="54" t="s">
        <v>2035</v>
      </c>
      <c r="Q282" s="54" t="s">
        <v>2036</v>
      </c>
      <c r="R282" s="54" t="s">
        <v>6275</v>
      </c>
      <c r="S282" s="54" t="s">
        <v>692</v>
      </c>
      <c r="T282" s="55" t="str">
        <f t="shared" si="41"/>
        <v>Aberturas</v>
      </c>
      <c r="U282" s="55" t="str">
        <f t="shared" si="41"/>
        <v>Atmósfera Superior</v>
      </c>
      <c r="V282" s="55" t="str">
        <f t="shared" si="41"/>
        <v>Claraboias</v>
      </c>
      <c r="W282" s="54" t="s">
        <v>7259</v>
      </c>
      <c r="X282" s="84" t="str">
        <f t="shared" si="43"/>
        <v>Key-COD-CT-282</v>
      </c>
      <c r="Y282" s="84" t="s">
        <v>5499</v>
      </c>
      <c r="Z282" s="84" t="s">
        <v>692</v>
      </c>
      <c r="AA282" s="84" t="s">
        <v>5663</v>
      </c>
      <c r="AB282" s="84" t="s">
        <v>692</v>
      </c>
      <c r="AC282" s="84" t="s">
        <v>692</v>
      </c>
      <c r="AD282" s="54" t="s">
        <v>692</v>
      </c>
    </row>
    <row r="283" spans="1:30" ht="6.75" customHeight="1" x14ac:dyDescent="0.25">
      <c r="A283" s="85">
        <v>283</v>
      </c>
      <c r="B283" s="59" t="s">
        <v>5419</v>
      </c>
      <c r="C283" s="59" t="s">
        <v>1993</v>
      </c>
      <c r="D283" s="59" t="s">
        <v>2032</v>
      </c>
      <c r="E283" s="59" t="s">
        <v>2033</v>
      </c>
      <c r="F283" s="59" t="s">
        <v>2037</v>
      </c>
      <c r="G283" s="81" t="s">
        <v>692</v>
      </c>
      <c r="H283" s="81" t="s">
        <v>692</v>
      </c>
      <c r="I283" s="81" t="s">
        <v>692</v>
      </c>
      <c r="J283" s="81" t="s">
        <v>692</v>
      </c>
      <c r="K283" s="81" t="s">
        <v>692</v>
      </c>
      <c r="L283" s="53" t="str">
        <f t="shared" si="44"/>
        <v>Aberturas</v>
      </c>
      <c r="M283" s="53" t="str">
        <f t="shared" si="44"/>
        <v>Atmósfera.Superior</v>
      </c>
      <c r="N283" s="53" t="str">
        <f t="shared" si="42"/>
        <v>Claraboias</v>
      </c>
      <c r="O283" s="53" t="str">
        <f t="shared" si="42"/>
        <v>Claraboia Tubular</v>
      </c>
      <c r="P283" s="54" t="s">
        <v>2038</v>
      </c>
      <c r="Q283" s="54" t="s">
        <v>2039</v>
      </c>
      <c r="R283" s="54" t="s">
        <v>6276</v>
      </c>
      <c r="S283" s="54" t="s">
        <v>692</v>
      </c>
      <c r="T283" s="55" t="str">
        <f t="shared" si="41"/>
        <v>Aberturas</v>
      </c>
      <c r="U283" s="55" t="str">
        <f t="shared" si="41"/>
        <v>Atmósfera Superior</v>
      </c>
      <c r="V283" s="55" t="str">
        <f t="shared" si="41"/>
        <v>Claraboias</v>
      </c>
      <c r="W283" s="54" t="s">
        <v>7259</v>
      </c>
      <c r="X283" s="84" t="str">
        <f t="shared" si="43"/>
        <v>Key-COD-CT-283</v>
      </c>
      <c r="Y283" s="84" t="s">
        <v>5499</v>
      </c>
      <c r="Z283" s="84" t="s">
        <v>692</v>
      </c>
      <c r="AA283" s="84" t="s">
        <v>5664</v>
      </c>
      <c r="AB283" s="84" t="s">
        <v>692</v>
      </c>
      <c r="AC283" s="84" t="s">
        <v>692</v>
      </c>
      <c r="AD283" s="54" t="s">
        <v>692</v>
      </c>
    </row>
    <row r="284" spans="1:30" ht="6.75" customHeight="1" x14ac:dyDescent="0.25">
      <c r="A284" s="85">
        <v>284</v>
      </c>
      <c r="B284" s="59" t="s">
        <v>5419</v>
      </c>
      <c r="C284" s="59" t="s">
        <v>1993</v>
      </c>
      <c r="D284" s="59" t="s">
        <v>2032</v>
      </c>
      <c r="E284" s="59" t="s">
        <v>2033</v>
      </c>
      <c r="F284" s="59" t="s">
        <v>2040</v>
      </c>
      <c r="G284" s="81" t="s">
        <v>692</v>
      </c>
      <c r="H284" s="81" t="s">
        <v>692</v>
      </c>
      <c r="I284" s="81" t="s">
        <v>692</v>
      </c>
      <c r="J284" s="81" t="s">
        <v>692</v>
      </c>
      <c r="K284" s="81" t="s">
        <v>692</v>
      </c>
      <c r="L284" s="53" t="str">
        <f t="shared" si="44"/>
        <v>Aberturas</v>
      </c>
      <c r="M284" s="53" t="str">
        <f t="shared" si="44"/>
        <v>Atmósfera.Superior</v>
      </c>
      <c r="N284" s="53" t="str">
        <f t="shared" si="42"/>
        <v>Claraboias</v>
      </c>
      <c r="O284" s="53" t="str">
        <f t="shared" si="42"/>
        <v>Claraboia Piramidal</v>
      </c>
      <c r="P284" s="54" t="s">
        <v>2041</v>
      </c>
      <c r="Q284" s="54" t="s">
        <v>2042</v>
      </c>
      <c r="R284" s="54" t="s">
        <v>6277</v>
      </c>
      <c r="S284" s="54" t="s">
        <v>692</v>
      </c>
      <c r="T284" s="55" t="str">
        <f t="shared" si="41"/>
        <v>Aberturas</v>
      </c>
      <c r="U284" s="55" t="str">
        <f t="shared" si="41"/>
        <v>Atmósfera Superior</v>
      </c>
      <c r="V284" s="55" t="str">
        <f t="shared" si="41"/>
        <v>Claraboias</v>
      </c>
      <c r="W284" s="54" t="s">
        <v>7259</v>
      </c>
      <c r="X284" s="84" t="str">
        <f t="shared" si="43"/>
        <v>Key-COD-CT-284</v>
      </c>
      <c r="Y284" s="84" t="s">
        <v>5499</v>
      </c>
      <c r="Z284" s="84" t="s">
        <v>692</v>
      </c>
      <c r="AA284" s="84" t="s">
        <v>5664</v>
      </c>
      <c r="AB284" s="84" t="s">
        <v>692</v>
      </c>
      <c r="AC284" s="84" t="s">
        <v>692</v>
      </c>
      <c r="AD284" s="54" t="s">
        <v>692</v>
      </c>
    </row>
    <row r="285" spans="1:30" ht="6.75" customHeight="1" x14ac:dyDescent="0.25">
      <c r="A285" s="85">
        <v>285</v>
      </c>
      <c r="B285" s="59" t="s">
        <v>5419</v>
      </c>
      <c r="C285" s="59" t="s">
        <v>1993</v>
      </c>
      <c r="D285" s="59" t="s">
        <v>2043</v>
      </c>
      <c r="E285" s="59" t="s">
        <v>2044</v>
      </c>
      <c r="F285" s="59" t="s">
        <v>2045</v>
      </c>
      <c r="G285" s="81" t="s">
        <v>692</v>
      </c>
      <c r="H285" s="81" t="s">
        <v>692</v>
      </c>
      <c r="I285" s="81" t="s">
        <v>692</v>
      </c>
      <c r="J285" s="81" t="s">
        <v>692</v>
      </c>
      <c r="K285" s="81" t="s">
        <v>692</v>
      </c>
      <c r="L285" s="53" t="str">
        <f t="shared" si="44"/>
        <v>Aberturas</v>
      </c>
      <c r="M285" s="53" t="str">
        <f t="shared" si="44"/>
        <v>Atmósfera.Predial</v>
      </c>
      <c r="N285" s="53" t="str">
        <f t="shared" si="42"/>
        <v>Grelhas</v>
      </c>
      <c r="O285" s="53" t="str">
        <f t="shared" si="42"/>
        <v>Grelha Fixa</v>
      </c>
      <c r="P285" s="54" t="s">
        <v>2046</v>
      </c>
      <c r="Q285" s="57" t="s">
        <v>2047</v>
      </c>
      <c r="R285" s="54" t="s">
        <v>6278</v>
      </c>
      <c r="S285" s="54" t="s">
        <v>692</v>
      </c>
      <c r="T285" s="55" t="str">
        <f t="shared" si="41"/>
        <v>Aberturas</v>
      </c>
      <c r="U285" s="55" t="str">
        <f t="shared" si="41"/>
        <v>Atmósfera Predial</v>
      </c>
      <c r="V285" s="55" t="str">
        <f t="shared" si="41"/>
        <v>Grelhas</v>
      </c>
      <c r="W285" s="54" t="s">
        <v>7259</v>
      </c>
      <c r="X285" s="84" t="str">
        <f t="shared" si="43"/>
        <v>Key-COD-CT-285</v>
      </c>
      <c r="Y285" s="84" t="s">
        <v>5499</v>
      </c>
      <c r="Z285" s="84" t="s">
        <v>692</v>
      </c>
      <c r="AA285" s="84" t="s">
        <v>5625</v>
      </c>
      <c r="AB285" s="84" t="s">
        <v>692</v>
      </c>
      <c r="AC285" s="84" t="s">
        <v>692</v>
      </c>
      <c r="AD285" s="54" t="s">
        <v>692</v>
      </c>
    </row>
    <row r="286" spans="1:30" ht="6.75" customHeight="1" x14ac:dyDescent="0.25">
      <c r="A286" s="85">
        <v>286</v>
      </c>
      <c r="B286" s="59" t="s">
        <v>5419</v>
      </c>
      <c r="C286" s="59" t="s">
        <v>1993</v>
      </c>
      <c r="D286" s="59" t="s">
        <v>2043</v>
      </c>
      <c r="E286" s="59" t="s">
        <v>2044</v>
      </c>
      <c r="F286" s="59" t="s">
        <v>2048</v>
      </c>
      <c r="G286" s="81" t="s">
        <v>692</v>
      </c>
      <c r="H286" s="81" t="s">
        <v>692</v>
      </c>
      <c r="I286" s="81" t="s">
        <v>692</v>
      </c>
      <c r="J286" s="81" t="s">
        <v>692</v>
      </c>
      <c r="K286" s="81" t="s">
        <v>692</v>
      </c>
      <c r="L286" s="53" t="str">
        <f t="shared" si="44"/>
        <v>Aberturas</v>
      </c>
      <c r="M286" s="53" t="str">
        <f t="shared" si="44"/>
        <v>Atmósfera.Predial</v>
      </c>
      <c r="N286" s="53" t="str">
        <f t="shared" si="42"/>
        <v>Grelhas</v>
      </c>
      <c r="O286" s="53" t="str">
        <f t="shared" si="42"/>
        <v>Grelha Removível</v>
      </c>
      <c r="P286" s="54" t="s">
        <v>2049</v>
      </c>
      <c r="Q286" s="57" t="s">
        <v>2050</v>
      </c>
      <c r="R286" s="54" t="s">
        <v>6279</v>
      </c>
      <c r="S286" s="54" t="s">
        <v>692</v>
      </c>
      <c r="T286" s="55" t="str">
        <f t="shared" si="41"/>
        <v>Aberturas</v>
      </c>
      <c r="U286" s="55" t="str">
        <f t="shared" si="41"/>
        <v>Atmósfera Predial</v>
      </c>
      <c r="V286" s="55" t="str">
        <f t="shared" si="41"/>
        <v>Grelhas</v>
      </c>
      <c r="W286" s="54" t="s">
        <v>7259</v>
      </c>
      <c r="X286" s="84" t="str">
        <f t="shared" si="43"/>
        <v>Key-COD-CT-286</v>
      </c>
      <c r="Y286" s="84" t="s">
        <v>5499</v>
      </c>
      <c r="Z286" s="84" t="s">
        <v>692</v>
      </c>
      <c r="AA286" s="84" t="s">
        <v>5625</v>
      </c>
      <c r="AB286" s="84" t="s">
        <v>692</v>
      </c>
      <c r="AC286" s="84" t="s">
        <v>692</v>
      </c>
      <c r="AD286" s="54" t="s">
        <v>692</v>
      </c>
    </row>
    <row r="287" spans="1:30" ht="6.75" customHeight="1" x14ac:dyDescent="0.25">
      <c r="A287" s="85">
        <v>287</v>
      </c>
      <c r="B287" s="59" t="s">
        <v>5419</v>
      </c>
      <c r="C287" s="59" t="s">
        <v>1993</v>
      </c>
      <c r="D287" s="59" t="s">
        <v>2043</v>
      </c>
      <c r="E287" s="59" t="s">
        <v>2051</v>
      </c>
      <c r="F287" s="59" t="s">
        <v>2052</v>
      </c>
      <c r="G287" s="81" t="s">
        <v>692</v>
      </c>
      <c r="H287" s="81" t="s">
        <v>692</v>
      </c>
      <c r="I287" s="81" t="s">
        <v>692</v>
      </c>
      <c r="J287" s="81" t="s">
        <v>692</v>
      </c>
      <c r="K287" s="81" t="s">
        <v>692</v>
      </c>
      <c r="L287" s="53" t="str">
        <f t="shared" si="44"/>
        <v>Aberturas</v>
      </c>
      <c r="M287" s="53" t="str">
        <f t="shared" si="44"/>
        <v>Atmósfera.Predial</v>
      </c>
      <c r="N287" s="53" t="str">
        <f t="shared" si="42"/>
        <v>Visores</v>
      </c>
      <c r="O287" s="53" t="str">
        <f t="shared" si="42"/>
        <v>Visor Fixo</v>
      </c>
      <c r="P287" s="54" t="s">
        <v>2053</v>
      </c>
      <c r="Q287" s="57" t="s">
        <v>2054</v>
      </c>
      <c r="R287" s="54" t="s">
        <v>6280</v>
      </c>
      <c r="S287" s="54" t="s">
        <v>692</v>
      </c>
      <c r="T287" s="55" t="str">
        <f t="shared" si="41"/>
        <v>Aberturas</v>
      </c>
      <c r="U287" s="55" t="str">
        <f t="shared" si="41"/>
        <v>Atmósfera Predial</v>
      </c>
      <c r="V287" s="55" t="str">
        <f t="shared" si="41"/>
        <v>Visores</v>
      </c>
      <c r="W287" s="54" t="s">
        <v>7259</v>
      </c>
      <c r="X287" s="84" t="str">
        <f t="shared" si="43"/>
        <v>Key-COD-CT-287</v>
      </c>
      <c r="Y287" s="84" t="s">
        <v>5499</v>
      </c>
      <c r="Z287" s="84" t="s">
        <v>692</v>
      </c>
      <c r="AA287" s="84" t="s">
        <v>5625</v>
      </c>
      <c r="AB287" s="84" t="s">
        <v>692</v>
      </c>
      <c r="AC287" s="84" t="s">
        <v>692</v>
      </c>
      <c r="AD287" s="54" t="s">
        <v>692</v>
      </c>
    </row>
    <row r="288" spans="1:30" ht="6.75" customHeight="1" x14ac:dyDescent="0.25">
      <c r="A288" s="85">
        <v>288</v>
      </c>
      <c r="B288" s="59" t="s">
        <v>5419</v>
      </c>
      <c r="C288" s="59" t="s">
        <v>1993</v>
      </c>
      <c r="D288" s="59" t="s">
        <v>2043</v>
      </c>
      <c r="E288" s="59" t="s">
        <v>2051</v>
      </c>
      <c r="F288" s="59" t="s">
        <v>2055</v>
      </c>
      <c r="G288" s="81" t="s">
        <v>692</v>
      </c>
      <c r="H288" s="81" t="s">
        <v>692</v>
      </c>
      <c r="I288" s="81" t="s">
        <v>692</v>
      </c>
      <c r="J288" s="81" t="s">
        <v>692</v>
      </c>
      <c r="K288" s="81" t="s">
        <v>692</v>
      </c>
      <c r="L288" s="53" t="str">
        <f t="shared" si="44"/>
        <v>Aberturas</v>
      </c>
      <c r="M288" s="53" t="str">
        <f t="shared" si="44"/>
        <v>Atmósfera.Predial</v>
      </c>
      <c r="N288" s="53" t="str">
        <f t="shared" si="42"/>
        <v>Visores</v>
      </c>
      <c r="O288" s="53" t="str">
        <f t="shared" si="42"/>
        <v>Visor Basculante</v>
      </c>
      <c r="P288" s="54" t="s">
        <v>2056</v>
      </c>
      <c r="Q288" s="57" t="s">
        <v>2057</v>
      </c>
      <c r="R288" s="54" t="s">
        <v>6281</v>
      </c>
      <c r="S288" s="54" t="s">
        <v>692</v>
      </c>
      <c r="T288" s="55" t="str">
        <f t="shared" si="41"/>
        <v>Aberturas</v>
      </c>
      <c r="U288" s="55" t="str">
        <f t="shared" si="41"/>
        <v>Atmósfera Predial</v>
      </c>
      <c r="V288" s="55" t="str">
        <f t="shared" si="41"/>
        <v>Visores</v>
      </c>
      <c r="W288" s="54" t="s">
        <v>7259</v>
      </c>
      <c r="X288" s="84" t="str">
        <f t="shared" si="43"/>
        <v>Key-COD-CT-288</v>
      </c>
      <c r="Y288" s="84" t="s">
        <v>5499</v>
      </c>
      <c r="Z288" s="84" t="s">
        <v>692</v>
      </c>
      <c r="AA288" s="84" t="s">
        <v>5625</v>
      </c>
      <c r="AB288" s="84" t="s">
        <v>692</v>
      </c>
      <c r="AC288" s="84" t="s">
        <v>692</v>
      </c>
      <c r="AD288" s="54" t="s">
        <v>692</v>
      </c>
    </row>
    <row r="289" spans="1:30" ht="6.75" customHeight="1" x14ac:dyDescent="0.25">
      <c r="A289" s="85">
        <v>289</v>
      </c>
      <c r="B289" s="59" t="s">
        <v>5419</v>
      </c>
      <c r="C289" s="59" t="s">
        <v>1993</v>
      </c>
      <c r="D289" s="59" t="s">
        <v>2043</v>
      </c>
      <c r="E289" s="59" t="s">
        <v>2051</v>
      </c>
      <c r="F289" s="59" t="s">
        <v>2058</v>
      </c>
      <c r="G289" s="81" t="s">
        <v>692</v>
      </c>
      <c r="H289" s="81" t="s">
        <v>692</v>
      </c>
      <c r="I289" s="81" t="s">
        <v>692</v>
      </c>
      <c r="J289" s="81" t="s">
        <v>692</v>
      </c>
      <c r="K289" s="81" t="s">
        <v>692</v>
      </c>
      <c r="L289" s="53" t="str">
        <f t="shared" si="44"/>
        <v>Aberturas</v>
      </c>
      <c r="M289" s="53" t="str">
        <f t="shared" si="44"/>
        <v>Atmósfera.Predial</v>
      </c>
      <c r="N289" s="53" t="str">
        <f t="shared" si="42"/>
        <v>Visores</v>
      </c>
      <c r="O289" s="53" t="str">
        <f t="shared" si="42"/>
        <v>Visor Deslizante</v>
      </c>
      <c r="P289" s="54" t="s">
        <v>2059</v>
      </c>
      <c r="Q289" s="57" t="s">
        <v>2060</v>
      </c>
      <c r="R289" s="54" t="s">
        <v>6282</v>
      </c>
      <c r="S289" s="54" t="s">
        <v>692</v>
      </c>
      <c r="T289" s="55" t="str">
        <f t="shared" si="41"/>
        <v>Aberturas</v>
      </c>
      <c r="U289" s="55" t="str">
        <f t="shared" si="41"/>
        <v>Atmósfera Predial</v>
      </c>
      <c r="V289" s="55" t="str">
        <f t="shared" si="41"/>
        <v>Visores</v>
      </c>
      <c r="W289" s="54" t="s">
        <v>7259</v>
      </c>
      <c r="X289" s="84" t="str">
        <f t="shared" si="43"/>
        <v>Key-COD-CT-289</v>
      </c>
      <c r="Y289" s="84" t="s">
        <v>5499</v>
      </c>
      <c r="Z289" s="84" t="s">
        <v>692</v>
      </c>
      <c r="AA289" s="84" t="s">
        <v>5625</v>
      </c>
      <c r="AB289" s="84" t="s">
        <v>692</v>
      </c>
      <c r="AC289" s="84" t="s">
        <v>692</v>
      </c>
      <c r="AD289" s="54" t="s">
        <v>692</v>
      </c>
    </row>
    <row r="290" spans="1:30" ht="6.75" customHeight="1" x14ac:dyDescent="0.25">
      <c r="A290" s="85">
        <v>290</v>
      </c>
      <c r="B290" s="59" t="s">
        <v>5419</v>
      </c>
      <c r="C290" s="59" t="s">
        <v>1993</v>
      </c>
      <c r="D290" s="59" t="s">
        <v>2043</v>
      </c>
      <c r="E290" s="59" t="s">
        <v>2051</v>
      </c>
      <c r="F290" s="59" t="s">
        <v>2061</v>
      </c>
      <c r="G290" s="81" t="s">
        <v>692</v>
      </c>
      <c r="H290" s="81" t="s">
        <v>692</v>
      </c>
      <c r="I290" s="81" t="s">
        <v>692</v>
      </c>
      <c r="J290" s="81" t="s">
        <v>692</v>
      </c>
      <c r="K290" s="81" t="s">
        <v>692</v>
      </c>
      <c r="L290" s="53" t="str">
        <f t="shared" si="44"/>
        <v>Aberturas</v>
      </c>
      <c r="M290" s="53" t="str">
        <f t="shared" si="44"/>
        <v>Atmósfera.Predial</v>
      </c>
      <c r="N290" s="53" t="str">
        <f t="shared" si="42"/>
        <v>Visores</v>
      </c>
      <c r="O290" s="53" t="str">
        <f t="shared" si="42"/>
        <v>Visor Blindado</v>
      </c>
      <c r="P290" s="54" t="s">
        <v>2062</v>
      </c>
      <c r="Q290" s="57" t="s">
        <v>2063</v>
      </c>
      <c r="R290" s="54" t="s">
        <v>6283</v>
      </c>
      <c r="S290" s="54" t="s">
        <v>692</v>
      </c>
      <c r="T290" s="55" t="str">
        <f t="shared" ref="T290:V352" si="45">SUBSTITUTE(C290, ".", " ")</f>
        <v>Aberturas</v>
      </c>
      <c r="U290" s="55" t="str">
        <f t="shared" si="45"/>
        <v>Atmósfera Predial</v>
      </c>
      <c r="V290" s="55" t="str">
        <f t="shared" si="45"/>
        <v>Visores</v>
      </c>
      <c r="W290" s="54" t="s">
        <v>7259</v>
      </c>
      <c r="X290" s="84" t="str">
        <f t="shared" si="43"/>
        <v>Key-COD-CT-290</v>
      </c>
      <c r="Y290" s="84" t="s">
        <v>5499</v>
      </c>
      <c r="Z290" s="84" t="s">
        <v>692</v>
      </c>
      <c r="AA290" s="84" t="s">
        <v>5625</v>
      </c>
      <c r="AB290" s="84" t="s">
        <v>692</v>
      </c>
      <c r="AC290" s="84" t="s">
        <v>692</v>
      </c>
      <c r="AD290" s="54" t="s">
        <v>692</v>
      </c>
    </row>
    <row r="291" spans="1:30" ht="6.75" customHeight="1" x14ac:dyDescent="0.25">
      <c r="A291" s="85">
        <v>291</v>
      </c>
      <c r="B291" s="59" t="s">
        <v>5419</v>
      </c>
      <c r="C291" s="59" t="s">
        <v>1993</v>
      </c>
      <c r="D291" s="59" t="s">
        <v>2064</v>
      </c>
      <c r="E291" s="59" t="s">
        <v>2065</v>
      </c>
      <c r="F291" s="61" t="s">
        <v>2066</v>
      </c>
      <c r="G291" s="81" t="s">
        <v>692</v>
      </c>
      <c r="H291" s="81" t="s">
        <v>692</v>
      </c>
      <c r="I291" s="81" t="s">
        <v>692</v>
      </c>
      <c r="J291" s="81" t="s">
        <v>692</v>
      </c>
      <c r="K291" s="81" t="s">
        <v>692</v>
      </c>
      <c r="L291" s="53" t="str">
        <f t="shared" si="44"/>
        <v>Aberturas</v>
      </c>
      <c r="M291" s="53" t="str">
        <f t="shared" si="44"/>
        <v>Passagens.de.Instalações</v>
      </c>
      <c r="N291" s="53" t="str">
        <f t="shared" si="42"/>
        <v>Shafts</v>
      </c>
      <c r="O291" s="53" t="str">
        <f t="shared" si="42"/>
        <v>Shaft Inespecífico</v>
      </c>
      <c r="P291" s="54" t="s">
        <v>2067</v>
      </c>
      <c r="Q291" s="54" t="s">
        <v>2067</v>
      </c>
      <c r="R291" s="54" t="s">
        <v>6284</v>
      </c>
      <c r="S291" s="54" t="s">
        <v>692</v>
      </c>
      <c r="T291" s="55" t="str">
        <f t="shared" si="45"/>
        <v>Aberturas</v>
      </c>
      <c r="U291" s="55" t="str">
        <f t="shared" si="45"/>
        <v>Passagens de Instalações</v>
      </c>
      <c r="V291" s="55" t="str">
        <f t="shared" si="45"/>
        <v>Shafts</v>
      </c>
      <c r="W291" s="54" t="s">
        <v>7259</v>
      </c>
      <c r="X291" s="84" t="str">
        <f t="shared" si="43"/>
        <v>Key-COD-CT-291</v>
      </c>
      <c r="Y291" s="84" t="s">
        <v>5525</v>
      </c>
      <c r="Z291" s="84" t="s">
        <v>692</v>
      </c>
      <c r="AA291" s="84" t="s">
        <v>5665</v>
      </c>
      <c r="AB291" s="84" t="s">
        <v>692</v>
      </c>
      <c r="AC291" s="84" t="s">
        <v>692</v>
      </c>
      <c r="AD291" s="54" t="s">
        <v>692</v>
      </c>
    </row>
    <row r="292" spans="1:30" ht="6.75" customHeight="1" x14ac:dyDescent="0.25">
      <c r="A292" s="85">
        <v>292</v>
      </c>
      <c r="B292" s="59" t="s">
        <v>5419</v>
      </c>
      <c r="C292" s="59" t="s">
        <v>1993</v>
      </c>
      <c r="D292" s="59" t="s">
        <v>2064</v>
      </c>
      <c r="E292" s="59" t="s">
        <v>2065</v>
      </c>
      <c r="F292" s="61" t="s">
        <v>2068</v>
      </c>
      <c r="G292" s="81" t="s">
        <v>692</v>
      </c>
      <c r="H292" s="81" t="s">
        <v>692</v>
      </c>
      <c r="I292" s="81" t="s">
        <v>692</v>
      </c>
      <c r="J292" s="81" t="s">
        <v>692</v>
      </c>
      <c r="K292" s="81" t="s">
        <v>692</v>
      </c>
      <c r="L292" s="53" t="str">
        <f t="shared" si="44"/>
        <v>Aberturas</v>
      </c>
      <c r="M292" s="53" t="str">
        <f t="shared" si="44"/>
        <v>Passagens.de.Instalações</v>
      </c>
      <c r="N292" s="53" t="str">
        <f t="shared" si="42"/>
        <v>Shafts</v>
      </c>
      <c r="O292" s="53" t="str">
        <f t="shared" si="42"/>
        <v>Shaft Laje</v>
      </c>
      <c r="P292" s="54" t="s">
        <v>2069</v>
      </c>
      <c r="Q292" s="54" t="s">
        <v>2070</v>
      </c>
      <c r="R292" s="54" t="s">
        <v>6285</v>
      </c>
      <c r="S292" s="54" t="s">
        <v>692</v>
      </c>
      <c r="T292" s="55" t="str">
        <f t="shared" si="45"/>
        <v>Aberturas</v>
      </c>
      <c r="U292" s="55" t="str">
        <f t="shared" si="45"/>
        <v>Passagens de Instalações</v>
      </c>
      <c r="V292" s="55" t="str">
        <f t="shared" si="45"/>
        <v>Shafts</v>
      </c>
      <c r="W292" s="54" t="s">
        <v>7259</v>
      </c>
      <c r="X292" s="84" t="str">
        <f t="shared" si="43"/>
        <v>Key-COD-CT-292</v>
      </c>
      <c r="Y292" s="84" t="s">
        <v>5525</v>
      </c>
      <c r="Z292" s="84" t="s">
        <v>692</v>
      </c>
      <c r="AA292" s="84" t="s">
        <v>5666</v>
      </c>
      <c r="AB292" s="84" t="s">
        <v>692</v>
      </c>
      <c r="AC292" s="84" t="s">
        <v>692</v>
      </c>
      <c r="AD292" s="54" t="s">
        <v>692</v>
      </c>
    </row>
    <row r="293" spans="1:30" ht="6.75" customHeight="1" x14ac:dyDescent="0.25">
      <c r="A293" s="85">
        <v>293</v>
      </c>
      <c r="B293" s="59" t="s">
        <v>5419</v>
      </c>
      <c r="C293" s="59" t="s">
        <v>1993</v>
      </c>
      <c r="D293" s="59" t="s">
        <v>2064</v>
      </c>
      <c r="E293" s="59" t="s">
        <v>2065</v>
      </c>
      <c r="F293" s="80" t="s">
        <v>2071</v>
      </c>
      <c r="G293" s="81" t="s">
        <v>692</v>
      </c>
      <c r="H293" s="81" t="s">
        <v>692</v>
      </c>
      <c r="I293" s="81" t="s">
        <v>692</v>
      </c>
      <c r="J293" s="81" t="s">
        <v>692</v>
      </c>
      <c r="K293" s="81" t="s">
        <v>692</v>
      </c>
      <c r="L293" s="53" t="str">
        <f t="shared" si="44"/>
        <v>Aberturas</v>
      </c>
      <c r="M293" s="53" t="str">
        <f t="shared" si="44"/>
        <v>Passagens.de.Instalações</v>
      </c>
      <c r="N293" s="53" t="str">
        <f t="shared" si="42"/>
        <v>Shafts</v>
      </c>
      <c r="O293" s="53" t="str">
        <f t="shared" si="42"/>
        <v>Shaft Instalação</v>
      </c>
      <c r="P293" s="54" t="s">
        <v>2072</v>
      </c>
      <c r="Q293" s="54" t="s">
        <v>2073</v>
      </c>
      <c r="R293" s="54" t="s">
        <v>6286</v>
      </c>
      <c r="S293" s="54" t="s">
        <v>692</v>
      </c>
      <c r="T293" s="55" t="str">
        <f t="shared" si="45"/>
        <v>Aberturas</v>
      </c>
      <c r="U293" s="55" t="str">
        <f t="shared" si="45"/>
        <v>Passagens de Instalações</v>
      </c>
      <c r="V293" s="55" t="str">
        <f t="shared" si="45"/>
        <v>Shafts</v>
      </c>
      <c r="W293" s="54" t="s">
        <v>7259</v>
      </c>
      <c r="X293" s="84" t="str">
        <f t="shared" si="43"/>
        <v>Key-COD-CT-293</v>
      </c>
      <c r="Y293" s="84" t="s">
        <v>5526</v>
      </c>
      <c r="Z293" s="84" t="s">
        <v>692</v>
      </c>
      <c r="AA293" s="84" t="s">
        <v>5666</v>
      </c>
      <c r="AB293" s="84" t="s">
        <v>692</v>
      </c>
      <c r="AC293" s="84" t="s">
        <v>692</v>
      </c>
      <c r="AD293" s="54" t="s">
        <v>692</v>
      </c>
    </row>
    <row r="294" spans="1:30" ht="6.75" customHeight="1" x14ac:dyDescent="0.25">
      <c r="A294" s="85">
        <v>294</v>
      </c>
      <c r="B294" s="59" t="s">
        <v>5419</v>
      </c>
      <c r="C294" s="59" t="s">
        <v>1993</v>
      </c>
      <c r="D294" s="59" t="s">
        <v>2064</v>
      </c>
      <c r="E294" s="59" t="s">
        <v>2065</v>
      </c>
      <c r="F294" s="80" t="s">
        <v>2074</v>
      </c>
      <c r="G294" s="81" t="s">
        <v>692</v>
      </c>
      <c r="H294" s="81" t="s">
        <v>692</v>
      </c>
      <c r="I294" s="81" t="s">
        <v>692</v>
      </c>
      <c r="J294" s="81" t="s">
        <v>692</v>
      </c>
      <c r="K294" s="81" t="s">
        <v>692</v>
      </c>
      <c r="L294" s="53" t="str">
        <f t="shared" si="44"/>
        <v>Aberturas</v>
      </c>
      <c r="M294" s="53" t="str">
        <f t="shared" si="44"/>
        <v>Passagens.de.Instalações</v>
      </c>
      <c r="N294" s="53" t="str">
        <f t="shared" si="42"/>
        <v>Shafts</v>
      </c>
      <c r="O294" s="53" t="str">
        <f t="shared" si="42"/>
        <v>Shaft Elétrica</v>
      </c>
      <c r="P294" s="54" t="s">
        <v>2075</v>
      </c>
      <c r="Q294" s="54" t="s">
        <v>2076</v>
      </c>
      <c r="R294" s="54" t="s">
        <v>6287</v>
      </c>
      <c r="S294" s="54" t="s">
        <v>692</v>
      </c>
      <c r="T294" s="55" t="str">
        <f t="shared" si="45"/>
        <v>Aberturas</v>
      </c>
      <c r="U294" s="55" t="str">
        <f t="shared" si="45"/>
        <v>Passagens de Instalações</v>
      </c>
      <c r="V294" s="55" t="str">
        <f t="shared" si="45"/>
        <v>Shafts</v>
      </c>
      <c r="W294" s="54" t="s">
        <v>7259</v>
      </c>
      <c r="X294" s="84" t="str">
        <f t="shared" si="43"/>
        <v>Key-COD-CT-294</v>
      </c>
      <c r="Y294" s="84" t="s">
        <v>5526</v>
      </c>
      <c r="Z294" s="84" t="s">
        <v>692</v>
      </c>
      <c r="AA294" s="84" t="s">
        <v>5666</v>
      </c>
      <c r="AB294" s="84" t="s">
        <v>692</v>
      </c>
      <c r="AC294" s="84" t="s">
        <v>692</v>
      </c>
      <c r="AD294" s="54" t="s">
        <v>692</v>
      </c>
    </row>
    <row r="295" spans="1:30" ht="6.75" customHeight="1" x14ac:dyDescent="0.25">
      <c r="A295" s="85">
        <v>295</v>
      </c>
      <c r="B295" s="59" t="s">
        <v>5419</v>
      </c>
      <c r="C295" s="59" t="s">
        <v>1993</v>
      </c>
      <c r="D295" s="59" t="s">
        <v>2064</v>
      </c>
      <c r="E295" s="59" t="s">
        <v>2065</v>
      </c>
      <c r="F295" s="80" t="s">
        <v>2077</v>
      </c>
      <c r="G295" s="81" t="s">
        <v>692</v>
      </c>
      <c r="H295" s="81" t="s">
        <v>692</v>
      </c>
      <c r="I295" s="81" t="s">
        <v>692</v>
      </c>
      <c r="J295" s="81" t="s">
        <v>692</v>
      </c>
      <c r="K295" s="81" t="s">
        <v>692</v>
      </c>
      <c r="L295" s="53" t="str">
        <f t="shared" si="44"/>
        <v>Aberturas</v>
      </c>
      <c r="M295" s="53" t="str">
        <f t="shared" si="44"/>
        <v>Passagens.de.Instalações</v>
      </c>
      <c r="N295" s="53" t="str">
        <f t="shared" si="42"/>
        <v>Shafts</v>
      </c>
      <c r="O295" s="53" t="str">
        <f t="shared" si="42"/>
        <v>Shaft Hidráulico</v>
      </c>
      <c r="P295" s="54" t="s">
        <v>2078</v>
      </c>
      <c r="Q295" s="54" t="s">
        <v>2079</v>
      </c>
      <c r="R295" s="54" t="s">
        <v>6288</v>
      </c>
      <c r="S295" s="54" t="s">
        <v>692</v>
      </c>
      <c r="T295" s="55" t="str">
        <f t="shared" si="45"/>
        <v>Aberturas</v>
      </c>
      <c r="U295" s="55" t="str">
        <f t="shared" si="45"/>
        <v>Passagens de Instalações</v>
      </c>
      <c r="V295" s="55" t="str">
        <f t="shared" si="45"/>
        <v>Shafts</v>
      </c>
      <c r="W295" s="54" t="s">
        <v>7259</v>
      </c>
      <c r="X295" s="84" t="str">
        <f t="shared" si="43"/>
        <v>Key-COD-CT-295</v>
      </c>
      <c r="Y295" s="84" t="s">
        <v>5526</v>
      </c>
      <c r="Z295" s="84" t="s">
        <v>692</v>
      </c>
      <c r="AA295" s="84" t="s">
        <v>5666</v>
      </c>
      <c r="AB295" s="84" t="s">
        <v>692</v>
      </c>
      <c r="AC295" s="84" t="s">
        <v>692</v>
      </c>
      <c r="AD295" s="54" t="s">
        <v>692</v>
      </c>
    </row>
    <row r="296" spans="1:30" ht="6.75" customHeight="1" x14ac:dyDescent="0.25">
      <c r="A296" s="85">
        <v>296</v>
      </c>
      <c r="B296" s="59" t="s">
        <v>5419</v>
      </c>
      <c r="C296" s="59" t="s">
        <v>1993</v>
      </c>
      <c r="D296" s="59" t="s">
        <v>2064</v>
      </c>
      <c r="E296" s="59" t="s">
        <v>2065</v>
      </c>
      <c r="F296" s="80" t="s">
        <v>2080</v>
      </c>
      <c r="G296" s="81" t="s">
        <v>692</v>
      </c>
      <c r="H296" s="81" t="s">
        <v>692</v>
      </c>
      <c r="I296" s="81" t="s">
        <v>692</v>
      </c>
      <c r="J296" s="81" t="s">
        <v>692</v>
      </c>
      <c r="K296" s="81" t="s">
        <v>692</v>
      </c>
      <c r="L296" s="53" t="str">
        <f t="shared" si="44"/>
        <v>Aberturas</v>
      </c>
      <c r="M296" s="53" t="str">
        <f t="shared" si="44"/>
        <v>Passagens.de.Instalações</v>
      </c>
      <c r="N296" s="53" t="str">
        <f t="shared" si="42"/>
        <v>Shafts</v>
      </c>
      <c r="O296" s="53" t="str">
        <f t="shared" si="42"/>
        <v>Shaft AVAC</v>
      </c>
      <c r="P296" s="54" t="s">
        <v>2081</v>
      </c>
      <c r="Q296" s="54" t="s">
        <v>2082</v>
      </c>
      <c r="R296" s="54" t="s">
        <v>6289</v>
      </c>
      <c r="S296" s="54" t="s">
        <v>692</v>
      </c>
      <c r="T296" s="55" t="str">
        <f t="shared" si="45"/>
        <v>Aberturas</v>
      </c>
      <c r="U296" s="55" t="str">
        <f t="shared" si="45"/>
        <v>Passagens de Instalações</v>
      </c>
      <c r="V296" s="55" t="str">
        <f t="shared" si="45"/>
        <v>Shafts</v>
      </c>
      <c r="W296" s="54" t="s">
        <v>7259</v>
      </c>
      <c r="X296" s="84" t="str">
        <f t="shared" si="43"/>
        <v>Key-COD-CT-296</v>
      </c>
      <c r="Y296" s="84" t="s">
        <v>5526</v>
      </c>
      <c r="Z296" s="84" t="s">
        <v>692</v>
      </c>
      <c r="AA296" s="84" t="s">
        <v>5666</v>
      </c>
      <c r="AB296" s="84" t="s">
        <v>692</v>
      </c>
      <c r="AC296" s="84" t="s">
        <v>692</v>
      </c>
      <c r="AD296" s="54" t="s">
        <v>692</v>
      </c>
    </row>
    <row r="297" spans="1:30" ht="6.75" customHeight="1" x14ac:dyDescent="0.25">
      <c r="A297" s="85">
        <v>297</v>
      </c>
      <c r="B297" s="59" t="s">
        <v>5419</v>
      </c>
      <c r="C297" s="59" t="s">
        <v>1993</v>
      </c>
      <c r="D297" s="59" t="s">
        <v>2064</v>
      </c>
      <c r="E297" s="59" t="s">
        <v>2065</v>
      </c>
      <c r="F297" s="80" t="s">
        <v>2083</v>
      </c>
      <c r="G297" s="81" t="s">
        <v>692</v>
      </c>
      <c r="H297" s="81" t="s">
        <v>692</v>
      </c>
      <c r="I297" s="81" t="s">
        <v>692</v>
      </c>
      <c r="J297" s="81" t="s">
        <v>692</v>
      </c>
      <c r="K297" s="81" t="s">
        <v>692</v>
      </c>
      <c r="L297" s="53" t="str">
        <f t="shared" si="44"/>
        <v>Aberturas</v>
      </c>
      <c r="M297" s="53" t="str">
        <f t="shared" si="44"/>
        <v>Passagens.de.Instalações</v>
      </c>
      <c r="N297" s="53" t="str">
        <f t="shared" si="42"/>
        <v>Shafts</v>
      </c>
      <c r="O297" s="53" t="str">
        <f t="shared" si="42"/>
        <v>Shaft Lógico</v>
      </c>
      <c r="P297" s="54" t="s">
        <v>2084</v>
      </c>
      <c r="Q297" s="54" t="s">
        <v>2085</v>
      </c>
      <c r="R297" s="54" t="s">
        <v>6290</v>
      </c>
      <c r="S297" s="54" t="s">
        <v>692</v>
      </c>
      <c r="T297" s="55" t="str">
        <f t="shared" si="45"/>
        <v>Aberturas</v>
      </c>
      <c r="U297" s="55" t="str">
        <f t="shared" si="45"/>
        <v>Passagens de Instalações</v>
      </c>
      <c r="V297" s="55" t="str">
        <f t="shared" si="45"/>
        <v>Shafts</v>
      </c>
      <c r="W297" s="54" t="s">
        <v>7259</v>
      </c>
      <c r="X297" s="84" t="str">
        <f t="shared" si="43"/>
        <v>Key-COD-CT-297</v>
      </c>
      <c r="Y297" s="84" t="s">
        <v>5526</v>
      </c>
      <c r="Z297" s="84" t="s">
        <v>692</v>
      </c>
      <c r="AA297" s="84" t="s">
        <v>5666</v>
      </c>
      <c r="AB297" s="84" t="s">
        <v>692</v>
      </c>
      <c r="AC297" s="84" t="s">
        <v>692</v>
      </c>
      <c r="AD297" s="54" t="s">
        <v>692</v>
      </c>
    </row>
    <row r="298" spans="1:30" ht="6.75" customHeight="1" x14ac:dyDescent="0.25">
      <c r="A298" s="85">
        <v>298</v>
      </c>
      <c r="B298" s="59" t="s">
        <v>5419</v>
      </c>
      <c r="C298" s="59" t="s">
        <v>1993</v>
      </c>
      <c r="D298" s="59" t="s">
        <v>2086</v>
      </c>
      <c r="E298" s="59" t="s">
        <v>2087</v>
      </c>
      <c r="F298" s="59" t="s">
        <v>2088</v>
      </c>
      <c r="G298" s="81" t="s">
        <v>692</v>
      </c>
      <c r="H298" s="81" t="s">
        <v>692</v>
      </c>
      <c r="I298" s="81" t="s">
        <v>692</v>
      </c>
      <c r="J298" s="81" t="s">
        <v>692</v>
      </c>
      <c r="K298" s="81" t="s">
        <v>692</v>
      </c>
      <c r="L298" s="53" t="str">
        <f t="shared" si="44"/>
        <v>Aberturas</v>
      </c>
      <c r="M298" s="53" t="str">
        <f t="shared" si="44"/>
        <v>Passagens.de.Pessoas</v>
      </c>
      <c r="N298" s="53" t="str">
        <f t="shared" si="42"/>
        <v>Portas</v>
      </c>
      <c r="O298" s="53" t="str">
        <f t="shared" si="42"/>
        <v>Porta Vão</v>
      </c>
      <c r="P298" s="54" t="s">
        <v>2089</v>
      </c>
      <c r="Q298" s="54" t="s">
        <v>2090</v>
      </c>
      <c r="R298" s="54" t="s">
        <v>6291</v>
      </c>
      <c r="S298" s="54" t="s">
        <v>692</v>
      </c>
      <c r="T298" s="55" t="str">
        <f t="shared" si="45"/>
        <v>Aberturas</v>
      </c>
      <c r="U298" s="55" t="str">
        <f t="shared" si="45"/>
        <v>Passagens de Pessoas</v>
      </c>
      <c r="V298" s="55" t="str">
        <f t="shared" si="45"/>
        <v>Portas</v>
      </c>
      <c r="W298" s="54" t="s">
        <v>7259</v>
      </c>
      <c r="X298" s="84" t="str">
        <f t="shared" si="43"/>
        <v>Key-COD-CT-298</v>
      </c>
      <c r="Y298" s="84" t="s">
        <v>5498</v>
      </c>
      <c r="Z298" s="84" t="s">
        <v>692</v>
      </c>
      <c r="AA298" s="84" t="s">
        <v>5624</v>
      </c>
      <c r="AB298" s="84" t="s">
        <v>692</v>
      </c>
      <c r="AC298" s="84" t="s">
        <v>692</v>
      </c>
      <c r="AD298" s="54" t="s">
        <v>692</v>
      </c>
    </row>
    <row r="299" spans="1:30" ht="6.75" customHeight="1" x14ac:dyDescent="0.25">
      <c r="A299" s="85">
        <v>299</v>
      </c>
      <c r="B299" s="59" t="s">
        <v>5419</v>
      </c>
      <c r="C299" s="59" t="s">
        <v>1993</v>
      </c>
      <c r="D299" s="59" t="s">
        <v>2086</v>
      </c>
      <c r="E299" s="59" t="s">
        <v>2087</v>
      </c>
      <c r="F299" s="59" t="s">
        <v>2091</v>
      </c>
      <c r="G299" s="81" t="s">
        <v>692</v>
      </c>
      <c r="H299" s="81" t="s">
        <v>692</v>
      </c>
      <c r="I299" s="81" t="s">
        <v>692</v>
      </c>
      <c r="J299" s="81" t="s">
        <v>692</v>
      </c>
      <c r="K299" s="81" t="s">
        <v>692</v>
      </c>
      <c r="L299" s="53" t="str">
        <f t="shared" si="44"/>
        <v>Aberturas</v>
      </c>
      <c r="M299" s="53" t="str">
        <f t="shared" si="44"/>
        <v>Passagens.de.Pessoas</v>
      </c>
      <c r="N299" s="53" t="str">
        <f t="shared" si="42"/>
        <v>Portas</v>
      </c>
      <c r="O299" s="53" t="str">
        <f t="shared" si="42"/>
        <v>Porta Simples</v>
      </c>
      <c r="P299" s="54" t="s">
        <v>2092</v>
      </c>
      <c r="Q299" s="57" t="s">
        <v>2093</v>
      </c>
      <c r="R299" s="54" t="s">
        <v>6292</v>
      </c>
      <c r="S299" s="54" t="s">
        <v>692</v>
      </c>
      <c r="T299" s="55" t="str">
        <f t="shared" si="45"/>
        <v>Aberturas</v>
      </c>
      <c r="U299" s="55" t="str">
        <f t="shared" si="45"/>
        <v>Passagens de Pessoas</v>
      </c>
      <c r="V299" s="55" t="str">
        <f t="shared" si="45"/>
        <v>Portas</v>
      </c>
      <c r="W299" s="54" t="s">
        <v>7259</v>
      </c>
      <c r="X299" s="84" t="str">
        <f t="shared" si="43"/>
        <v>Key-COD-CT-299</v>
      </c>
      <c r="Y299" s="84" t="s">
        <v>5498</v>
      </c>
      <c r="Z299" s="84" t="s">
        <v>692</v>
      </c>
      <c r="AA299" s="84" t="s">
        <v>5624</v>
      </c>
      <c r="AB299" s="84" t="s">
        <v>692</v>
      </c>
      <c r="AC299" s="84" t="s">
        <v>692</v>
      </c>
      <c r="AD299" s="54" t="s">
        <v>692</v>
      </c>
    </row>
    <row r="300" spans="1:30" ht="6.75" customHeight="1" x14ac:dyDescent="0.25">
      <c r="A300" s="85">
        <v>300</v>
      </c>
      <c r="B300" s="59" t="s">
        <v>5419</v>
      </c>
      <c r="C300" s="59" t="s">
        <v>1993</v>
      </c>
      <c r="D300" s="59" t="s">
        <v>2086</v>
      </c>
      <c r="E300" s="59" t="s">
        <v>2087</v>
      </c>
      <c r="F300" s="59" t="s">
        <v>2094</v>
      </c>
      <c r="G300" s="81" t="s">
        <v>692</v>
      </c>
      <c r="H300" s="81" t="s">
        <v>692</v>
      </c>
      <c r="I300" s="81" t="s">
        <v>692</v>
      </c>
      <c r="J300" s="81" t="s">
        <v>692</v>
      </c>
      <c r="K300" s="81" t="s">
        <v>692</v>
      </c>
      <c r="L300" s="53" t="str">
        <f t="shared" si="44"/>
        <v>Aberturas</v>
      </c>
      <c r="M300" s="53" t="str">
        <f t="shared" si="44"/>
        <v>Passagens.de.Pessoas</v>
      </c>
      <c r="N300" s="53" t="str">
        <f t="shared" si="42"/>
        <v>Portas</v>
      </c>
      <c r="O300" s="53" t="str">
        <f t="shared" si="42"/>
        <v>Porta Dupla</v>
      </c>
      <c r="P300" s="54" t="s">
        <v>2095</v>
      </c>
      <c r="Q300" s="57" t="s">
        <v>2096</v>
      </c>
      <c r="R300" s="54" t="s">
        <v>6293</v>
      </c>
      <c r="S300" s="54" t="s">
        <v>692</v>
      </c>
      <c r="T300" s="55" t="str">
        <f t="shared" si="45"/>
        <v>Aberturas</v>
      </c>
      <c r="U300" s="55" t="str">
        <f t="shared" si="45"/>
        <v>Passagens de Pessoas</v>
      </c>
      <c r="V300" s="55" t="str">
        <f t="shared" si="45"/>
        <v>Portas</v>
      </c>
      <c r="W300" s="54" t="s">
        <v>7259</v>
      </c>
      <c r="X300" s="84" t="str">
        <f t="shared" si="43"/>
        <v>Key-COD-CT-300</v>
      </c>
      <c r="Y300" s="84" t="s">
        <v>5498</v>
      </c>
      <c r="Z300" s="84" t="s">
        <v>692</v>
      </c>
      <c r="AA300" s="84" t="s">
        <v>5624</v>
      </c>
      <c r="AB300" s="84" t="s">
        <v>692</v>
      </c>
      <c r="AC300" s="84" t="s">
        <v>692</v>
      </c>
      <c r="AD300" s="54" t="s">
        <v>692</v>
      </c>
    </row>
    <row r="301" spans="1:30" ht="6.75" customHeight="1" x14ac:dyDescent="0.25">
      <c r="A301" s="85">
        <v>301</v>
      </c>
      <c r="B301" s="59" t="s">
        <v>5419</v>
      </c>
      <c r="C301" s="59" t="s">
        <v>1993</v>
      </c>
      <c r="D301" s="59" t="s">
        <v>2086</v>
      </c>
      <c r="E301" s="59" t="s">
        <v>2087</v>
      </c>
      <c r="F301" s="59" t="s">
        <v>2097</v>
      </c>
      <c r="G301" s="81" t="s">
        <v>692</v>
      </c>
      <c r="H301" s="81" t="s">
        <v>692</v>
      </c>
      <c r="I301" s="81" t="s">
        <v>692</v>
      </c>
      <c r="J301" s="81" t="s">
        <v>692</v>
      </c>
      <c r="K301" s="81" t="s">
        <v>692</v>
      </c>
      <c r="L301" s="53" t="str">
        <f t="shared" si="44"/>
        <v>Aberturas</v>
      </c>
      <c r="M301" s="53" t="str">
        <f t="shared" si="44"/>
        <v>Passagens.de.Pessoas</v>
      </c>
      <c r="N301" s="53" t="str">
        <f t="shared" si="42"/>
        <v>Portas</v>
      </c>
      <c r="O301" s="53" t="str">
        <f t="shared" si="42"/>
        <v>Porta Assimétrica</v>
      </c>
      <c r="P301" s="54" t="s">
        <v>2098</v>
      </c>
      <c r="Q301" s="57" t="s">
        <v>2099</v>
      </c>
      <c r="R301" s="54" t="s">
        <v>6294</v>
      </c>
      <c r="S301" s="54" t="s">
        <v>692</v>
      </c>
      <c r="T301" s="55" t="str">
        <f t="shared" si="45"/>
        <v>Aberturas</v>
      </c>
      <c r="U301" s="55" t="str">
        <f t="shared" si="45"/>
        <v>Passagens de Pessoas</v>
      </c>
      <c r="V301" s="55" t="str">
        <f t="shared" si="45"/>
        <v>Portas</v>
      </c>
      <c r="W301" s="54" t="s">
        <v>7259</v>
      </c>
      <c r="X301" s="84" t="str">
        <f t="shared" si="43"/>
        <v>Key-COD-CT-301</v>
      </c>
      <c r="Y301" s="84" t="s">
        <v>5498</v>
      </c>
      <c r="Z301" s="84" t="s">
        <v>692</v>
      </c>
      <c r="AA301" s="84" t="s">
        <v>5624</v>
      </c>
      <c r="AB301" s="84" t="s">
        <v>692</v>
      </c>
      <c r="AC301" s="84" t="s">
        <v>692</v>
      </c>
      <c r="AD301" s="54" t="s">
        <v>692</v>
      </c>
    </row>
    <row r="302" spans="1:30" ht="6.75" customHeight="1" x14ac:dyDescent="0.25">
      <c r="A302" s="85">
        <v>302</v>
      </c>
      <c r="B302" s="59" t="s">
        <v>5419</v>
      </c>
      <c r="C302" s="59" t="s">
        <v>1993</v>
      </c>
      <c r="D302" s="59" t="s">
        <v>2086</v>
      </c>
      <c r="E302" s="59" t="s">
        <v>2087</v>
      </c>
      <c r="F302" s="59" t="s">
        <v>2100</v>
      </c>
      <c r="G302" s="81" t="s">
        <v>692</v>
      </c>
      <c r="H302" s="81" t="s">
        <v>692</v>
      </c>
      <c r="I302" s="81" t="s">
        <v>692</v>
      </c>
      <c r="J302" s="81" t="s">
        <v>692</v>
      </c>
      <c r="K302" s="81" t="s">
        <v>692</v>
      </c>
      <c r="L302" s="53" t="str">
        <f t="shared" si="44"/>
        <v>Aberturas</v>
      </c>
      <c r="M302" s="53" t="str">
        <f t="shared" si="44"/>
        <v>Passagens.de.Pessoas</v>
      </c>
      <c r="N302" s="53" t="str">
        <f t="shared" si="42"/>
        <v>Portas</v>
      </c>
      <c r="O302" s="53" t="str">
        <f t="shared" si="42"/>
        <v>Porta Corta Fogo</v>
      </c>
      <c r="P302" s="54" t="s">
        <v>2101</v>
      </c>
      <c r="Q302" s="57" t="s">
        <v>2102</v>
      </c>
      <c r="R302" s="54" t="s">
        <v>6295</v>
      </c>
      <c r="S302" s="54" t="s">
        <v>692</v>
      </c>
      <c r="T302" s="55" t="str">
        <f t="shared" si="45"/>
        <v>Aberturas</v>
      </c>
      <c r="U302" s="55" t="str">
        <f t="shared" si="45"/>
        <v>Passagens de Pessoas</v>
      </c>
      <c r="V302" s="55" t="str">
        <f t="shared" si="45"/>
        <v>Portas</v>
      </c>
      <c r="W302" s="54" t="s">
        <v>7259</v>
      </c>
      <c r="X302" s="84" t="str">
        <f t="shared" si="43"/>
        <v>Key-COD-CT-302</v>
      </c>
      <c r="Y302" s="84" t="s">
        <v>5498</v>
      </c>
      <c r="Z302" s="84" t="s">
        <v>692</v>
      </c>
      <c r="AA302" s="84" t="s">
        <v>5624</v>
      </c>
      <c r="AB302" s="84" t="s">
        <v>692</v>
      </c>
      <c r="AC302" s="84" t="s">
        <v>692</v>
      </c>
      <c r="AD302" s="54" t="s">
        <v>692</v>
      </c>
    </row>
    <row r="303" spans="1:30" ht="6.75" customHeight="1" x14ac:dyDescent="0.25">
      <c r="A303" s="85">
        <v>303</v>
      </c>
      <c r="B303" s="59" t="s">
        <v>5419</v>
      </c>
      <c r="C303" s="59" t="s">
        <v>1993</v>
      </c>
      <c r="D303" s="59" t="s">
        <v>2086</v>
      </c>
      <c r="E303" s="59" t="s">
        <v>2087</v>
      </c>
      <c r="F303" s="59" t="s">
        <v>2103</v>
      </c>
      <c r="G303" s="81" t="s">
        <v>692</v>
      </c>
      <c r="H303" s="81" t="s">
        <v>692</v>
      </c>
      <c r="I303" s="81" t="s">
        <v>692</v>
      </c>
      <c r="J303" s="81" t="s">
        <v>692</v>
      </c>
      <c r="K303" s="81" t="s">
        <v>692</v>
      </c>
      <c r="L303" s="53" t="str">
        <f t="shared" si="44"/>
        <v>Aberturas</v>
      </c>
      <c r="M303" s="53" t="str">
        <f t="shared" si="44"/>
        <v>Passagens.de.Pessoas</v>
      </c>
      <c r="N303" s="53" t="str">
        <f t="shared" si="42"/>
        <v>Portas</v>
      </c>
      <c r="O303" s="53" t="str">
        <f t="shared" si="42"/>
        <v>Porta Veneziana</v>
      </c>
      <c r="P303" s="54" t="s">
        <v>2104</v>
      </c>
      <c r="Q303" s="57" t="s">
        <v>2105</v>
      </c>
      <c r="R303" s="54" t="s">
        <v>6296</v>
      </c>
      <c r="S303" s="54" t="s">
        <v>692</v>
      </c>
      <c r="T303" s="55" t="str">
        <f t="shared" si="45"/>
        <v>Aberturas</v>
      </c>
      <c r="U303" s="55" t="str">
        <f t="shared" si="45"/>
        <v>Passagens de Pessoas</v>
      </c>
      <c r="V303" s="55" t="str">
        <f t="shared" si="45"/>
        <v>Portas</v>
      </c>
      <c r="W303" s="54" t="s">
        <v>7259</v>
      </c>
      <c r="X303" s="84" t="str">
        <f t="shared" si="43"/>
        <v>Key-COD-CT-303</v>
      </c>
      <c r="Y303" s="84" t="s">
        <v>5498</v>
      </c>
      <c r="Z303" s="84" t="s">
        <v>692</v>
      </c>
      <c r="AA303" s="84" t="s">
        <v>5624</v>
      </c>
      <c r="AB303" s="84" t="s">
        <v>692</v>
      </c>
      <c r="AC303" s="84" t="s">
        <v>692</v>
      </c>
      <c r="AD303" s="54" t="s">
        <v>692</v>
      </c>
    </row>
    <row r="304" spans="1:30" ht="6.75" customHeight="1" x14ac:dyDescent="0.25">
      <c r="A304" s="85">
        <v>304</v>
      </c>
      <c r="B304" s="59" t="s">
        <v>5419</v>
      </c>
      <c r="C304" s="59" t="s">
        <v>1993</v>
      </c>
      <c r="D304" s="59" t="s">
        <v>2086</v>
      </c>
      <c r="E304" s="59" t="s">
        <v>2087</v>
      </c>
      <c r="F304" s="59" t="s">
        <v>2106</v>
      </c>
      <c r="G304" s="81" t="s">
        <v>692</v>
      </c>
      <c r="H304" s="81" t="s">
        <v>692</v>
      </c>
      <c r="I304" s="81" t="s">
        <v>692</v>
      </c>
      <c r="J304" s="81" t="s">
        <v>692</v>
      </c>
      <c r="K304" s="81" t="s">
        <v>692</v>
      </c>
      <c r="L304" s="53" t="str">
        <f t="shared" si="44"/>
        <v>Aberturas</v>
      </c>
      <c r="M304" s="53" t="str">
        <f t="shared" si="44"/>
        <v>Passagens.de.Pessoas</v>
      </c>
      <c r="N304" s="53" t="str">
        <f t="shared" si="42"/>
        <v>Portas</v>
      </c>
      <c r="O304" s="53" t="str">
        <f t="shared" si="42"/>
        <v>Porta Corrediça</v>
      </c>
      <c r="P304" s="54" t="s">
        <v>2107</v>
      </c>
      <c r="Q304" s="57" t="s">
        <v>2108</v>
      </c>
      <c r="R304" s="54" t="s">
        <v>6297</v>
      </c>
      <c r="S304" s="54" t="s">
        <v>692</v>
      </c>
      <c r="T304" s="55" t="str">
        <f t="shared" si="45"/>
        <v>Aberturas</v>
      </c>
      <c r="U304" s="55" t="str">
        <f t="shared" si="45"/>
        <v>Passagens de Pessoas</v>
      </c>
      <c r="V304" s="55" t="str">
        <f t="shared" si="45"/>
        <v>Portas</v>
      </c>
      <c r="W304" s="54" t="s">
        <v>7259</v>
      </c>
      <c r="X304" s="84" t="str">
        <f t="shared" si="43"/>
        <v>Key-COD-CT-304</v>
      </c>
      <c r="Y304" s="84" t="s">
        <v>5498</v>
      </c>
      <c r="Z304" s="84" t="s">
        <v>692</v>
      </c>
      <c r="AA304" s="84" t="s">
        <v>5624</v>
      </c>
      <c r="AB304" s="84" t="s">
        <v>692</v>
      </c>
      <c r="AC304" s="84" t="s">
        <v>692</v>
      </c>
      <c r="AD304" s="54" t="s">
        <v>692</v>
      </c>
    </row>
    <row r="305" spans="1:30" ht="6.75" customHeight="1" x14ac:dyDescent="0.25">
      <c r="A305" s="85">
        <v>305</v>
      </c>
      <c r="B305" s="59" t="s">
        <v>5419</v>
      </c>
      <c r="C305" s="59" t="s">
        <v>1993</v>
      </c>
      <c r="D305" s="59" t="s">
        <v>2086</v>
      </c>
      <c r="E305" s="59" t="s">
        <v>2087</v>
      </c>
      <c r="F305" s="59" t="s">
        <v>2109</v>
      </c>
      <c r="G305" s="81" t="s">
        <v>692</v>
      </c>
      <c r="H305" s="81" t="s">
        <v>692</v>
      </c>
      <c r="I305" s="81" t="s">
        <v>692</v>
      </c>
      <c r="J305" s="81" t="s">
        <v>692</v>
      </c>
      <c r="K305" s="81" t="s">
        <v>692</v>
      </c>
      <c r="L305" s="53" t="str">
        <f t="shared" si="44"/>
        <v>Aberturas</v>
      </c>
      <c r="M305" s="53" t="str">
        <f t="shared" si="44"/>
        <v>Passagens.de.Pessoas</v>
      </c>
      <c r="N305" s="53" t="str">
        <f t="shared" si="42"/>
        <v>Portas</v>
      </c>
      <c r="O305" s="53" t="str">
        <f t="shared" si="42"/>
        <v>Porta Pivotante</v>
      </c>
      <c r="P305" s="54" t="s">
        <v>2110</v>
      </c>
      <c r="Q305" s="54" t="s">
        <v>2111</v>
      </c>
      <c r="R305" s="54" t="s">
        <v>6298</v>
      </c>
      <c r="S305" s="54" t="s">
        <v>692</v>
      </c>
      <c r="T305" s="55" t="str">
        <f t="shared" si="45"/>
        <v>Aberturas</v>
      </c>
      <c r="U305" s="55" t="str">
        <f t="shared" si="45"/>
        <v>Passagens de Pessoas</v>
      </c>
      <c r="V305" s="55" t="str">
        <f t="shared" si="45"/>
        <v>Portas</v>
      </c>
      <c r="W305" s="54" t="s">
        <v>7259</v>
      </c>
      <c r="X305" s="84" t="str">
        <f t="shared" si="43"/>
        <v>Key-COD-CT-305</v>
      </c>
      <c r="Y305" s="84" t="s">
        <v>5498</v>
      </c>
      <c r="Z305" s="84" t="s">
        <v>692</v>
      </c>
      <c r="AA305" s="84" t="s">
        <v>5624</v>
      </c>
      <c r="AB305" s="84" t="s">
        <v>692</v>
      </c>
      <c r="AC305" s="84" t="s">
        <v>692</v>
      </c>
      <c r="AD305" s="54" t="s">
        <v>692</v>
      </c>
    </row>
    <row r="306" spans="1:30" ht="6.75" customHeight="1" x14ac:dyDescent="0.25">
      <c r="A306" s="85">
        <v>306</v>
      </c>
      <c r="B306" s="59" t="s">
        <v>5419</v>
      </c>
      <c r="C306" s="59" t="s">
        <v>1993</v>
      </c>
      <c r="D306" s="59" t="s">
        <v>2086</v>
      </c>
      <c r="E306" s="59" t="s">
        <v>2087</v>
      </c>
      <c r="F306" s="59" t="s">
        <v>2112</v>
      </c>
      <c r="G306" s="81" t="s">
        <v>692</v>
      </c>
      <c r="H306" s="81" t="s">
        <v>692</v>
      </c>
      <c r="I306" s="81" t="s">
        <v>692</v>
      </c>
      <c r="J306" s="81" t="s">
        <v>692</v>
      </c>
      <c r="K306" s="81" t="s">
        <v>692</v>
      </c>
      <c r="L306" s="53" t="str">
        <f t="shared" si="44"/>
        <v>Aberturas</v>
      </c>
      <c r="M306" s="53" t="str">
        <f t="shared" si="44"/>
        <v>Passagens.de.Pessoas</v>
      </c>
      <c r="N306" s="53" t="str">
        <f t="shared" si="42"/>
        <v>Portas</v>
      </c>
      <c r="O306" s="53" t="str">
        <f t="shared" si="42"/>
        <v>Porta Articulada</v>
      </c>
      <c r="P306" s="54" t="s">
        <v>2113</v>
      </c>
      <c r="Q306" s="57" t="s">
        <v>2114</v>
      </c>
      <c r="R306" s="54" t="s">
        <v>6299</v>
      </c>
      <c r="S306" s="54" t="s">
        <v>692</v>
      </c>
      <c r="T306" s="55" t="str">
        <f t="shared" si="45"/>
        <v>Aberturas</v>
      </c>
      <c r="U306" s="55" t="str">
        <f t="shared" si="45"/>
        <v>Passagens de Pessoas</v>
      </c>
      <c r="V306" s="55" t="str">
        <f t="shared" si="45"/>
        <v>Portas</v>
      </c>
      <c r="W306" s="54" t="s">
        <v>7259</v>
      </c>
      <c r="X306" s="84" t="str">
        <f t="shared" si="43"/>
        <v>Key-COD-CT-306</v>
      </c>
      <c r="Y306" s="84" t="s">
        <v>5498</v>
      </c>
      <c r="Z306" s="84" t="s">
        <v>692</v>
      </c>
      <c r="AA306" s="84" t="s">
        <v>5624</v>
      </c>
      <c r="AB306" s="84" t="s">
        <v>692</v>
      </c>
      <c r="AC306" s="84" t="s">
        <v>692</v>
      </c>
      <c r="AD306" s="54" t="s">
        <v>692</v>
      </c>
    </row>
    <row r="307" spans="1:30" ht="6.75" customHeight="1" x14ac:dyDescent="0.25">
      <c r="A307" s="85">
        <v>307</v>
      </c>
      <c r="B307" s="59" t="s">
        <v>5419</v>
      </c>
      <c r="C307" s="59" t="s">
        <v>1993</v>
      </c>
      <c r="D307" s="59" t="s">
        <v>2086</v>
      </c>
      <c r="E307" s="59" t="s">
        <v>2087</v>
      </c>
      <c r="F307" s="59" t="s">
        <v>2115</v>
      </c>
      <c r="G307" s="81" t="s">
        <v>692</v>
      </c>
      <c r="H307" s="81" t="s">
        <v>692</v>
      </c>
      <c r="I307" s="81" t="s">
        <v>692</v>
      </c>
      <c r="J307" s="81" t="s">
        <v>692</v>
      </c>
      <c r="K307" s="81" t="s">
        <v>692</v>
      </c>
      <c r="L307" s="53" t="str">
        <f t="shared" si="44"/>
        <v>Aberturas</v>
      </c>
      <c r="M307" s="53" t="str">
        <f t="shared" si="44"/>
        <v>Passagens.de.Pessoas</v>
      </c>
      <c r="N307" s="53" t="str">
        <f t="shared" si="42"/>
        <v>Portas</v>
      </c>
      <c r="O307" s="53" t="str">
        <f t="shared" si="42"/>
        <v>Porta Bandeira</v>
      </c>
      <c r="P307" s="54" t="s">
        <v>2116</v>
      </c>
      <c r="Q307" s="57" t="s">
        <v>2117</v>
      </c>
      <c r="R307" s="54" t="s">
        <v>6300</v>
      </c>
      <c r="S307" s="54" t="s">
        <v>692</v>
      </c>
      <c r="T307" s="55" t="str">
        <f t="shared" si="45"/>
        <v>Aberturas</v>
      </c>
      <c r="U307" s="55" t="str">
        <f t="shared" si="45"/>
        <v>Passagens de Pessoas</v>
      </c>
      <c r="V307" s="55" t="str">
        <f t="shared" si="45"/>
        <v>Portas</v>
      </c>
      <c r="W307" s="54" t="s">
        <v>7259</v>
      </c>
      <c r="X307" s="84" t="str">
        <f t="shared" si="43"/>
        <v>Key-COD-CT-307</v>
      </c>
      <c r="Y307" s="84" t="s">
        <v>5498</v>
      </c>
      <c r="Z307" s="84" t="s">
        <v>692</v>
      </c>
      <c r="AA307" s="84" t="s">
        <v>5624</v>
      </c>
      <c r="AB307" s="84" t="s">
        <v>692</v>
      </c>
      <c r="AC307" s="84" t="s">
        <v>692</v>
      </c>
      <c r="AD307" s="54" t="s">
        <v>692</v>
      </c>
    </row>
    <row r="308" spans="1:30" ht="6.75" customHeight="1" x14ac:dyDescent="0.25">
      <c r="A308" s="85">
        <v>308</v>
      </c>
      <c r="B308" s="59" t="s">
        <v>5419</v>
      </c>
      <c r="C308" s="59" t="s">
        <v>1993</v>
      </c>
      <c r="D308" s="59" t="s">
        <v>2086</v>
      </c>
      <c r="E308" s="59" t="s">
        <v>2087</v>
      </c>
      <c r="F308" s="59" t="s">
        <v>2118</v>
      </c>
      <c r="G308" s="81" t="s">
        <v>692</v>
      </c>
      <c r="H308" s="81" t="s">
        <v>692</v>
      </c>
      <c r="I308" s="81" t="s">
        <v>692</v>
      </c>
      <c r="J308" s="81" t="s">
        <v>692</v>
      </c>
      <c r="K308" s="81" t="s">
        <v>692</v>
      </c>
      <c r="L308" s="53" t="str">
        <f t="shared" si="44"/>
        <v>Aberturas</v>
      </c>
      <c r="M308" s="53" t="str">
        <f t="shared" si="44"/>
        <v>Passagens.de.Pessoas</v>
      </c>
      <c r="N308" s="53" t="str">
        <f t="shared" si="42"/>
        <v>Portas</v>
      </c>
      <c r="O308" s="53" t="str">
        <f t="shared" si="42"/>
        <v>Porta Giratória</v>
      </c>
      <c r="P308" s="54" t="s">
        <v>2119</v>
      </c>
      <c r="Q308" s="57" t="s">
        <v>2120</v>
      </c>
      <c r="R308" s="54" t="s">
        <v>6301</v>
      </c>
      <c r="S308" s="54" t="s">
        <v>692</v>
      </c>
      <c r="T308" s="55" t="str">
        <f t="shared" si="45"/>
        <v>Aberturas</v>
      </c>
      <c r="U308" s="55" t="str">
        <f t="shared" si="45"/>
        <v>Passagens de Pessoas</v>
      </c>
      <c r="V308" s="55" t="str">
        <f t="shared" si="45"/>
        <v>Portas</v>
      </c>
      <c r="W308" s="54" t="s">
        <v>7259</v>
      </c>
      <c r="X308" s="84" t="str">
        <f t="shared" si="43"/>
        <v>Key-COD-CT-308</v>
      </c>
      <c r="Y308" s="84" t="s">
        <v>5498</v>
      </c>
      <c r="Z308" s="84" t="s">
        <v>692</v>
      </c>
      <c r="AA308" s="84" t="s">
        <v>5624</v>
      </c>
      <c r="AB308" s="84" t="s">
        <v>692</v>
      </c>
      <c r="AC308" s="84" t="s">
        <v>692</v>
      </c>
      <c r="AD308" s="54" t="s">
        <v>692</v>
      </c>
    </row>
    <row r="309" spans="1:30" ht="6.75" customHeight="1" x14ac:dyDescent="0.25">
      <c r="A309" s="85">
        <v>309</v>
      </c>
      <c r="B309" s="59" t="s">
        <v>5419</v>
      </c>
      <c r="C309" s="59" t="s">
        <v>1993</v>
      </c>
      <c r="D309" s="59" t="s">
        <v>2086</v>
      </c>
      <c r="E309" s="59" t="s">
        <v>2087</v>
      </c>
      <c r="F309" s="59" t="s">
        <v>2121</v>
      </c>
      <c r="G309" s="81" t="s">
        <v>692</v>
      </c>
      <c r="H309" s="81" t="s">
        <v>692</v>
      </c>
      <c r="I309" s="81" t="s">
        <v>692</v>
      </c>
      <c r="J309" s="81" t="s">
        <v>692</v>
      </c>
      <c r="K309" s="81" t="s">
        <v>692</v>
      </c>
      <c r="L309" s="53" t="str">
        <f t="shared" si="44"/>
        <v>Aberturas</v>
      </c>
      <c r="M309" s="53" t="str">
        <f t="shared" si="44"/>
        <v>Passagens.de.Pessoas</v>
      </c>
      <c r="N309" s="53" t="str">
        <f t="shared" si="42"/>
        <v>Portas</v>
      </c>
      <c r="O309" s="53" t="str">
        <f t="shared" si="42"/>
        <v>Porta Frigorífica</v>
      </c>
      <c r="P309" s="54" t="s">
        <v>2122</v>
      </c>
      <c r="Q309" s="57" t="s">
        <v>2123</v>
      </c>
      <c r="R309" s="54" t="s">
        <v>6302</v>
      </c>
      <c r="S309" s="54" t="s">
        <v>692</v>
      </c>
      <c r="T309" s="55" t="str">
        <f t="shared" si="45"/>
        <v>Aberturas</v>
      </c>
      <c r="U309" s="55" t="str">
        <f t="shared" si="45"/>
        <v>Passagens de Pessoas</v>
      </c>
      <c r="V309" s="55" t="str">
        <f t="shared" si="45"/>
        <v>Portas</v>
      </c>
      <c r="W309" s="54" t="s">
        <v>7259</v>
      </c>
      <c r="X309" s="84" t="str">
        <f t="shared" si="43"/>
        <v>Key-COD-CT-309</v>
      </c>
      <c r="Y309" s="84" t="s">
        <v>5498</v>
      </c>
      <c r="Z309" s="84" t="s">
        <v>692</v>
      </c>
      <c r="AA309" s="84" t="s">
        <v>5624</v>
      </c>
      <c r="AB309" s="84" t="s">
        <v>692</v>
      </c>
      <c r="AC309" s="84" t="s">
        <v>692</v>
      </c>
      <c r="AD309" s="54" t="s">
        <v>692</v>
      </c>
    </row>
    <row r="310" spans="1:30" ht="6.75" customHeight="1" x14ac:dyDescent="0.25">
      <c r="A310" s="85">
        <v>310</v>
      </c>
      <c r="B310" s="59" t="s">
        <v>5419</v>
      </c>
      <c r="C310" s="59" t="s">
        <v>1993</v>
      </c>
      <c r="D310" s="59" t="s">
        <v>2086</v>
      </c>
      <c r="E310" s="59" t="s">
        <v>2087</v>
      </c>
      <c r="F310" s="59" t="s">
        <v>2124</v>
      </c>
      <c r="G310" s="81" t="s">
        <v>692</v>
      </c>
      <c r="H310" s="81" t="s">
        <v>692</v>
      </c>
      <c r="I310" s="81" t="s">
        <v>692</v>
      </c>
      <c r="J310" s="81" t="s">
        <v>692</v>
      </c>
      <c r="K310" s="81" t="s">
        <v>692</v>
      </c>
      <c r="L310" s="53" t="str">
        <f t="shared" si="44"/>
        <v>Aberturas</v>
      </c>
      <c r="M310" s="53" t="str">
        <f t="shared" si="44"/>
        <v>Passagens.de.Pessoas</v>
      </c>
      <c r="N310" s="53" t="str">
        <f t="shared" si="42"/>
        <v>Portas</v>
      </c>
      <c r="O310" s="53" t="str">
        <f t="shared" si="42"/>
        <v>Porta Biológica</v>
      </c>
      <c r="P310" s="54" t="s">
        <v>2125</v>
      </c>
      <c r="Q310" s="57" t="s">
        <v>2126</v>
      </c>
      <c r="R310" s="54" t="s">
        <v>6303</v>
      </c>
      <c r="S310" s="54" t="s">
        <v>692</v>
      </c>
      <c r="T310" s="55" t="str">
        <f t="shared" si="45"/>
        <v>Aberturas</v>
      </c>
      <c r="U310" s="55" t="str">
        <f t="shared" si="45"/>
        <v>Passagens de Pessoas</v>
      </c>
      <c r="V310" s="55" t="str">
        <f t="shared" si="45"/>
        <v>Portas</v>
      </c>
      <c r="W310" s="54" t="s">
        <v>7259</v>
      </c>
      <c r="X310" s="84" t="str">
        <f t="shared" si="43"/>
        <v>Key-COD-CT-310</v>
      </c>
      <c r="Y310" s="84" t="s">
        <v>5498</v>
      </c>
      <c r="Z310" s="84" t="s">
        <v>692</v>
      </c>
      <c r="AA310" s="84" t="s">
        <v>5624</v>
      </c>
      <c r="AB310" s="84" t="s">
        <v>692</v>
      </c>
      <c r="AC310" s="84" t="s">
        <v>692</v>
      </c>
      <c r="AD310" s="54" t="s">
        <v>692</v>
      </c>
    </row>
    <row r="311" spans="1:30" ht="6.75" customHeight="1" x14ac:dyDescent="0.25">
      <c r="A311" s="85">
        <v>311</v>
      </c>
      <c r="B311" s="59" t="s">
        <v>5419</v>
      </c>
      <c r="C311" s="59" t="s">
        <v>1993</v>
      </c>
      <c r="D311" s="59" t="s">
        <v>2086</v>
      </c>
      <c r="E311" s="59" t="s">
        <v>2087</v>
      </c>
      <c r="F311" s="59" t="s">
        <v>2127</v>
      </c>
      <c r="G311" s="81" t="s">
        <v>692</v>
      </c>
      <c r="H311" s="81" t="s">
        <v>692</v>
      </c>
      <c r="I311" s="81" t="s">
        <v>692</v>
      </c>
      <c r="J311" s="81" t="s">
        <v>692</v>
      </c>
      <c r="K311" s="81" t="s">
        <v>692</v>
      </c>
      <c r="L311" s="53" t="str">
        <f t="shared" si="44"/>
        <v>Aberturas</v>
      </c>
      <c r="M311" s="53" t="str">
        <f t="shared" si="44"/>
        <v>Passagens.de.Pessoas</v>
      </c>
      <c r="N311" s="53" t="str">
        <f t="shared" si="42"/>
        <v>Portas</v>
      </c>
      <c r="O311" s="53" t="str">
        <f t="shared" si="42"/>
        <v>Porta Blindada</v>
      </c>
      <c r="P311" s="54" t="s">
        <v>2128</v>
      </c>
      <c r="Q311" s="57" t="s">
        <v>2129</v>
      </c>
      <c r="R311" s="54" t="s">
        <v>6304</v>
      </c>
      <c r="S311" s="54" t="s">
        <v>692</v>
      </c>
      <c r="T311" s="55" t="str">
        <f t="shared" si="45"/>
        <v>Aberturas</v>
      </c>
      <c r="U311" s="55" t="str">
        <f t="shared" si="45"/>
        <v>Passagens de Pessoas</v>
      </c>
      <c r="V311" s="55" t="str">
        <f t="shared" si="45"/>
        <v>Portas</v>
      </c>
      <c r="W311" s="54" t="s">
        <v>7259</v>
      </c>
      <c r="X311" s="84" t="str">
        <f t="shared" si="43"/>
        <v>Key-COD-CT-311</v>
      </c>
      <c r="Y311" s="84" t="s">
        <v>5498</v>
      </c>
      <c r="Z311" s="84" t="s">
        <v>692</v>
      </c>
      <c r="AA311" s="84" t="s">
        <v>5624</v>
      </c>
      <c r="AB311" s="84" t="s">
        <v>692</v>
      </c>
      <c r="AC311" s="84" t="s">
        <v>692</v>
      </c>
      <c r="AD311" s="54" t="s">
        <v>692</v>
      </c>
    </row>
    <row r="312" spans="1:30" ht="6.75" customHeight="1" x14ac:dyDescent="0.25">
      <c r="A312" s="85">
        <v>312</v>
      </c>
      <c r="B312" s="59" t="s">
        <v>5419</v>
      </c>
      <c r="C312" s="59" t="s">
        <v>1993</v>
      </c>
      <c r="D312" s="59" t="s">
        <v>2086</v>
      </c>
      <c r="E312" s="59" t="s">
        <v>2087</v>
      </c>
      <c r="F312" s="59" t="s">
        <v>2130</v>
      </c>
      <c r="G312" s="81" t="s">
        <v>692</v>
      </c>
      <c r="H312" s="81" t="s">
        <v>692</v>
      </c>
      <c r="I312" s="81" t="s">
        <v>692</v>
      </c>
      <c r="J312" s="81" t="s">
        <v>692</v>
      </c>
      <c r="K312" s="81" t="s">
        <v>692</v>
      </c>
      <c r="L312" s="53" t="str">
        <f t="shared" si="44"/>
        <v>Aberturas</v>
      </c>
      <c r="M312" s="53" t="str">
        <f t="shared" si="44"/>
        <v>Passagens.de.Pessoas</v>
      </c>
      <c r="N312" s="53" t="str">
        <f t="shared" ref="N312:O377" si="46">(SUBSTITUTE(SUBSTITUTE(CONCATENATE("",E312),"."," ")," De "," de "))</f>
        <v>Portas</v>
      </c>
      <c r="O312" s="53" t="str">
        <f t="shared" si="46"/>
        <v>Porta Telescópica</v>
      </c>
      <c r="P312" s="54" t="s">
        <v>2131</v>
      </c>
      <c r="Q312" s="57" t="s">
        <v>2132</v>
      </c>
      <c r="R312" s="54" t="s">
        <v>6305</v>
      </c>
      <c r="S312" s="54" t="s">
        <v>692</v>
      </c>
      <c r="T312" s="55" t="str">
        <f t="shared" si="45"/>
        <v>Aberturas</v>
      </c>
      <c r="U312" s="55" t="str">
        <f t="shared" si="45"/>
        <v>Passagens de Pessoas</v>
      </c>
      <c r="V312" s="55" t="str">
        <f t="shared" si="45"/>
        <v>Portas</v>
      </c>
      <c r="W312" s="54" t="s">
        <v>7259</v>
      </c>
      <c r="X312" s="84" t="str">
        <f t="shared" si="43"/>
        <v>Key-COD-CT-312</v>
      </c>
      <c r="Y312" s="84" t="s">
        <v>5498</v>
      </c>
      <c r="Z312" s="84" t="s">
        <v>692</v>
      </c>
      <c r="AA312" s="84" t="s">
        <v>5624</v>
      </c>
      <c r="AB312" s="84" t="s">
        <v>692</v>
      </c>
      <c r="AC312" s="84" t="s">
        <v>692</v>
      </c>
      <c r="AD312" s="54" t="s">
        <v>692</v>
      </c>
    </row>
    <row r="313" spans="1:30" ht="6.75" customHeight="1" x14ac:dyDescent="0.25">
      <c r="A313" s="85">
        <v>313</v>
      </c>
      <c r="B313" s="59" t="s">
        <v>5419</v>
      </c>
      <c r="C313" s="59" t="s">
        <v>1993</v>
      </c>
      <c r="D313" s="59" t="s">
        <v>2133</v>
      </c>
      <c r="E313" s="59" t="s">
        <v>2134</v>
      </c>
      <c r="F313" s="59" t="s">
        <v>2135</v>
      </c>
      <c r="G313" s="81" t="s">
        <v>692</v>
      </c>
      <c r="H313" s="81" t="s">
        <v>692</v>
      </c>
      <c r="I313" s="81" t="s">
        <v>692</v>
      </c>
      <c r="J313" s="81" t="s">
        <v>692</v>
      </c>
      <c r="K313" s="81" t="s">
        <v>692</v>
      </c>
      <c r="L313" s="53" t="str">
        <f t="shared" si="44"/>
        <v>Aberturas</v>
      </c>
      <c r="M313" s="53" t="str">
        <f t="shared" si="44"/>
        <v>Passagens.de.Veículos</v>
      </c>
      <c r="N313" s="53" t="str">
        <f t="shared" si="46"/>
        <v>Portões</v>
      </c>
      <c r="O313" s="53" t="str">
        <f t="shared" si="46"/>
        <v>Portão Garagem</v>
      </c>
      <c r="P313" s="54" t="s">
        <v>2136</v>
      </c>
      <c r="Q313" s="54" t="s">
        <v>2137</v>
      </c>
      <c r="R313" s="54" t="s">
        <v>6306</v>
      </c>
      <c r="S313" s="54" t="s">
        <v>692</v>
      </c>
      <c r="T313" s="55" t="str">
        <f t="shared" si="45"/>
        <v>Aberturas</v>
      </c>
      <c r="U313" s="55" t="str">
        <f t="shared" si="45"/>
        <v>Passagens de Veículos</v>
      </c>
      <c r="V313" s="55" t="str">
        <f t="shared" si="45"/>
        <v>Portões</v>
      </c>
      <c r="W313" s="54" t="s">
        <v>7259</v>
      </c>
      <c r="X313" s="84" t="str">
        <f t="shared" si="43"/>
        <v>Key-COD-CT-313</v>
      </c>
      <c r="Y313" s="84" t="s">
        <v>5498</v>
      </c>
      <c r="Z313" s="84" t="s">
        <v>692</v>
      </c>
      <c r="AA313" s="84" t="s">
        <v>5624</v>
      </c>
      <c r="AB313" s="84" t="s">
        <v>692</v>
      </c>
      <c r="AC313" s="84" t="s">
        <v>692</v>
      </c>
      <c r="AD313" s="54" t="s">
        <v>692</v>
      </c>
    </row>
    <row r="314" spans="1:30" ht="6.75" customHeight="1" x14ac:dyDescent="0.25">
      <c r="A314" s="85">
        <v>314</v>
      </c>
      <c r="B314" s="59" t="s">
        <v>5419</v>
      </c>
      <c r="C314" s="59" t="s">
        <v>1993</v>
      </c>
      <c r="D314" s="59" t="s">
        <v>2133</v>
      </c>
      <c r="E314" s="59" t="s">
        <v>2134</v>
      </c>
      <c r="F314" s="59" t="s">
        <v>2138</v>
      </c>
      <c r="G314" s="81" t="s">
        <v>692</v>
      </c>
      <c r="H314" s="81" t="s">
        <v>692</v>
      </c>
      <c r="I314" s="81" t="s">
        <v>692</v>
      </c>
      <c r="J314" s="81" t="s">
        <v>692</v>
      </c>
      <c r="K314" s="81" t="s">
        <v>692</v>
      </c>
      <c r="L314" s="53" t="str">
        <f t="shared" si="44"/>
        <v>Aberturas</v>
      </c>
      <c r="M314" s="53" t="str">
        <f t="shared" si="44"/>
        <v>Passagens.de.Veículos</v>
      </c>
      <c r="N314" s="53" t="str">
        <f t="shared" si="46"/>
        <v>Portões</v>
      </c>
      <c r="O314" s="53" t="str">
        <f t="shared" si="46"/>
        <v>Portão Seccional</v>
      </c>
      <c r="P314" s="54" t="s">
        <v>2139</v>
      </c>
      <c r="Q314" s="54" t="s">
        <v>2140</v>
      </c>
      <c r="R314" s="54" t="s">
        <v>6307</v>
      </c>
      <c r="S314" s="54" t="s">
        <v>692</v>
      </c>
      <c r="T314" s="55" t="str">
        <f t="shared" si="45"/>
        <v>Aberturas</v>
      </c>
      <c r="U314" s="55" t="str">
        <f t="shared" si="45"/>
        <v>Passagens de Veículos</v>
      </c>
      <c r="V314" s="55" t="str">
        <f t="shared" si="45"/>
        <v>Portões</v>
      </c>
      <c r="W314" s="54" t="s">
        <v>7259</v>
      </c>
      <c r="X314" s="84" t="str">
        <f t="shared" si="43"/>
        <v>Key-COD-CT-314</v>
      </c>
      <c r="Y314" s="84" t="s">
        <v>5498</v>
      </c>
      <c r="Z314" s="84" t="s">
        <v>692</v>
      </c>
      <c r="AA314" s="84" t="s">
        <v>5624</v>
      </c>
      <c r="AB314" s="84" t="s">
        <v>692</v>
      </c>
      <c r="AC314" s="84" t="s">
        <v>692</v>
      </c>
      <c r="AD314" s="54" t="s">
        <v>692</v>
      </c>
    </row>
    <row r="315" spans="1:30" ht="6.75" customHeight="1" x14ac:dyDescent="0.25">
      <c r="A315" s="85">
        <v>315</v>
      </c>
      <c r="B315" s="59" t="s">
        <v>5419</v>
      </c>
      <c r="C315" s="59" t="s">
        <v>1993</v>
      </c>
      <c r="D315" s="59" t="s">
        <v>2141</v>
      </c>
      <c r="E315" s="59" t="s">
        <v>2142</v>
      </c>
      <c r="F315" s="59" t="s">
        <v>2143</v>
      </c>
      <c r="G315" s="81" t="s">
        <v>692</v>
      </c>
      <c r="H315" s="81" t="s">
        <v>692</v>
      </c>
      <c r="I315" s="81" t="s">
        <v>692</v>
      </c>
      <c r="J315" s="81" t="s">
        <v>692</v>
      </c>
      <c r="K315" s="81" t="s">
        <v>692</v>
      </c>
      <c r="L315" s="53" t="str">
        <f t="shared" si="44"/>
        <v>Aberturas</v>
      </c>
      <c r="M315" s="53" t="str">
        <f t="shared" si="44"/>
        <v>Passagens.Técnicas</v>
      </c>
      <c r="N315" s="53" t="str">
        <f t="shared" si="46"/>
        <v>Alçapões</v>
      </c>
      <c r="O315" s="53" t="str">
        <f t="shared" si="46"/>
        <v>Alçapão Acesso</v>
      </c>
      <c r="P315" s="56" t="s">
        <v>2144</v>
      </c>
      <c r="Q315" s="57" t="s">
        <v>2145</v>
      </c>
      <c r="R315" s="54" t="s">
        <v>6308</v>
      </c>
      <c r="S315" s="54" t="s">
        <v>692</v>
      </c>
      <c r="T315" s="55" t="str">
        <f t="shared" si="45"/>
        <v>Aberturas</v>
      </c>
      <c r="U315" s="55" t="str">
        <f t="shared" si="45"/>
        <v>Passagens Técnicas</v>
      </c>
      <c r="V315" s="55" t="str">
        <f t="shared" si="45"/>
        <v>Alçapões</v>
      </c>
      <c r="W315" s="54" t="s">
        <v>7259</v>
      </c>
      <c r="X315" s="84" t="str">
        <f t="shared" si="43"/>
        <v>Key-COD-CT-315</v>
      </c>
      <c r="Y315" s="84" t="s">
        <v>5498</v>
      </c>
      <c r="Z315" s="84" t="s">
        <v>692</v>
      </c>
      <c r="AA315" s="84" t="s">
        <v>5624</v>
      </c>
      <c r="AB315" s="84" t="s">
        <v>692</v>
      </c>
      <c r="AC315" s="84" t="s">
        <v>692</v>
      </c>
      <c r="AD315" s="54" t="s">
        <v>692</v>
      </c>
    </row>
    <row r="316" spans="1:30" ht="6.75" customHeight="1" x14ac:dyDescent="0.25">
      <c r="A316" s="85">
        <v>316</v>
      </c>
      <c r="B316" s="59" t="s">
        <v>5419</v>
      </c>
      <c r="C316" s="59" t="s">
        <v>1993</v>
      </c>
      <c r="D316" s="59" t="s">
        <v>2141</v>
      </c>
      <c r="E316" s="59" t="s">
        <v>2142</v>
      </c>
      <c r="F316" s="59" t="s">
        <v>2146</v>
      </c>
      <c r="G316" s="81" t="s">
        <v>692</v>
      </c>
      <c r="H316" s="81" t="s">
        <v>692</v>
      </c>
      <c r="I316" s="81" t="s">
        <v>692</v>
      </c>
      <c r="J316" s="81" t="s">
        <v>692</v>
      </c>
      <c r="K316" s="81" t="s">
        <v>692</v>
      </c>
      <c r="L316" s="53" t="str">
        <f t="shared" si="44"/>
        <v>Aberturas</v>
      </c>
      <c r="M316" s="53" t="str">
        <f t="shared" si="44"/>
        <v>Passagens.Técnicas</v>
      </c>
      <c r="N316" s="53" t="str">
        <f t="shared" si="46"/>
        <v>Alçapões</v>
      </c>
      <c r="O316" s="53" t="str">
        <f t="shared" si="46"/>
        <v>Alçapão Emergência</v>
      </c>
      <c r="P316" s="56" t="s">
        <v>2147</v>
      </c>
      <c r="Q316" s="57" t="s">
        <v>2148</v>
      </c>
      <c r="R316" s="54" t="s">
        <v>6309</v>
      </c>
      <c r="S316" s="54" t="s">
        <v>692</v>
      </c>
      <c r="T316" s="55" t="str">
        <f t="shared" si="45"/>
        <v>Aberturas</v>
      </c>
      <c r="U316" s="55" t="str">
        <f t="shared" si="45"/>
        <v>Passagens Técnicas</v>
      </c>
      <c r="V316" s="55" t="str">
        <f t="shared" si="45"/>
        <v>Alçapões</v>
      </c>
      <c r="W316" s="54" t="s">
        <v>7259</v>
      </c>
      <c r="X316" s="84" t="str">
        <f t="shared" si="43"/>
        <v>Key-COD-CT-316</v>
      </c>
      <c r="Y316" s="84" t="s">
        <v>5498</v>
      </c>
      <c r="Z316" s="84" t="s">
        <v>692</v>
      </c>
      <c r="AA316" s="84" t="s">
        <v>5624</v>
      </c>
      <c r="AB316" s="84" t="s">
        <v>692</v>
      </c>
      <c r="AC316" s="84" t="s">
        <v>692</v>
      </c>
      <c r="AD316" s="54" t="s">
        <v>692</v>
      </c>
    </row>
    <row r="317" spans="1:30" ht="6.75" customHeight="1" x14ac:dyDescent="0.25">
      <c r="A317" s="85">
        <v>317</v>
      </c>
      <c r="B317" s="59" t="s">
        <v>5419</v>
      </c>
      <c r="C317" s="59" t="s">
        <v>1993</v>
      </c>
      <c r="D317" s="59" t="s">
        <v>2149</v>
      </c>
      <c r="E317" s="59" t="s">
        <v>2150</v>
      </c>
      <c r="F317" s="59" t="s">
        <v>2151</v>
      </c>
      <c r="G317" s="81" t="s">
        <v>692</v>
      </c>
      <c r="H317" s="81" t="s">
        <v>692</v>
      </c>
      <c r="I317" s="81" t="s">
        <v>692</v>
      </c>
      <c r="J317" s="81" t="s">
        <v>692</v>
      </c>
      <c r="K317" s="81" t="s">
        <v>692</v>
      </c>
      <c r="L317" s="53" t="str">
        <f t="shared" si="44"/>
        <v>Aberturas</v>
      </c>
      <c r="M317" s="53" t="str">
        <f t="shared" si="44"/>
        <v>Passagens.de.Produtos</v>
      </c>
      <c r="N317" s="53" t="str">
        <f t="shared" si="46"/>
        <v>PassThroughs</v>
      </c>
      <c r="O317" s="53" t="str">
        <f t="shared" si="46"/>
        <v>PassT Farmacéutico</v>
      </c>
      <c r="P317" s="54" t="s">
        <v>2152</v>
      </c>
      <c r="Q317" s="57" t="s">
        <v>2153</v>
      </c>
      <c r="R317" s="54" t="s">
        <v>6310</v>
      </c>
      <c r="S317" s="54" t="s">
        <v>692</v>
      </c>
      <c r="T317" s="55" t="str">
        <f t="shared" si="45"/>
        <v>Aberturas</v>
      </c>
      <c r="U317" s="55" t="str">
        <f t="shared" si="45"/>
        <v>Passagens de Produtos</v>
      </c>
      <c r="V317" s="55" t="str">
        <f t="shared" si="45"/>
        <v>PassThroughs</v>
      </c>
      <c r="W317" s="54" t="s">
        <v>7259</v>
      </c>
      <c r="X317" s="84" t="str">
        <f t="shared" si="43"/>
        <v>Key-COD-CT-317</v>
      </c>
      <c r="Y317" s="84" t="s">
        <v>5498</v>
      </c>
      <c r="Z317" s="84" t="s">
        <v>692</v>
      </c>
      <c r="AA317" s="84" t="s">
        <v>5624</v>
      </c>
      <c r="AB317" s="84" t="s">
        <v>692</v>
      </c>
      <c r="AC317" s="84" t="s">
        <v>692</v>
      </c>
      <c r="AD317" s="54" t="s">
        <v>692</v>
      </c>
    </row>
    <row r="318" spans="1:30" ht="6.75" customHeight="1" x14ac:dyDescent="0.25">
      <c r="A318" s="85">
        <v>318</v>
      </c>
      <c r="B318" s="59" t="s">
        <v>5419</v>
      </c>
      <c r="C318" s="59" t="s">
        <v>1993</v>
      </c>
      <c r="D318" s="59" t="s">
        <v>2149</v>
      </c>
      <c r="E318" s="59" t="s">
        <v>2150</v>
      </c>
      <c r="F318" s="59" t="s">
        <v>2154</v>
      </c>
      <c r="G318" s="81" t="s">
        <v>692</v>
      </c>
      <c r="H318" s="81" t="s">
        <v>692</v>
      </c>
      <c r="I318" s="81" t="s">
        <v>692</v>
      </c>
      <c r="J318" s="81" t="s">
        <v>692</v>
      </c>
      <c r="K318" s="81" t="s">
        <v>692</v>
      </c>
      <c r="L318" s="53" t="str">
        <f t="shared" si="44"/>
        <v>Aberturas</v>
      </c>
      <c r="M318" s="53" t="str">
        <f t="shared" si="44"/>
        <v>Passagens.de.Produtos</v>
      </c>
      <c r="N318" s="53" t="str">
        <f t="shared" si="46"/>
        <v>PassThroughs</v>
      </c>
      <c r="O318" s="53" t="str">
        <f t="shared" si="46"/>
        <v>PassT Biológico</v>
      </c>
      <c r="P318" s="54" t="s">
        <v>2152</v>
      </c>
      <c r="Q318" s="57" t="s">
        <v>2155</v>
      </c>
      <c r="R318" s="54" t="s">
        <v>6310</v>
      </c>
      <c r="S318" s="54" t="s">
        <v>692</v>
      </c>
      <c r="T318" s="55" t="str">
        <f t="shared" si="45"/>
        <v>Aberturas</v>
      </c>
      <c r="U318" s="55" t="str">
        <f t="shared" si="45"/>
        <v>Passagens de Produtos</v>
      </c>
      <c r="V318" s="55" t="str">
        <f t="shared" si="45"/>
        <v>PassThroughs</v>
      </c>
      <c r="W318" s="54" t="s">
        <v>7259</v>
      </c>
      <c r="X318" s="84" t="str">
        <f t="shared" si="43"/>
        <v>Key-COD-CT-318</v>
      </c>
      <c r="Y318" s="84" t="s">
        <v>5498</v>
      </c>
      <c r="Z318" s="84" t="s">
        <v>692</v>
      </c>
      <c r="AA318" s="84" t="s">
        <v>5624</v>
      </c>
      <c r="AB318" s="84" t="s">
        <v>692</v>
      </c>
      <c r="AC318" s="84" t="s">
        <v>692</v>
      </c>
      <c r="AD318" s="54" t="s">
        <v>692</v>
      </c>
    </row>
    <row r="319" spans="1:30" ht="6.75" customHeight="1" x14ac:dyDescent="0.25">
      <c r="A319" s="85">
        <v>319</v>
      </c>
      <c r="B319" s="59" t="s">
        <v>5419</v>
      </c>
      <c r="C319" s="59" t="s">
        <v>1993</v>
      </c>
      <c r="D319" s="59" t="s">
        <v>2149</v>
      </c>
      <c r="E319" s="59" t="s">
        <v>2150</v>
      </c>
      <c r="F319" s="59" t="s">
        <v>2156</v>
      </c>
      <c r="G319" s="81" t="s">
        <v>692</v>
      </c>
      <c r="H319" s="81" t="s">
        <v>692</v>
      </c>
      <c r="I319" s="81" t="s">
        <v>692</v>
      </c>
      <c r="J319" s="81" t="s">
        <v>692</v>
      </c>
      <c r="K319" s="81" t="s">
        <v>692</v>
      </c>
      <c r="L319" s="53" t="str">
        <f t="shared" si="44"/>
        <v>Aberturas</v>
      </c>
      <c r="M319" s="53" t="str">
        <f t="shared" si="44"/>
        <v>Passagens.de.Produtos</v>
      </c>
      <c r="N319" s="53" t="str">
        <f t="shared" si="46"/>
        <v>PassThroughs</v>
      </c>
      <c r="O319" s="53" t="str">
        <f t="shared" si="46"/>
        <v>PassT Alimentação</v>
      </c>
      <c r="P319" s="54" t="s">
        <v>2157</v>
      </c>
      <c r="Q319" s="57" t="s">
        <v>2158</v>
      </c>
      <c r="R319" s="54" t="s">
        <v>6311</v>
      </c>
      <c r="S319" s="54" t="s">
        <v>692</v>
      </c>
      <c r="T319" s="55" t="str">
        <f t="shared" si="45"/>
        <v>Aberturas</v>
      </c>
      <c r="U319" s="55" t="str">
        <f t="shared" si="45"/>
        <v>Passagens de Produtos</v>
      </c>
      <c r="V319" s="55" t="str">
        <f t="shared" si="45"/>
        <v>PassThroughs</v>
      </c>
      <c r="W319" s="54" t="s">
        <v>7259</v>
      </c>
      <c r="X319" s="84" t="str">
        <f t="shared" si="43"/>
        <v>Key-COD-CT-319</v>
      </c>
      <c r="Y319" s="84" t="s">
        <v>5498</v>
      </c>
      <c r="Z319" s="84" t="s">
        <v>692</v>
      </c>
      <c r="AA319" s="84" t="s">
        <v>5624</v>
      </c>
      <c r="AB319" s="84" t="s">
        <v>692</v>
      </c>
      <c r="AC319" s="84" t="s">
        <v>692</v>
      </c>
      <c r="AD319" s="54" t="s">
        <v>692</v>
      </c>
    </row>
    <row r="320" spans="1:30" ht="6.75" customHeight="1" x14ac:dyDescent="0.25">
      <c r="A320" s="85">
        <v>320</v>
      </c>
      <c r="B320" s="59" t="s">
        <v>5419</v>
      </c>
      <c r="C320" s="59" t="s">
        <v>2159</v>
      </c>
      <c r="D320" s="59" t="s">
        <v>2160</v>
      </c>
      <c r="E320" s="59" t="s">
        <v>2161</v>
      </c>
      <c r="F320" s="61" t="s">
        <v>2162</v>
      </c>
      <c r="G320" s="79" t="s">
        <v>692</v>
      </c>
      <c r="H320" s="79" t="s">
        <v>692</v>
      </c>
      <c r="I320" s="79" t="s">
        <v>692</v>
      </c>
      <c r="J320" s="79" t="s">
        <v>692</v>
      </c>
      <c r="K320" s="79" t="s">
        <v>692</v>
      </c>
      <c r="L320" s="53" t="str">
        <f>CONCATENATE("", C320)</f>
        <v>Proteções</v>
      </c>
      <c r="M320" s="53" t="str">
        <f>CONCATENATE("", D320)</f>
        <v>Contra.Radiação.Solar</v>
      </c>
      <c r="N320" s="53" t="str">
        <f>(SUBSTITUTE(SUBSTITUTE(CONCATENATE("",E320),"."," ")," De "," de "))</f>
        <v>Persianas</v>
      </c>
      <c r="O320" s="53" t="str">
        <f t="shared" si="46"/>
        <v>Persiana</v>
      </c>
      <c r="P320" s="54" t="s">
        <v>2163</v>
      </c>
      <c r="Q320" s="54" t="s">
        <v>2164</v>
      </c>
      <c r="R320" s="54" t="s">
        <v>6312</v>
      </c>
      <c r="S320" s="54" t="s">
        <v>692</v>
      </c>
      <c r="T320" s="55" t="str">
        <f t="shared" si="45"/>
        <v>Proteções</v>
      </c>
      <c r="U320" s="55" t="str">
        <f t="shared" si="45"/>
        <v>Contra Radiação Solar</v>
      </c>
      <c r="V320" s="55" t="str">
        <f t="shared" si="45"/>
        <v>Persianas</v>
      </c>
      <c r="W320" s="54" t="s">
        <v>7259</v>
      </c>
      <c r="X320" s="84" t="str">
        <f t="shared" si="43"/>
        <v>Key-COD-CT-320</v>
      </c>
      <c r="Y320" s="84" t="s">
        <v>5466</v>
      </c>
      <c r="Z320" s="84" t="s">
        <v>692</v>
      </c>
      <c r="AA320" s="84" t="s">
        <v>5667</v>
      </c>
      <c r="AB320" s="84" t="s">
        <v>692</v>
      </c>
      <c r="AC320" s="84" t="s">
        <v>692</v>
      </c>
      <c r="AD320" s="54" t="s">
        <v>692</v>
      </c>
    </row>
    <row r="321" spans="1:30" ht="6.75" customHeight="1" x14ac:dyDescent="0.25">
      <c r="A321" s="85">
        <v>321</v>
      </c>
      <c r="B321" s="59" t="s">
        <v>5419</v>
      </c>
      <c r="C321" s="59" t="s">
        <v>2159</v>
      </c>
      <c r="D321" s="59" t="s">
        <v>2160</v>
      </c>
      <c r="E321" s="59" t="s">
        <v>2161</v>
      </c>
      <c r="F321" s="59" t="s">
        <v>2165</v>
      </c>
      <c r="G321" s="81" t="s">
        <v>692</v>
      </c>
      <c r="H321" s="81" t="s">
        <v>692</v>
      </c>
      <c r="I321" s="81" t="s">
        <v>2166</v>
      </c>
      <c r="J321" s="81" t="s">
        <v>692</v>
      </c>
      <c r="K321" s="81" t="s">
        <v>692</v>
      </c>
      <c r="L321" s="53" t="str">
        <f t="shared" si="44"/>
        <v>Proteções</v>
      </c>
      <c r="M321" s="53" t="str">
        <f t="shared" si="44"/>
        <v>Contra.Radiação.Solar</v>
      </c>
      <c r="N321" s="53" t="str">
        <f t="shared" si="46"/>
        <v>Persianas</v>
      </c>
      <c r="O321" s="53" t="str">
        <f t="shared" si="46"/>
        <v>Persiana Horizontal</v>
      </c>
      <c r="P321" s="54" t="s">
        <v>2167</v>
      </c>
      <c r="Q321" s="57" t="s">
        <v>2168</v>
      </c>
      <c r="R321" s="54" t="s">
        <v>6313</v>
      </c>
      <c r="S321" s="54" t="s">
        <v>692</v>
      </c>
      <c r="T321" s="55" t="str">
        <f t="shared" si="45"/>
        <v>Proteções</v>
      </c>
      <c r="U321" s="55" t="str">
        <f t="shared" si="45"/>
        <v>Contra Radiação Solar</v>
      </c>
      <c r="V321" s="55" t="str">
        <f t="shared" si="45"/>
        <v>Persianas</v>
      </c>
      <c r="W321" s="54" t="s">
        <v>7259</v>
      </c>
      <c r="X321" s="84" t="str">
        <f t="shared" si="43"/>
        <v>Key-COD-CT-321</v>
      </c>
      <c r="Y321" s="84" t="s">
        <v>5466</v>
      </c>
      <c r="Z321" s="84" t="s">
        <v>692</v>
      </c>
      <c r="AA321" s="84" t="s">
        <v>5667</v>
      </c>
      <c r="AB321" s="84" t="s">
        <v>692</v>
      </c>
      <c r="AC321" s="84" t="s">
        <v>692</v>
      </c>
      <c r="AD321" s="54" t="s">
        <v>692</v>
      </c>
    </row>
    <row r="322" spans="1:30" ht="6.75" customHeight="1" x14ac:dyDescent="0.25">
      <c r="A322" s="85">
        <v>322</v>
      </c>
      <c r="B322" s="59" t="s">
        <v>5419</v>
      </c>
      <c r="C322" s="59" t="s">
        <v>2159</v>
      </c>
      <c r="D322" s="59" t="s">
        <v>2160</v>
      </c>
      <c r="E322" s="59" t="s">
        <v>2161</v>
      </c>
      <c r="F322" s="59" t="s">
        <v>2169</v>
      </c>
      <c r="G322" s="81" t="s">
        <v>692</v>
      </c>
      <c r="H322" s="81" t="s">
        <v>692</v>
      </c>
      <c r="I322" s="81" t="s">
        <v>2170</v>
      </c>
      <c r="J322" s="81" t="s">
        <v>692</v>
      </c>
      <c r="K322" s="81" t="s">
        <v>692</v>
      </c>
      <c r="L322" s="53" t="str">
        <f t="shared" si="44"/>
        <v>Proteções</v>
      </c>
      <c r="M322" s="53" t="str">
        <f t="shared" si="44"/>
        <v>Contra.Radiação.Solar</v>
      </c>
      <c r="N322" s="53" t="str">
        <f t="shared" si="46"/>
        <v>Persianas</v>
      </c>
      <c r="O322" s="53" t="str">
        <f t="shared" si="46"/>
        <v>Persiana Vertical</v>
      </c>
      <c r="P322" s="54" t="s">
        <v>2171</v>
      </c>
      <c r="Q322" s="57" t="s">
        <v>2172</v>
      </c>
      <c r="R322" s="54" t="s">
        <v>6314</v>
      </c>
      <c r="S322" s="54" t="s">
        <v>692</v>
      </c>
      <c r="T322" s="55" t="str">
        <f t="shared" si="45"/>
        <v>Proteções</v>
      </c>
      <c r="U322" s="55" t="str">
        <f t="shared" si="45"/>
        <v>Contra Radiação Solar</v>
      </c>
      <c r="V322" s="55" t="str">
        <f t="shared" si="45"/>
        <v>Persianas</v>
      </c>
      <c r="W322" s="54" t="s">
        <v>7259</v>
      </c>
      <c r="X322" s="84" t="str">
        <f t="shared" si="43"/>
        <v>Key-COD-CT-322</v>
      </c>
      <c r="Y322" s="84" t="s">
        <v>5466</v>
      </c>
      <c r="Z322" s="84" t="s">
        <v>692</v>
      </c>
      <c r="AA322" s="84" t="s">
        <v>5667</v>
      </c>
      <c r="AB322" s="84" t="s">
        <v>692</v>
      </c>
      <c r="AC322" s="84" t="s">
        <v>692</v>
      </c>
      <c r="AD322" s="54" t="s">
        <v>692</v>
      </c>
    </row>
    <row r="323" spans="1:30" ht="6.75" customHeight="1" x14ac:dyDescent="0.25">
      <c r="A323" s="85">
        <v>323</v>
      </c>
      <c r="B323" s="59" t="s">
        <v>5419</v>
      </c>
      <c r="C323" s="59" t="s">
        <v>2159</v>
      </c>
      <c r="D323" s="59" t="s">
        <v>2160</v>
      </c>
      <c r="E323" s="59" t="s">
        <v>2173</v>
      </c>
      <c r="F323" s="61" t="s">
        <v>2174</v>
      </c>
      <c r="G323" s="79" t="s">
        <v>692</v>
      </c>
      <c r="H323" s="79" t="s">
        <v>692</v>
      </c>
      <c r="I323" s="79" t="s">
        <v>692</v>
      </c>
      <c r="J323" s="79" t="s">
        <v>692</v>
      </c>
      <c r="K323" s="79" t="s">
        <v>692</v>
      </c>
      <c r="L323" s="53" t="str">
        <f>CONCATENATE("", C323)</f>
        <v>Proteções</v>
      </c>
      <c r="M323" s="53" t="str">
        <f>CONCATENATE("", D323)</f>
        <v>Contra.Radiação.Solar</v>
      </c>
      <c r="N323" s="53" t="str">
        <f>(SUBSTITUTE(SUBSTITUTE(CONCATENATE("",E323),"."," ")," De "," de "))</f>
        <v>Marquises</v>
      </c>
      <c r="O323" s="53" t="str">
        <f t="shared" si="46"/>
        <v>Marquise</v>
      </c>
      <c r="P323" s="54" t="s">
        <v>2175</v>
      </c>
      <c r="Q323" s="54" t="s">
        <v>2176</v>
      </c>
      <c r="R323" s="54" t="s">
        <v>6315</v>
      </c>
      <c r="S323" s="54" t="s">
        <v>692</v>
      </c>
      <c r="T323" s="55" t="str">
        <f t="shared" si="45"/>
        <v>Proteções</v>
      </c>
      <c r="U323" s="55" t="str">
        <f t="shared" si="45"/>
        <v>Contra Radiação Solar</v>
      </c>
      <c r="V323" s="55" t="str">
        <f t="shared" si="45"/>
        <v>Marquises</v>
      </c>
      <c r="W323" s="54" t="s">
        <v>7259</v>
      </c>
      <c r="X323" s="84" t="str">
        <f t="shared" ref="X323:X386" si="47">CONCATENATE("Key-COD-CT-",A323)</f>
        <v>Key-COD-CT-323</v>
      </c>
      <c r="Y323" s="84" t="s">
        <v>5993</v>
      </c>
      <c r="Z323" s="84" t="s">
        <v>692</v>
      </c>
      <c r="AA323" s="84" t="s">
        <v>5668</v>
      </c>
      <c r="AB323" s="84" t="s">
        <v>692</v>
      </c>
      <c r="AC323" s="84" t="s">
        <v>692</v>
      </c>
      <c r="AD323" s="54" t="s">
        <v>692</v>
      </c>
    </row>
    <row r="324" spans="1:30" ht="6.75" customHeight="1" x14ac:dyDescent="0.25">
      <c r="A324" s="85">
        <v>324</v>
      </c>
      <c r="B324" s="59" t="s">
        <v>5419</v>
      </c>
      <c r="C324" s="59" t="s">
        <v>2159</v>
      </c>
      <c r="D324" s="59" t="s">
        <v>2160</v>
      </c>
      <c r="E324" s="59" t="s">
        <v>2177</v>
      </c>
      <c r="F324" s="59" t="s">
        <v>2178</v>
      </c>
      <c r="G324" s="81" t="s">
        <v>692</v>
      </c>
      <c r="H324" s="81" t="s">
        <v>692</v>
      </c>
      <c r="I324" s="81" t="s">
        <v>692</v>
      </c>
      <c r="J324" s="81" t="s">
        <v>692</v>
      </c>
      <c r="K324" s="81" t="s">
        <v>692</v>
      </c>
      <c r="L324" s="53" t="str">
        <f t="shared" ref="L324:M389" si="48">CONCATENATE("", C324)</f>
        <v>Proteções</v>
      </c>
      <c r="M324" s="53" t="str">
        <f t="shared" si="48"/>
        <v>Contra.Radiação.Solar</v>
      </c>
      <c r="N324" s="53" t="str">
        <f t="shared" si="46"/>
        <v>Brises</v>
      </c>
      <c r="O324" s="53" t="str">
        <f t="shared" si="46"/>
        <v>Brise Retrátil Horizontal</v>
      </c>
      <c r="P324" s="54" t="s">
        <v>2179</v>
      </c>
      <c r="Q324" s="57" t="s">
        <v>2180</v>
      </c>
      <c r="R324" s="54" t="s">
        <v>6316</v>
      </c>
      <c r="S324" s="54" t="s">
        <v>692</v>
      </c>
      <c r="T324" s="55" t="str">
        <f t="shared" si="45"/>
        <v>Proteções</v>
      </c>
      <c r="U324" s="55" t="str">
        <f t="shared" si="45"/>
        <v>Contra Radiação Solar</v>
      </c>
      <c r="V324" s="55" t="str">
        <f t="shared" si="45"/>
        <v>Brises</v>
      </c>
      <c r="W324" s="54" t="s">
        <v>7259</v>
      </c>
      <c r="X324" s="84" t="str">
        <f t="shared" si="47"/>
        <v>Key-COD-CT-324</v>
      </c>
      <c r="Y324" s="84" t="s">
        <v>5993</v>
      </c>
      <c r="Z324" s="84" t="s">
        <v>692</v>
      </c>
      <c r="AA324" s="84" t="s">
        <v>5669</v>
      </c>
      <c r="AB324" s="84" t="s">
        <v>692</v>
      </c>
      <c r="AC324" s="84" t="s">
        <v>692</v>
      </c>
      <c r="AD324" s="54" t="s">
        <v>692</v>
      </c>
    </row>
    <row r="325" spans="1:30" ht="6.75" customHeight="1" x14ac:dyDescent="0.25">
      <c r="A325" s="85">
        <v>325</v>
      </c>
      <c r="B325" s="59" t="s">
        <v>5419</v>
      </c>
      <c r="C325" s="59" t="s">
        <v>2159</v>
      </c>
      <c r="D325" s="59" t="s">
        <v>2160</v>
      </c>
      <c r="E325" s="59" t="s">
        <v>2177</v>
      </c>
      <c r="F325" s="59" t="s">
        <v>2181</v>
      </c>
      <c r="G325" s="81" t="s">
        <v>692</v>
      </c>
      <c r="H325" s="81" t="s">
        <v>692</v>
      </c>
      <c r="I325" s="81" t="s">
        <v>692</v>
      </c>
      <c r="J325" s="81" t="s">
        <v>692</v>
      </c>
      <c r="K325" s="81" t="s">
        <v>692</v>
      </c>
      <c r="L325" s="53" t="str">
        <f t="shared" si="48"/>
        <v>Proteções</v>
      </c>
      <c r="M325" s="53" t="str">
        <f t="shared" si="48"/>
        <v>Contra.Radiação.Solar</v>
      </c>
      <c r="N325" s="53" t="str">
        <f t="shared" si="46"/>
        <v>Brises</v>
      </c>
      <c r="O325" s="53" t="str">
        <f t="shared" si="46"/>
        <v>Brise Retratil Vertical</v>
      </c>
      <c r="P325" s="54" t="s">
        <v>2182</v>
      </c>
      <c r="Q325" s="57" t="s">
        <v>2183</v>
      </c>
      <c r="R325" s="54" t="s">
        <v>6317</v>
      </c>
      <c r="S325" s="54" t="s">
        <v>692</v>
      </c>
      <c r="T325" s="55" t="str">
        <f t="shared" si="45"/>
        <v>Proteções</v>
      </c>
      <c r="U325" s="55" t="str">
        <f t="shared" si="45"/>
        <v>Contra Radiação Solar</v>
      </c>
      <c r="V325" s="55" t="str">
        <f t="shared" si="45"/>
        <v>Brises</v>
      </c>
      <c r="W325" s="54" t="s">
        <v>7259</v>
      </c>
      <c r="X325" s="84" t="str">
        <f t="shared" si="47"/>
        <v>Key-COD-CT-325</v>
      </c>
      <c r="Y325" s="84" t="s">
        <v>5993</v>
      </c>
      <c r="Z325" s="84" t="s">
        <v>692</v>
      </c>
      <c r="AA325" s="84" t="s">
        <v>5669</v>
      </c>
      <c r="AB325" s="84" t="s">
        <v>692</v>
      </c>
      <c r="AC325" s="84" t="s">
        <v>692</v>
      </c>
      <c r="AD325" s="54" t="s">
        <v>692</v>
      </c>
    </row>
    <row r="326" spans="1:30" ht="6.75" customHeight="1" x14ac:dyDescent="0.25">
      <c r="A326" s="85">
        <v>326</v>
      </c>
      <c r="B326" s="59" t="s">
        <v>5419</v>
      </c>
      <c r="C326" s="59" t="s">
        <v>2159</v>
      </c>
      <c r="D326" s="59" t="s">
        <v>2160</v>
      </c>
      <c r="E326" s="59" t="s">
        <v>2177</v>
      </c>
      <c r="F326" s="59" t="s">
        <v>2184</v>
      </c>
      <c r="G326" s="81" t="s">
        <v>692</v>
      </c>
      <c r="H326" s="81" t="s">
        <v>692</v>
      </c>
      <c r="I326" s="81" t="s">
        <v>692</v>
      </c>
      <c r="J326" s="81" t="s">
        <v>692</v>
      </c>
      <c r="K326" s="81" t="s">
        <v>692</v>
      </c>
      <c r="L326" s="53" t="str">
        <f t="shared" si="48"/>
        <v>Proteções</v>
      </c>
      <c r="M326" s="53" t="str">
        <f t="shared" si="48"/>
        <v>Contra.Radiação.Solar</v>
      </c>
      <c r="N326" s="53" t="str">
        <f t="shared" si="46"/>
        <v>Brises</v>
      </c>
      <c r="O326" s="53" t="str">
        <f t="shared" si="46"/>
        <v>Brise Fixo Horizontal</v>
      </c>
      <c r="P326" s="54" t="s">
        <v>2185</v>
      </c>
      <c r="Q326" s="57" t="s">
        <v>2186</v>
      </c>
      <c r="R326" s="54" t="s">
        <v>6318</v>
      </c>
      <c r="S326" s="54" t="s">
        <v>692</v>
      </c>
      <c r="T326" s="55" t="str">
        <f t="shared" si="45"/>
        <v>Proteções</v>
      </c>
      <c r="U326" s="55" t="str">
        <f t="shared" si="45"/>
        <v>Contra Radiação Solar</v>
      </c>
      <c r="V326" s="55" t="str">
        <f t="shared" si="45"/>
        <v>Brises</v>
      </c>
      <c r="W326" s="54" t="s">
        <v>7259</v>
      </c>
      <c r="X326" s="84" t="str">
        <f t="shared" si="47"/>
        <v>Key-COD-CT-326</v>
      </c>
      <c r="Y326" s="84" t="s">
        <v>5993</v>
      </c>
      <c r="Z326" s="84" t="s">
        <v>692</v>
      </c>
      <c r="AA326" s="84" t="s">
        <v>5669</v>
      </c>
      <c r="AB326" s="84" t="s">
        <v>692</v>
      </c>
      <c r="AC326" s="84" t="s">
        <v>692</v>
      </c>
      <c r="AD326" s="54" t="s">
        <v>692</v>
      </c>
    </row>
    <row r="327" spans="1:30" ht="6.75" customHeight="1" x14ac:dyDescent="0.25">
      <c r="A327" s="85">
        <v>327</v>
      </c>
      <c r="B327" s="59" t="s">
        <v>5419</v>
      </c>
      <c r="C327" s="59" t="s">
        <v>2159</v>
      </c>
      <c r="D327" s="59" t="s">
        <v>2160</v>
      </c>
      <c r="E327" s="59" t="s">
        <v>2177</v>
      </c>
      <c r="F327" s="59" t="s">
        <v>2187</v>
      </c>
      <c r="G327" s="81" t="s">
        <v>692</v>
      </c>
      <c r="H327" s="81" t="s">
        <v>692</v>
      </c>
      <c r="I327" s="81" t="s">
        <v>692</v>
      </c>
      <c r="J327" s="81" t="s">
        <v>692</v>
      </c>
      <c r="K327" s="81" t="s">
        <v>692</v>
      </c>
      <c r="L327" s="53" t="str">
        <f t="shared" si="48"/>
        <v>Proteções</v>
      </c>
      <c r="M327" s="53" t="str">
        <f t="shared" si="48"/>
        <v>Contra.Radiação.Solar</v>
      </c>
      <c r="N327" s="53" t="str">
        <f t="shared" si="46"/>
        <v>Brises</v>
      </c>
      <c r="O327" s="53" t="str">
        <f t="shared" si="46"/>
        <v>Brise Fixo Vertical</v>
      </c>
      <c r="P327" s="54" t="s">
        <v>2188</v>
      </c>
      <c r="Q327" s="57" t="s">
        <v>2189</v>
      </c>
      <c r="R327" s="54" t="s">
        <v>6319</v>
      </c>
      <c r="S327" s="54" t="s">
        <v>692</v>
      </c>
      <c r="T327" s="55" t="str">
        <f t="shared" si="45"/>
        <v>Proteções</v>
      </c>
      <c r="U327" s="55" t="str">
        <f t="shared" si="45"/>
        <v>Contra Radiação Solar</v>
      </c>
      <c r="V327" s="55" t="str">
        <f t="shared" si="45"/>
        <v>Brises</v>
      </c>
      <c r="W327" s="54" t="s">
        <v>7259</v>
      </c>
      <c r="X327" s="84" t="str">
        <f t="shared" si="47"/>
        <v>Key-COD-CT-327</v>
      </c>
      <c r="Y327" s="84" t="s">
        <v>5993</v>
      </c>
      <c r="Z327" s="84" t="s">
        <v>692</v>
      </c>
      <c r="AA327" s="84" t="s">
        <v>5669</v>
      </c>
      <c r="AB327" s="84" t="s">
        <v>692</v>
      </c>
      <c r="AC327" s="84" t="s">
        <v>692</v>
      </c>
      <c r="AD327" s="54" t="s">
        <v>692</v>
      </c>
    </row>
    <row r="328" spans="1:30" ht="6.75" customHeight="1" x14ac:dyDescent="0.25">
      <c r="A328" s="85">
        <v>328</v>
      </c>
      <c r="B328" s="59" t="s">
        <v>5419</v>
      </c>
      <c r="C328" s="59" t="s">
        <v>2159</v>
      </c>
      <c r="D328" s="59" t="s">
        <v>2160</v>
      </c>
      <c r="E328" s="59" t="s">
        <v>2177</v>
      </c>
      <c r="F328" s="59" t="s">
        <v>2190</v>
      </c>
      <c r="G328" s="81" t="s">
        <v>692</v>
      </c>
      <c r="H328" s="81" t="s">
        <v>692</v>
      </c>
      <c r="I328" s="81" t="s">
        <v>692</v>
      </c>
      <c r="J328" s="81" t="s">
        <v>692</v>
      </c>
      <c r="K328" s="81" t="s">
        <v>692</v>
      </c>
      <c r="L328" s="53" t="str">
        <f t="shared" si="48"/>
        <v>Proteções</v>
      </c>
      <c r="M328" s="53" t="str">
        <f t="shared" si="48"/>
        <v>Contra.Radiação.Solar</v>
      </c>
      <c r="N328" s="53" t="str">
        <f t="shared" si="46"/>
        <v>Brises</v>
      </c>
      <c r="O328" s="53" t="str">
        <f t="shared" si="46"/>
        <v>Brise Perfurado Horizontal</v>
      </c>
      <c r="P328" s="54" t="s">
        <v>2191</v>
      </c>
      <c r="Q328" s="57" t="s">
        <v>2192</v>
      </c>
      <c r="R328" s="54" t="s">
        <v>6320</v>
      </c>
      <c r="S328" s="54" t="s">
        <v>692</v>
      </c>
      <c r="T328" s="55" t="str">
        <f t="shared" si="45"/>
        <v>Proteções</v>
      </c>
      <c r="U328" s="55" t="str">
        <f t="shared" si="45"/>
        <v>Contra Radiação Solar</v>
      </c>
      <c r="V328" s="55" t="str">
        <f t="shared" si="45"/>
        <v>Brises</v>
      </c>
      <c r="W328" s="54" t="s">
        <v>7259</v>
      </c>
      <c r="X328" s="84" t="str">
        <f t="shared" si="47"/>
        <v>Key-COD-CT-328</v>
      </c>
      <c r="Y328" s="84" t="s">
        <v>5993</v>
      </c>
      <c r="Z328" s="84" t="s">
        <v>692</v>
      </c>
      <c r="AA328" s="84" t="s">
        <v>5669</v>
      </c>
      <c r="AB328" s="84" t="s">
        <v>692</v>
      </c>
      <c r="AC328" s="84" t="s">
        <v>692</v>
      </c>
      <c r="AD328" s="54" t="s">
        <v>692</v>
      </c>
    </row>
    <row r="329" spans="1:30" ht="6.75" customHeight="1" x14ac:dyDescent="0.25">
      <c r="A329" s="85">
        <v>329</v>
      </c>
      <c r="B329" s="59" t="s">
        <v>5419</v>
      </c>
      <c r="C329" s="59" t="s">
        <v>2159</v>
      </c>
      <c r="D329" s="59" t="s">
        <v>2160</v>
      </c>
      <c r="E329" s="59" t="s">
        <v>2177</v>
      </c>
      <c r="F329" s="59" t="s">
        <v>2193</v>
      </c>
      <c r="G329" s="81" t="s">
        <v>692</v>
      </c>
      <c r="H329" s="81" t="s">
        <v>692</v>
      </c>
      <c r="I329" s="81" t="s">
        <v>692</v>
      </c>
      <c r="J329" s="81" t="s">
        <v>692</v>
      </c>
      <c r="K329" s="81" t="s">
        <v>692</v>
      </c>
      <c r="L329" s="53" t="str">
        <f t="shared" si="48"/>
        <v>Proteções</v>
      </c>
      <c r="M329" s="53" t="str">
        <f t="shared" si="48"/>
        <v>Contra.Radiação.Solar</v>
      </c>
      <c r="N329" s="53" t="str">
        <f t="shared" si="46"/>
        <v>Brises</v>
      </c>
      <c r="O329" s="53" t="str">
        <f t="shared" si="46"/>
        <v>Brise Perfurado Vertical</v>
      </c>
      <c r="P329" s="54" t="s">
        <v>2194</v>
      </c>
      <c r="Q329" s="57" t="s">
        <v>2195</v>
      </c>
      <c r="R329" s="54" t="s">
        <v>6321</v>
      </c>
      <c r="S329" s="54" t="s">
        <v>692</v>
      </c>
      <c r="T329" s="55" t="str">
        <f t="shared" si="45"/>
        <v>Proteções</v>
      </c>
      <c r="U329" s="55" t="str">
        <f t="shared" si="45"/>
        <v>Contra Radiação Solar</v>
      </c>
      <c r="V329" s="55" t="str">
        <f t="shared" si="45"/>
        <v>Brises</v>
      </c>
      <c r="W329" s="54" t="s">
        <v>7259</v>
      </c>
      <c r="X329" s="84" t="str">
        <f t="shared" si="47"/>
        <v>Key-COD-CT-329</v>
      </c>
      <c r="Y329" s="84" t="s">
        <v>5993</v>
      </c>
      <c r="Z329" s="84" t="s">
        <v>692</v>
      </c>
      <c r="AA329" s="84" t="s">
        <v>5669</v>
      </c>
      <c r="AB329" s="84" t="s">
        <v>692</v>
      </c>
      <c r="AC329" s="84" t="s">
        <v>692</v>
      </c>
      <c r="AD329" s="54" t="s">
        <v>692</v>
      </c>
    </row>
    <row r="330" spans="1:30" ht="6.75" customHeight="1" x14ac:dyDescent="0.25">
      <c r="A330" s="85">
        <v>330</v>
      </c>
      <c r="B330" s="59" t="s">
        <v>5419</v>
      </c>
      <c r="C330" s="59" t="s">
        <v>2159</v>
      </c>
      <c r="D330" s="59" t="s">
        <v>2160</v>
      </c>
      <c r="E330" s="59" t="s">
        <v>2177</v>
      </c>
      <c r="F330" s="61" t="s">
        <v>2196</v>
      </c>
      <c r="G330" s="79" t="s">
        <v>692</v>
      </c>
      <c r="H330" s="79" t="s">
        <v>692</v>
      </c>
      <c r="I330" s="79" t="s">
        <v>692</v>
      </c>
      <c r="J330" s="79" t="s">
        <v>692</v>
      </c>
      <c r="K330" s="79" t="s">
        <v>692</v>
      </c>
      <c r="L330" s="53" t="str">
        <f>CONCATENATE("", C330)</f>
        <v>Proteções</v>
      </c>
      <c r="M330" s="53" t="str">
        <f>CONCATENATE("", D330)</f>
        <v>Contra.Radiação.Solar</v>
      </c>
      <c r="N330" s="53" t="str">
        <f>(SUBSTITUTE(SUBSTITUTE(CONCATENATE("",E330),"."," ")," De "," de "))</f>
        <v>Brises</v>
      </c>
      <c r="O330" s="53" t="str">
        <f t="shared" si="46"/>
        <v>Brise Veneziana</v>
      </c>
      <c r="P330" s="54" t="s">
        <v>2197</v>
      </c>
      <c r="Q330" s="54" t="s">
        <v>2198</v>
      </c>
      <c r="R330" s="54" t="s">
        <v>6322</v>
      </c>
      <c r="S330" s="54" t="s">
        <v>692</v>
      </c>
      <c r="T330" s="55" t="str">
        <f t="shared" si="45"/>
        <v>Proteções</v>
      </c>
      <c r="U330" s="55" t="str">
        <f t="shared" si="45"/>
        <v>Contra Radiação Solar</v>
      </c>
      <c r="V330" s="55" t="str">
        <f t="shared" si="45"/>
        <v>Brises</v>
      </c>
      <c r="W330" s="54" t="s">
        <v>7259</v>
      </c>
      <c r="X330" s="84" t="str">
        <f t="shared" si="47"/>
        <v>Key-COD-CT-330</v>
      </c>
      <c r="Y330" s="84" t="s">
        <v>5993</v>
      </c>
      <c r="Z330" s="84" t="s">
        <v>692</v>
      </c>
      <c r="AA330" s="84" t="s">
        <v>5669</v>
      </c>
      <c r="AB330" s="84" t="s">
        <v>692</v>
      </c>
      <c r="AC330" s="84" t="s">
        <v>692</v>
      </c>
      <c r="AD330" s="54" t="s">
        <v>692</v>
      </c>
    </row>
    <row r="331" spans="1:30" ht="6.75" customHeight="1" x14ac:dyDescent="0.25">
      <c r="A331" s="85">
        <v>331</v>
      </c>
      <c r="B331" s="59" t="s">
        <v>5419</v>
      </c>
      <c r="C331" s="59" t="s">
        <v>2159</v>
      </c>
      <c r="D331" s="59" t="s">
        <v>2199</v>
      </c>
      <c r="E331" s="59" t="s">
        <v>2200</v>
      </c>
      <c r="F331" s="59" t="s">
        <v>2201</v>
      </c>
      <c r="G331" s="81" t="s">
        <v>692</v>
      </c>
      <c r="H331" s="81" t="s">
        <v>692</v>
      </c>
      <c r="I331" s="81" t="s">
        <v>2202</v>
      </c>
      <c r="J331" s="81" t="s">
        <v>692</v>
      </c>
      <c r="K331" s="81" t="s">
        <v>692</v>
      </c>
      <c r="L331" s="53" t="str">
        <f t="shared" si="48"/>
        <v>Proteções</v>
      </c>
      <c r="M331" s="53" t="str">
        <f t="shared" si="48"/>
        <v>Contra.Quedas</v>
      </c>
      <c r="N331" s="53" t="str">
        <f t="shared" si="46"/>
        <v>Guardacorpos Escadas</v>
      </c>
      <c r="O331" s="53" t="str">
        <f t="shared" si="46"/>
        <v>Guardacorpo Escada</v>
      </c>
      <c r="P331" s="54" t="s">
        <v>2203</v>
      </c>
      <c r="Q331" s="54" t="s">
        <v>2204</v>
      </c>
      <c r="R331" s="54" t="s">
        <v>6323</v>
      </c>
      <c r="S331" s="54" t="s">
        <v>692</v>
      </c>
      <c r="T331" s="55" t="str">
        <f t="shared" si="45"/>
        <v>Proteções</v>
      </c>
      <c r="U331" s="55" t="str">
        <f t="shared" si="45"/>
        <v>Contra Quedas</v>
      </c>
      <c r="V331" s="55" t="str">
        <f t="shared" si="45"/>
        <v>Guardacorpos Escadas</v>
      </c>
      <c r="W331" s="54" t="s">
        <v>7259</v>
      </c>
      <c r="X331" s="84" t="str">
        <f t="shared" si="47"/>
        <v>Key-COD-CT-331</v>
      </c>
      <c r="Y331" s="84" t="s">
        <v>5527</v>
      </c>
      <c r="Z331" s="84" t="s">
        <v>692</v>
      </c>
      <c r="AA331" s="84" t="s">
        <v>5469</v>
      </c>
      <c r="AB331" s="84" t="s">
        <v>692</v>
      </c>
      <c r="AC331" s="84" t="s">
        <v>692</v>
      </c>
      <c r="AD331" s="54" t="s">
        <v>692</v>
      </c>
    </row>
    <row r="332" spans="1:30" ht="6.75" customHeight="1" x14ac:dyDescent="0.25">
      <c r="A332" s="85">
        <v>332</v>
      </c>
      <c r="B332" s="59" t="s">
        <v>5419</v>
      </c>
      <c r="C332" s="59" t="s">
        <v>2159</v>
      </c>
      <c r="D332" s="59" t="s">
        <v>2199</v>
      </c>
      <c r="E332" s="59" t="s">
        <v>2200</v>
      </c>
      <c r="F332" s="59" t="s">
        <v>2205</v>
      </c>
      <c r="G332" s="81" t="s">
        <v>692</v>
      </c>
      <c r="H332" s="81" t="s">
        <v>692</v>
      </c>
      <c r="I332" s="81" t="s">
        <v>2206</v>
      </c>
      <c r="J332" s="81" t="s">
        <v>692</v>
      </c>
      <c r="K332" s="81" t="s">
        <v>692</v>
      </c>
      <c r="L332" s="53" t="str">
        <f t="shared" si="48"/>
        <v>Proteções</v>
      </c>
      <c r="M332" s="53" t="str">
        <f t="shared" si="48"/>
        <v>Contra.Quedas</v>
      </c>
      <c r="N332" s="53" t="str">
        <f t="shared" si="46"/>
        <v>Guardacorpos Escadas</v>
      </c>
      <c r="O332" s="53" t="str">
        <f t="shared" si="46"/>
        <v>Guardacorpo Escada Projeção</v>
      </c>
      <c r="P332" s="54" t="s">
        <v>2207</v>
      </c>
      <c r="Q332" s="54" t="s">
        <v>2208</v>
      </c>
      <c r="R332" s="54" t="s">
        <v>6324</v>
      </c>
      <c r="S332" s="54" t="s">
        <v>692</v>
      </c>
      <c r="T332" s="55" t="str">
        <f t="shared" si="45"/>
        <v>Proteções</v>
      </c>
      <c r="U332" s="55" t="str">
        <f t="shared" si="45"/>
        <v>Contra Quedas</v>
      </c>
      <c r="V332" s="55" t="str">
        <f t="shared" si="45"/>
        <v>Guardacorpos Escadas</v>
      </c>
      <c r="W332" s="54" t="s">
        <v>7259</v>
      </c>
      <c r="X332" s="84" t="str">
        <f t="shared" si="47"/>
        <v>Key-COD-CT-332</v>
      </c>
      <c r="Y332" s="84" t="s">
        <v>5528</v>
      </c>
      <c r="Z332" s="84" t="s">
        <v>692</v>
      </c>
      <c r="AA332" s="84" t="s">
        <v>5469</v>
      </c>
      <c r="AB332" s="84" t="s">
        <v>692</v>
      </c>
      <c r="AC332" s="84" t="s">
        <v>692</v>
      </c>
      <c r="AD332" s="54" t="s">
        <v>692</v>
      </c>
    </row>
    <row r="333" spans="1:30" ht="6.75" customHeight="1" x14ac:dyDescent="0.25">
      <c r="A333" s="85">
        <v>333</v>
      </c>
      <c r="B333" s="59" t="s">
        <v>5419</v>
      </c>
      <c r="C333" s="59" t="s">
        <v>2159</v>
      </c>
      <c r="D333" s="59" t="s">
        <v>2199</v>
      </c>
      <c r="E333" s="59" t="s">
        <v>2200</v>
      </c>
      <c r="F333" s="59" t="s">
        <v>2209</v>
      </c>
      <c r="G333" s="81" t="s">
        <v>692</v>
      </c>
      <c r="H333" s="81" t="s">
        <v>692</v>
      </c>
      <c r="I333" s="81" t="s">
        <v>692</v>
      </c>
      <c r="J333" s="81" t="s">
        <v>692</v>
      </c>
      <c r="K333" s="81" t="s">
        <v>692</v>
      </c>
      <c r="L333" s="53" t="str">
        <f t="shared" si="48"/>
        <v>Proteções</v>
      </c>
      <c r="M333" s="53" t="str">
        <f t="shared" si="48"/>
        <v>Contra.Quedas</v>
      </c>
      <c r="N333" s="53" t="str">
        <f t="shared" si="46"/>
        <v>Guardacorpos Escadas</v>
      </c>
      <c r="O333" s="53" t="str">
        <f t="shared" si="46"/>
        <v>Guardacorpo Escada Balaústre</v>
      </c>
      <c r="P333" s="54" t="s">
        <v>2210</v>
      </c>
      <c r="Q333" s="54" t="s">
        <v>2211</v>
      </c>
      <c r="R333" s="54" t="s">
        <v>6325</v>
      </c>
      <c r="S333" s="54" t="s">
        <v>692</v>
      </c>
      <c r="T333" s="55" t="str">
        <f t="shared" si="45"/>
        <v>Proteções</v>
      </c>
      <c r="U333" s="55" t="str">
        <f t="shared" si="45"/>
        <v>Contra Quedas</v>
      </c>
      <c r="V333" s="55" t="str">
        <f t="shared" si="45"/>
        <v>Guardacorpos Escadas</v>
      </c>
      <c r="W333" s="54" t="s">
        <v>7259</v>
      </c>
      <c r="X333" s="84" t="str">
        <f t="shared" si="47"/>
        <v>Key-COD-CT-333</v>
      </c>
      <c r="Y333" s="84" t="s">
        <v>5529</v>
      </c>
      <c r="Z333" s="84" t="s">
        <v>692</v>
      </c>
      <c r="AA333" s="84" t="s">
        <v>5670</v>
      </c>
      <c r="AB333" s="84" t="s">
        <v>692</v>
      </c>
      <c r="AC333" s="84" t="s">
        <v>692</v>
      </c>
      <c r="AD333" s="54" t="s">
        <v>692</v>
      </c>
    </row>
    <row r="334" spans="1:30" ht="6.75" customHeight="1" x14ac:dyDescent="0.25">
      <c r="A334" s="85">
        <v>334</v>
      </c>
      <c r="B334" s="59" t="s">
        <v>5419</v>
      </c>
      <c r="C334" s="59" t="s">
        <v>2159</v>
      </c>
      <c r="D334" s="59" t="s">
        <v>2199</v>
      </c>
      <c r="E334" s="59" t="s">
        <v>2200</v>
      </c>
      <c r="F334" s="59" t="s">
        <v>2212</v>
      </c>
      <c r="G334" s="81" t="s">
        <v>692</v>
      </c>
      <c r="H334" s="81" t="s">
        <v>692</v>
      </c>
      <c r="I334" s="81" t="s">
        <v>692</v>
      </c>
      <c r="J334" s="81" t="s">
        <v>692</v>
      </c>
      <c r="K334" s="81" t="s">
        <v>692</v>
      </c>
      <c r="L334" s="53" t="str">
        <f t="shared" si="48"/>
        <v>Proteções</v>
      </c>
      <c r="M334" s="53" t="str">
        <f t="shared" si="48"/>
        <v>Contra.Quedas</v>
      </c>
      <c r="N334" s="53" t="str">
        <f t="shared" si="46"/>
        <v>Guardacorpos Escadas</v>
      </c>
      <c r="O334" s="53" t="str">
        <f t="shared" si="46"/>
        <v>Guardacorpo Escada Corrimão</v>
      </c>
      <c r="P334" s="54" t="s">
        <v>2213</v>
      </c>
      <c r="Q334" s="54" t="s">
        <v>2214</v>
      </c>
      <c r="R334" s="54" t="s">
        <v>6326</v>
      </c>
      <c r="S334" s="54" t="s">
        <v>692</v>
      </c>
      <c r="T334" s="55" t="str">
        <f t="shared" si="45"/>
        <v>Proteções</v>
      </c>
      <c r="U334" s="55" t="str">
        <f t="shared" si="45"/>
        <v>Contra Quedas</v>
      </c>
      <c r="V334" s="55" t="str">
        <f t="shared" si="45"/>
        <v>Guardacorpos Escadas</v>
      </c>
      <c r="W334" s="54" t="s">
        <v>7259</v>
      </c>
      <c r="X334" s="84" t="str">
        <f t="shared" si="47"/>
        <v>Key-COD-CT-334</v>
      </c>
      <c r="Y334" s="84" t="s">
        <v>5530</v>
      </c>
      <c r="Z334" s="84" t="s">
        <v>692</v>
      </c>
      <c r="AA334" s="84" t="s">
        <v>5671</v>
      </c>
      <c r="AB334" s="84" t="s">
        <v>692</v>
      </c>
      <c r="AC334" s="84" t="s">
        <v>692</v>
      </c>
      <c r="AD334" s="54" t="s">
        <v>692</v>
      </c>
    </row>
    <row r="335" spans="1:30" ht="6.75" customHeight="1" x14ac:dyDescent="0.25">
      <c r="A335" s="85">
        <v>335</v>
      </c>
      <c r="B335" s="59" t="s">
        <v>5419</v>
      </c>
      <c r="C335" s="59" t="s">
        <v>2159</v>
      </c>
      <c r="D335" s="59" t="s">
        <v>2199</v>
      </c>
      <c r="E335" s="59" t="s">
        <v>5021</v>
      </c>
      <c r="F335" s="59" t="s">
        <v>5022</v>
      </c>
      <c r="G335" s="81" t="s">
        <v>692</v>
      </c>
      <c r="H335" s="81" t="s">
        <v>692</v>
      </c>
      <c r="I335" s="81" t="s">
        <v>692</v>
      </c>
      <c r="J335" s="81" t="s">
        <v>692</v>
      </c>
      <c r="K335" s="81" t="s">
        <v>692</v>
      </c>
      <c r="L335" s="53" t="str">
        <f t="shared" si="48"/>
        <v>Proteções</v>
      </c>
      <c r="M335" s="53" t="str">
        <f t="shared" si="48"/>
        <v>Contra.Quedas</v>
      </c>
      <c r="N335" s="53" t="str">
        <f t="shared" si="46"/>
        <v>Guardacorpos</v>
      </c>
      <c r="O335" s="53" t="str">
        <f t="shared" si="46"/>
        <v>Guardacorpo</v>
      </c>
      <c r="P335" s="54" t="s">
        <v>2215</v>
      </c>
      <c r="Q335" s="54" t="s">
        <v>2216</v>
      </c>
      <c r="R335" s="54" t="s">
        <v>6327</v>
      </c>
      <c r="S335" s="54" t="s">
        <v>692</v>
      </c>
      <c r="T335" s="55" t="str">
        <f t="shared" si="45"/>
        <v>Proteções</v>
      </c>
      <c r="U335" s="55" t="str">
        <f t="shared" si="45"/>
        <v>Contra Quedas</v>
      </c>
      <c r="V335" s="55" t="str">
        <f t="shared" si="45"/>
        <v>Guardacorpos</v>
      </c>
      <c r="W335" s="54" t="s">
        <v>7259</v>
      </c>
      <c r="X335" s="84" t="str">
        <f t="shared" si="47"/>
        <v>Key-COD-CT-335</v>
      </c>
      <c r="Y335" s="84" t="s">
        <v>5531</v>
      </c>
      <c r="Z335" s="84" t="s">
        <v>692</v>
      </c>
      <c r="AA335" s="84" t="s">
        <v>5469</v>
      </c>
      <c r="AB335" s="84" t="s">
        <v>692</v>
      </c>
      <c r="AC335" s="84" t="s">
        <v>692</v>
      </c>
      <c r="AD335" s="54" t="s">
        <v>692</v>
      </c>
    </row>
    <row r="336" spans="1:30" ht="6.75" customHeight="1" x14ac:dyDescent="0.25">
      <c r="A336" s="85">
        <v>336</v>
      </c>
      <c r="B336" s="59" t="s">
        <v>5419</v>
      </c>
      <c r="C336" s="59" t="s">
        <v>2159</v>
      </c>
      <c r="D336" s="59" t="s">
        <v>2199</v>
      </c>
      <c r="E336" s="59" t="s">
        <v>5021</v>
      </c>
      <c r="F336" s="59" t="s">
        <v>5023</v>
      </c>
      <c r="G336" s="81" t="s">
        <v>692</v>
      </c>
      <c r="H336" s="81" t="s">
        <v>692</v>
      </c>
      <c r="I336" s="81" t="s">
        <v>692</v>
      </c>
      <c r="J336" s="81" t="s">
        <v>692</v>
      </c>
      <c r="K336" s="81" t="s">
        <v>692</v>
      </c>
      <c r="L336" s="53" t="str">
        <f t="shared" si="48"/>
        <v>Proteções</v>
      </c>
      <c r="M336" s="53" t="str">
        <f t="shared" si="48"/>
        <v>Contra.Quedas</v>
      </c>
      <c r="N336" s="53" t="str">
        <f t="shared" si="46"/>
        <v>Guardacorpos</v>
      </c>
      <c r="O336" s="53" t="str">
        <f t="shared" si="46"/>
        <v>Guardacorpo Balaústre</v>
      </c>
      <c r="P336" s="54" t="s">
        <v>2217</v>
      </c>
      <c r="Q336" s="54" t="s">
        <v>2218</v>
      </c>
      <c r="R336" s="54" t="s">
        <v>6328</v>
      </c>
      <c r="S336" s="54" t="s">
        <v>692</v>
      </c>
      <c r="T336" s="55" t="str">
        <f t="shared" si="45"/>
        <v>Proteções</v>
      </c>
      <c r="U336" s="55" t="str">
        <f t="shared" si="45"/>
        <v>Contra Quedas</v>
      </c>
      <c r="V336" s="55" t="str">
        <f t="shared" si="45"/>
        <v>Guardacorpos</v>
      </c>
      <c r="W336" s="54" t="s">
        <v>7259</v>
      </c>
      <c r="X336" s="84" t="str">
        <f t="shared" si="47"/>
        <v>Key-COD-CT-336</v>
      </c>
      <c r="Y336" s="84" t="s">
        <v>5532</v>
      </c>
      <c r="Z336" s="84" t="s">
        <v>692</v>
      </c>
      <c r="AA336" s="84" t="s">
        <v>5670</v>
      </c>
      <c r="AB336" s="84" t="s">
        <v>692</v>
      </c>
      <c r="AC336" s="84" t="s">
        <v>692</v>
      </c>
      <c r="AD336" s="54" t="s">
        <v>692</v>
      </c>
    </row>
    <row r="337" spans="1:30" ht="6.75" customHeight="1" x14ac:dyDescent="0.25">
      <c r="A337" s="85">
        <v>337</v>
      </c>
      <c r="B337" s="59" t="s">
        <v>5419</v>
      </c>
      <c r="C337" s="59" t="s">
        <v>2159</v>
      </c>
      <c r="D337" s="59" t="s">
        <v>2199</v>
      </c>
      <c r="E337" s="59" t="s">
        <v>5021</v>
      </c>
      <c r="F337" s="59" t="s">
        <v>5024</v>
      </c>
      <c r="G337" s="81" t="s">
        <v>692</v>
      </c>
      <c r="H337" s="81" t="s">
        <v>692</v>
      </c>
      <c r="I337" s="81" t="s">
        <v>692</v>
      </c>
      <c r="J337" s="81" t="s">
        <v>692</v>
      </c>
      <c r="K337" s="81" t="s">
        <v>692</v>
      </c>
      <c r="L337" s="53" t="str">
        <f t="shared" si="48"/>
        <v>Proteções</v>
      </c>
      <c r="M337" s="53" t="str">
        <f t="shared" si="48"/>
        <v>Contra.Quedas</v>
      </c>
      <c r="N337" s="53" t="str">
        <f t="shared" si="46"/>
        <v>Guardacorpos</v>
      </c>
      <c r="O337" s="53" t="str">
        <f t="shared" si="46"/>
        <v>Guardacorpo Balaústre Corte</v>
      </c>
      <c r="P337" s="54" t="s">
        <v>2217</v>
      </c>
      <c r="Q337" s="54" t="s">
        <v>2218</v>
      </c>
      <c r="R337" s="54" t="s">
        <v>6328</v>
      </c>
      <c r="S337" s="54" t="s">
        <v>692</v>
      </c>
      <c r="T337" s="55" t="str">
        <f t="shared" si="45"/>
        <v>Proteções</v>
      </c>
      <c r="U337" s="55" t="str">
        <f t="shared" si="45"/>
        <v>Contra Quedas</v>
      </c>
      <c r="V337" s="55" t="str">
        <f t="shared" si="45"/>
        <v>Guardacorpos</v>
      </c>
      <c r="W337" s="54" t="s">
        <v>7259</v>
      </c>
      <c r="X337" s="84" t="str">
        <f t="shared" si="47"/>
        <v>Key-COD-CT-337</v>
      </c>
      <c r="Y337" s="84" t="s">
        <v>5533</v>
      </c>
      <c r="Z337" s="84" t="s">
        <v>692</v>
      </c>
      <c r="AA337" s="84" t="s">
        <v>5670</v>
      </c>
      <c r="AB337" s="84" t="s">
        <v>692</v>
      </c>
      <c r="AC337" s="84" t="s">
        <v>692</v>
      </c>
      <c r="AD337" s="54" t="s">
        <v>692</v>
      </c>
    </row>
    <row r="338" spans="1:30" ht="6.75" customHeight="1" x14ac:dyDescent="0.25">
      <c r="A338" s="85">
        <v>338</v>
      </c>
      <c r="B338" s="59" t="s">
        <v>5419</v>
      </c>
      <c r="C338" s="59" t="s">
        <v>2159</v>
      </c>
      <c r="D338" s="59" t="s">
        <v>2199</v>
      </c>
      <c r="E338" s="59" t="s">
        <v>5021</v>
      </c>
      <c r="F338" s="59" t="s">
        <v>5025</v>
      </c>
      <c r="G338" s="81" t="s">
        <v>692</v>
      </c>
      <c r="H338" s="81" t="s">
        <v>692</v>
      </c>
      <c r="I338" s="81" t="s">
        <v>692</v>
      </c>
      <c r="J338" s="81" t="s">
        <v>692</v>
      </c>
      <c r="K338" s="81" t="s">
        <v>692</v>
      </c>
      <c r="L338" s="53" t="str">
        <f t="shared" si="48"/>
        <v>Proteções</v>
      </c>
      <c r="M338" s="53" t="str">
        <f t="shared" si="48"/>
        <v>Contra.Quedas</v>
      </c>
      <c r="N338" s="53" t="str">
        <f t="shared" si="46"/>
        <v>Guardacorpos</v>
      </c>
      <c r="O338" s="53" t="str">
        <f t="shared" si="46"/>
        <v>Guardacorpo Corrimão</v>
      </c>
      <c r="P338" s="54" t="s">
        <v>2219</v>
      </c>
      <c r="Q338" s="54" t="s">
        <v>2220</v>
      </c>
      <c r="R338" s="54" t="s">
        <v>6329</v>
      </c>
      <c r="S338" s="54" t="s">
        <v>692</v>
      </c>
      <c r="T338" s="55" t="str">
        <f t="shared" si="45"/>
        <v>Proteções</v>
      </c>
      <c r="U338" s="55" t="str">
        <f t="shared" si="45"/>
        <v>Contra Quedas</v>
      </c>
      <c r="V338" s="55" t="str">
        <f t="shared" si="45"/>
        <v>Guardacorpos</v>
      </c>
      <c r="W338" s="54" t="s">
        <v>7259</v>
      </c>
      <c r="X338" s="84" t="str">
        <f t="shared" si="47"/>
        <v>Key-COD-CT-338</v>
      </c>
      <c r="Y338" s="84" t="s">
        <v>5534</v>
      </c>
      <c r="Z338" s="84" t="s">
        <v>692</v>
      </c>
      <c r="AA338" s="84" t="s">
        <v>5671</v>
      </c>
      <c r="AB338" s="84" t="s">
        <v>692</v>
      </c>
      <c r="AC338" s="84" t="s">
        <v>692</v>
      </c>
      <c r="AD338" s="54" t="s">
        <v>692</v>
      </c>
    </row>
    <row r="339" spans="1:30" ht="6.75" customHeight="1" x14ac:dyDescent="0.25">
      <c r="A339" s="85">
        <v>339</v>
      </c>
      <c r="B339" s="59" t="s">
        <v>5419</v>
      </c>
      <c r="C339" s="59" t="s">
        <v>2159</v>
      </c>
      <c r="D339" s="59" t="s">
        <v>2199</v>
      </c>
      <c r="E339" s="59" t="s">
        <v>5021</v>
      </c>
      <c r="F339" s="59" t="s">
        <v>5026</v>
      </c>
      <c r="G339" s="81" t="s">
        <v>692</v>
      </c>
      <c r="H339" s="81" t="s">
        <v>692</v>
      </c>
      <c r="I339" s="81" t="s">
        <v>692</v>
      </c>
      <c r="J339" s="81" t="s">
        <v>692</v>
      </c>
      <c r="K339" s="81" t="s">
        <v>692</v>
      </c>
      <c r="L339" s="53" t="str">
        <f t="shared" si="48"/>
        <v>Proteções</v>
      </c>
      <c r="M339" s="53" t="str">
        <f t="shared" si="48"/>
        <v>Contra.Quedas</v>
      </c>
      <c r="N339" s="53" t="str">
        <f t="shared" si="46"/>
        <v>Guardacorpos</v>
      </c>
      <c r="O339" s="53" t="str">
        <f t="shared" si="46"/>
        <v>Guardacorpo Corrimão Corte</v>
      </c>
      <c r="P339" s="54" t="s">
        <v>2219</v>
      </c>
      <c r="Q339" s="54" t="s">
        <v>2220</v>
      </c>
      <c r="R339" s="54" t="s">
        <v>6329</v>
      </c>
      <c r="S339" s="54" t="s">
        <v>692</v>
      </c>
      <c r="T339" s="55" t="str">
        <f t="shared" si="45"/>
        <v>Proteções</v>
      </c>
      <c r="U339" s="55" t="str">
        <f t="shared" si="45"/>
        <v>Contra Quedas</v>
      </c>
      <c r="V339" s="55" t="str">
        <f t="shared" si="45"/>
        <v>Guardacorpos</v>
      </c>
      <c r="W339" s="54" t="s">
        <v>7259</v>
      </c>
      <c r="X339" s="84" t="str">
        <f t="shared" si="47"/>
        <v>Key-COD-CT-339</v>
      </c>
      <c r="Y339" s="84" t="s">
        <v>5535</v>
      </c>
      <c r="Z339" s="84" t="s">
        <v>692</v>
      </c>
      <c r="AA339" s="84" t="s">
        <v>5671</v>
      </c>
      <c r="AB339" s="84" t="s">
        <v>692</v>
      </c>
      <c r="AC339" s="84" t="s">
        <v>692</v>
      </c>
      <c r="AD339" s="54" t="s">
        <v>692</v>
      </c>
    </row>
    <row r="340" spans="1:30" ht="6.75" customHeight="1" x14ac:dyDescent="0.25">
      <c r="A340" s="85">
        <v>340</v>
      </c>
      <c r="B340" s="59" t="s">
        <v>5419</v>
      </c>
      <c r="C340" s="59" t="s">
        <v>2159</v>
      </c>
      <c r="D340" s="59" t="s">
        <v>2199</v>
      </c>
      <c r="E340" s="59" t="s">
        <v>5021</v>
      </c>
      <c r="F340" s="80" t="s">
        <v>5027</v>
      </c>
      <c r="G340" s="81" t="s">
        <v>692</v>
      </c>
      <c r="H340" s="81" t="s">
        <v>692</v>
      </c>
      <c r="I340" s="81" t="s">
        <v>692</v>
      </c>
      <c r="J340" s="81" t="s">
        <v>692</v>
      </c>
      <c r="K340" s="81" t="s">
        <v>692</v>
      </c>
      <c r="L340" s="53" t="str">
        <f t="shared" si="48"/>
        <v>Proteções</v>
      </c>
      <c r="M340" s="53" t="str">
        <f t="shared" si="48"/>
        <v>Contra.Quedas</v>
      </c>
      <c r="N340" s="53" t="str">
        <f t="shared" si="46"/>
        <v>Guardacorpos</v>
      </c>
      <c r="O340" s="53" t="str">
        <f t="shared" si="46"/>
        <v>Guardacorpo Trilho Superior</v>
      </c>
      <c r="P340" s="54" t="s">
        <v>2221</v>
      </c>
      <c r="Q340" s="54" t="s">
        <v>2222</v>
      </c>
      <c r="R340" s="54" t="s">
        <v>6330</v>
      </c>
      <c r="S340" s="54" t="s">
        <v>692</v>
      </c>
      <c r="T340" s="55" t="str">
        <f t="shared" si="45"/>
        <v>Proteções</v>
      </c>
      <c r="U340" s="55" t="str">
        <f t="shared" si="45"/>
        <v>Contra Quedas</v>
      </c>
      <c r="V340" s="55" t="str">
        <f t="shared" si="45"/>
        <v>Guardacorpos</v>
      </c>
      <c r="W340" s="54" t="s">
        <v>7259</v>
      </c>
      <c r="X340" s="84" t="str">
        <f t="shared" si="47"/>
        <v>Key-COD-CT-340</v>
      </c>
      <c r="Y340" s="84" t="s">
        <v>5536</v>
      </c>
      <c r="Z340" s="84" t="s">
        <v>692</v>
      </c>
      <c r="AA340" s="84" t="s">
        <v>5671</v>
      </c>
      <c r="AB340" s="84" t="s">
        <v>692</v>
      </c>
      <c r="AC340" s="84" t="s">
        <v>692</v>
      </c>
      <c r="AD340" s="54" t="s">
        <v>692</v>
      </c>
    </row>
    <row r="341" spans="1:30" ht="6.75" customHeight="1" x14ac:dyDescent="0.25">
      <c r="A341" s="85">
        <v>341</v>
      </c>
      <c r="B341" s="59" t="s">
        <v>5419</v>
      </c>
      <c r="C341" s="59" t="s">
        <v>2159</v>
      </c>
      <c r="D341" s="59" t="s">
        <v>2199</v>
      </c>
      <c r="E341" s="59" t="s">
        <v>5021</v>
      </c>
      <c r="F341" s="80" t="s">
        <v>5028</v>
      </c>
      <c r="G341" s="81" t="s">
        <v>692</v>
      </c>
      <c r="H341" s="81" t="s">
        <v>692</v>
      </c>
      <c r="I341" s="81" t="s">
        <v>692</v>
      </c>
      <c r="J341" s="81" t="s">
        <v>692</v>
      </c>
      <c r="K341" s="81" t="s">
        <v>692</v>
      </c>
      <c r="L341" s="53" t="str">
        <f t="shared" si="48"/>
        <v>Proteções</v>
      </c>
      <c r="M341" s="53" t="str">
        <f t="shared" si="48"/>
        <v>Contra.Quedas</v>
      </c>
      <c r="N341" s="53" t="str">
        <f t="shared" si="46"/>
        <v>Guardacorpos</v>
      </c>
      <c r="O341" s="53" t="str">
        <f t="shared" si="46"/>
        <v>Guardacorpo Trilho Superior Corte</v>
      </c>
      <c r="P341" s="54" t="s">
        <v>2223</v>
      </c>
      <c r="Q341" s="54" t="s">
        <v>2224</v>
      </c>
      <c r="R341" s="54" t="s">
        <v>6331</v>
      </c>
      <c r="S341" s="54" t="s">
        <v>692</v>
      </c>
      <c r="T341" s="55" t="str">
        <f t="shared" si="45"/>
        <v>Proteções</v>
      </c>
      <c r="U341" s="55" t="str">
        <f t="shared" si="45"/>
        <v>Contra Quedas</v>
      </c>
      <c r="V341" s="55" t="str">
        <f t="shared" si="45"/>
        <v>Guardacorpos</v>
      </c>
      <c r="W341" s="54" t="s">
        <v>7259</v>
      </c>
      <c r="X341" s="84" t="str">
        <f t="shared" si="47"/>
        <v>Key-COD-CT-341</v>
      </c>
      <c r="Y341" s="84" t="s">
        <v>5537</v>
      </c>
      <c r="Z341" s="84" t="s">
        <v>692</v>
      </c>
      <c r="AA341" s="84" t="s">
        <v>5671</v>
      </c>
      <c r="AB341" s="84" t="s">
        <v>692</v>
      </c>
      <c r="AC341" s="84" t="s">
        <v>692</v>
      </c>
      <c r="AD341" s="54" t="s">
        <v>692</v>
      </c>
    </row>
    <row r="342" spans="1:30" ht="6.75" customHeight="1" x14ac:dyDescent="0.25">
      <c r="A342" s="85">
        <v>342</v>
      </c>
      <c r="B342" s="59" t="s">
        <v>5419</v>
      </c>
      <c r="C342" s="59" t="s">
        <v>2159</v>
      </c>
      <c r="D342" s="59" t="s">
        <v>2199</v>
      </c>
      <c r="E342" s="59" t="s">
        <v>5021</v>
      </c>
      <c r="F342" s="80" t="s">
        <v>5029</v>
      </c>
      <c r="G342" s="81" t="s">
        <v>692</v>
      </c>
      <c r="H342" s="81" t="s">
        <v>692</v>
      </c>
      <c r="I342" s="81" t="s">
        <v>692</v>
      </c>
      <c r="J342" s="81" t="s">
        <v>692</v>
      </c>
      <c r="K342" s="81" t="s">
        <v>692</v>
      </c>
      <c r="L342" s="53" t="str">
        <f t="shared" si="48"/>
        <v>Proteções</v>
      </c>
      <c r="M342" s="53" t="str">
        <f t="shared" si="48"/>
        <v>Contra.Quedas</v>
      </c>
      <c r="N342" s="53" t="str">
        <f t="shared" si="46"/>
        <v>Guardacorpos</v>
      </c>
      <c r="O342" s="53" t="str">
        <f t="shared" si="46"/>
        <v>Guardacorpo Path Extensão</v>
      </c>
      <c r="P342" s="54" t="s">
        <v>2219</v>
      </c>
      <c r="Q342" s="54" t="s">
        <v>2220</v>
      </c>
      <c r="R342" s="54" t="s">
        <v>6329</v>
      </c>
      <c r="S342" s="54" t="s">
        <v>692</v>
      </c>
      <c r="T342" s="55" t="str">
        <f t="shared" si="45"/>
        <v>Proteções</v>
      </c>
      <c r="U342" s="55" t="str">
        <f t="shared" si="45"/>
        <v>Contra Quedas</v>
      </c>
      <c r="V342" s="55" t="str">
        <f t="shared" si="45"/>
        <v>Guardacorpos</v>
      </c>
      <c r="W342" s="54" t="s">
        <v>7259</v>
      </c>
      <c r="X342" s="84" t="str">
        <f t="shared" si="47"/>
        <v>Key-COD-CT-342</v>
      </c>
      <c r="Y342" s="84" t="s">
        <v>5538</v>
      </c>
      <c r="Z342" s="84" t="s">
        <v>692</v>
      </c>
      <c r="AA342" s="84" t="s">
        <v>5469</v>
      </c>
      <c r="AB342" s="84" t="s">
        <v>692</v>
      </c>
      <c r="AC342" s="84" t="s">
        <v>692</v>
      </c>
      <c r="AD342" s="54" t="s">
        <v>692</v>
      </c>
    </row>
    <row r="343" spans="1:30" ht="6.75" customHeight="1" x14ac:dyDescent="0.25">
      <c r="A343" s="85">
        <v>343</v>
      </c>
      <c r="B343" s="59" t="s">
        <v>5419</v>
      </c>
      <c r="C343" s="59" t="s">
        <v>2159</v>
      </c>
      <c r="D343" s="59" t="s">
        <v>2199</v>
      </c>
      <c r="E343" s="59" t="s">
        <v>5021</v>
      </c>
      <c r="F343" s="80" t="s">
        <v>5030</v>
      </c>
      <c r="G343" s="81" t="s">
        <v>692</v>
      </c>
      <c r="H343" s="81" t="s">
        <v>692</v>
      </c>
      <c r="I343" s="81" t="s">
        <v>692</v>
      </c>
      <c r="J343" s="81" t="s">
        <v>692</v>
      </c>
      <c r="K343" s="81" t="s">
        <v>692</v>
      </c>
      <c r="L343" s="53" t="str">
        <f t="shared" si="48"/>
        <v>Proteções</v>
      </c>
      <c r="M343" s="53" t="str">
        <f t="shared" si="48"/>
        <v>Contra.Quedas</v>
      </c>
      <c r="N343" s="53" t="str">
        <f t="shared" si="46"/>
        <v>Guardacorpos</v>
      </c>
      <c r="O343" s="53" t="str">
        <f t="shared" si="46"/>
        <v>Guardacorpo Path</v>
      </c>
      <c r="P343" s="54" t="s">
        <v>2219</v>
      </c>
      <c r="Q343" s="54" t="s">
        <v>2220</v>
      </c>
      <c r="R343" s="54" t="s">
        <v>6329</v>
      </c>
      <c r="S343" s="54" t="s">
        <v>692</v>
      </c>
      <c r="T343" s="55" t="str">
        <f t="shared" si="45"/>
        <v>Proteções</v>
      </c>
      <c r="U343" s="55" t="str">
        <f t="shared" si="45"/>
        <v>Contra Quedas</v>
      </c>
      <c r="V343" s="55" t="str">
        <f t="shared" si="45"/>
        <v>Guardacorpos</v>
      </c>
      <c r="W343" s="54" t="s">
        <v>7259</v>
      </c>
      <c r="X343" s="84" t="str">
        <f t="shared" si="47"/>
        <v>Key-COD-CT-343</v>
      </c>
      <c r="Y343" s="84" t="s">
        <v>5539</v>
      </c>
      <c r="Z343" s="84" t="s">
        <v>692</v>
      </c>
      <c r="AA343" s="84" t="s">
        <v>5469</v>
      </c>
      <c r="AB343" s="84" t="s">
        <v>692</v>
      </c>
      <c r="AC343" s="84" t="s">
        <v>692</v>
      </c>
      <c r="AD343" s="54" t="s">
        <v>692</v>
      </c>
    </row>
    <row r="344" spans="1:30" ht="6.75" customHeight="1" x14ac:dyDescent="0.25">
      <c r="A344" s="85">
        <v>344</v>
      </c>
      <c r="B344" s="59" t="s">
        <v>5419</v>
      </c>
      <c r="C344" s="59" t="s">
        <v>2159</v>
      </c>
      <c r="D344" s="59" t="s">
        <v>2199</v>
      </c>
      <c r="E344" s="59" t="s">
        <v>5021</v>
      </c>
      <c r="F344" s="80" t="s">
        <v>5031</v>
      </c>
      <c r="G344" s="81" t="s">
        <v>692</v>
      </c>
      <c r="H344" s="81" t="s">
        <v>692</v>
      </c>
      <c r="I344" s="81" t="s">
        <v>692</v>
      </c>
      <c r="J344" s="81" t="s">
        <v>692</v>
      </c>
      <c r="K344" s="81" t="s">
        <v>692</v>
      </c>
      <c r="L344" s="53" t="str">
        <f t="shared" si="48"/>
        <v>Proteções</v>
      </c>
      <c r="M344" s="53" t="str">
        <f t="shared" si="48"/>
        <v>Contra.Quedas</v>
      </c>
      <c r="N344" s="53" t="str">
        <f t="shared" si="46"/>
        <v>Guardacorpos</v>
      </c>
      <c r="O344" s="53" t="str">
        <f t="shared" si="46"/>
        <v>Guardacorpo Suporte</v>
      </c>
      <c r="P344" s="54" t="s">
        <v>2225</v>
      </c>
      <c r="Q344" s="54" t="s">
        <v>2226</v>
      </c>
      <c r="R344" s="54" t="s">
        <v>6332</v>
      </c>
      <c r="S344" s="54" t="s">
        <v>692</v>
      </c>
      <c r="T344" s="55" t="str">
        <f t="shared" si="45"/>
        <v>Proteções</v>
      </c>
      <c r="U344" s="55" t="str">
        <f t="shared" si="45"/>
        <v>Contra Quedas</v>
      </c>
      <c r="V344" s="55" t="str">
        <f t="shared" si="45"/>
        <v>Guardacorpos</v>
      </c>
      <c r="W344" s="54" t="s">
        <v>7259</v>
      </c>
      <c r="X344" s="84" t="str">
        <f t="shared" si="47"/>
        <v>Key-COD-CT-344</v>
      </c>
      <c r="Y344" s="84" t="s">
        <v>5540</v>
      </c>
      <c r="Z344" s="84" t="s">
        <v>692</v>
      </c>
      <c r="AA344" s="84" t="s">
        <v>5469</v>
      </c>
      <c r="AB344" s="84" t="s">
        <v>692</v>
      </c>
      <c r="AC344" s="84" t="s">
        <v>692</v>
      </c>
      <c r="AD344" s="54" t="s">
        <v>692</v>
      </c>
    </row>
    <row r="345" spans="1:30" ht="6.75" customHeight="1" x14ac:dyDescent="0.25">
      <c r="A345" s="85">
        <v>345</v>
      </c>
      <c r="B345" s="59" t="s">
        <v>5419</v>
      </c>
      <c r="C345" s="59" t="s">
        <v>2159</v>
      </c>
      <c r="D345" s="59" t="s">
        <v>2199</v>
      </c>
      <c r="E345" s="59" t="s">
        <v>5021</v>
      </c>
      <c r="F345" s="80" t="s">
        <v>5032</v>
      </c>
      <c r="G345" s="81" t="s">
        <v>692</v>
      </c>
      <c r="H345" s="81" t="s">
        <v>692</v>
      </c>
      <c r="I345" s="81" t="s">
        <v>692</v>
      </c>
      <c r="J345" s="81" t="s">
        <v>692</v>
      </c>
      <c r="K345" s="81" t="s">
        <v>692</v>
      </c>
      <c r="L345" s="53" t="str">
        <f t="shared" si="48"/>
        <v>Proteções</v>
      </c>
      <c r="M345" s="53" t="str">
        <f t="shared" si="48"/>
        <v>Contra.Quedas</v>
      </c>
      <c r="N345" s="53" t="str">
        <f t="shared" si="46"/>
        <v>Guardacorpos</v>
      </c>
      <c r="O345" s="53" t="str">
        <f t="shared" si="46"/>
        <v>Guardacorpo Terminação</v>
      </c>
      <c r="P345" s="54" t="s">
        <v>2227</v>
      </c>
      <c r="Q345" s="54" t="s">
        <v>2228</v>
      </c>
      <c r="R345" s="54" t="s">
        <v>6333</v>
      </c>
      <c r="S345" s="54" t="s">
        <v>692</v>
      </c>
      <c r="T345" s="55" t="str">
        <f t="shared" si="45"/>
        <v>Proteções</v>
      </c>
      <c r="U345" s="55" t="str">
        <f t="shared" si="45"/>
        <v>Contra Quedas</v>
      </c>
      <c r="V345" s="55" t="str">
        <f t="shared" si="45"/>
        <v>Guardacorpos</v>
      </c>
      <c r="W345" s="54" t="s">
        <v>7259</v>
      </c>
      <c r="X345" s="84" t="str">
        <f t="shared" si="47"/>
        <v>Key-COD-CT-345</v>
      </c>
      <c r="Y345" s="84" t="s">
        <v>5541</v>
      </c>
      <c r="Z345" s="84" t="s">
        <v>692</v>
      </c>
      <c r="AA345" s="84" t="s">
        <v>5469</v>
      </c>
      <c r="AB345" s="84" t="s">
        <v>692</v>
      </c>
      <c r="AC345" s="84" t="s">
        <v>692</v>
      </c>
      <c r="AD345" s="54" t="s">
        <v>692</v>
      </c>
    </row>
    <row r="346" spans="1:30" ht="6.75" customHeight="1" x14ac:dyDescent="0.25">
      <c r="A346" s="85">
        <v>346</v>
      </c>
      <c r="B346" s="59" t="s">
        <v>5419</v>
      </c>
      <c r="C346" s="59" t="s">
        <v>2159</v>
      </c>
      <c r="D346" s="59" t="s">
        <v>2199</v>
      </c>
      <c r="E346" s="59" t="s">
        <v>2229</v>
      </c>
      <c r="F346" s="59" t="s">
        <v>2230</v>
      </c>
      <c r="G346" s="81" t="s">
        <v>692</v>
      </c>
      <c r="H346" s="81" t="s">
        <v>692</v>
      </c>
      <c r="I346" s="81" t="s">
        <v>692</v>
      </c>
      <c r="J346" s="81" t="s">
        <v>692</v>
      </c>
      <c r="K346" s="81" t="s">
        <v>692</v>
      </c>
      <c r="L346" s="53" t="str">
        <f t="shared" si="48"/>
        <v>Proteções</v>
      </c>
      <c r="M346" s="53" t="str">
        <f t="shared" si="48"/>
        <v>Contra.Quedas</v>
      </c>
      <c r="N346" s="53" t="str">
        <f t="shared" si="46"/>
        <v>Guardacorpos Sistemas</v>
      </c>
      <c r="O346" s="53" t="str">
        <f t="shared" si="46"/>
        <v>Guardacorpo Sistema</v>
      </c>
      <c r="P346" s="54" t="s">
        <v>2231</v>
      </c>
      <c r="Q346" s="54" t="s">
        <v>2232</v>
      </c>
      <c r="R346" s="54" t="s">
        <v>6334</v>
      </c>
      <c r="S346" s="54" t="s">
        <v>692</v>
      </c>
      <c r="T346" s="55" t="str">
        <f t="shared" si="45"/>
        <v>Proteções</v>
      </c>
      <c r="U346" s="55" t="str">
        <f t="shared" si="45"/>
        <v>Contra Quedas</v>
      </c>
      <c r="V346" s="55" t="str">
        <f t="shared" si="45"/>
        <v>Guardacorpos Sistemas</v>
      </c>
      <c r="W346" s="54" t="s">
        <v>7259</v>
      </c>
      <c r="X346" s="84" t="str">
        <f t="shared" si="47"/>
        <v>Key-COD-CT-346</v>
      </c>
      <c r="Y346" s="84" t="s">
        <v>5542</v>
      </c>
      <c r="Z346" s="84" t="s">
        <v>692</v>
      </c>
      <c r="AA346" s="84" t="s">
        <v>5469</v>
      </c>
      <c r="AB346" s="84" t="s">
        <v>692</v>
      </c>
      <c r="AC346" s="84" t="s">
        <v>692</v>
      </c>
      <c r="AD346" s="54" t="s">
        <v>692</v>
      </c>
    </row>
    <row r="347" spans="1:30" ht="6.75" customHeight="1" x14ac:dyDescent="0.25">
      <c r="A347" s="85">
        <v>347</v>
      </c>
      <c r="B347" s="59" t="s">
        <v>5419</v>
      </c>
      <c r="C347" s="59" t="s">
        <v>2159</v>
      </c>
      <c r="D347" s="59" t="s">
        <v>2199</v>
      </c>
      <c r="E347" s="59" t="s">
        <v>2229</v>
      </c>
      <c r="F347" s="59" t="s">
        <v>2233</v>
      </c>
      <c r="G347" s="81" t="s">
        <v>692</v>
      </c>
      <c r="H347" s="81" t="s">
        <v>692</v>
      </c>
      <c r="I347" s="81" t="s">
        <v>692</v>
      </c>
      <c r="J347" s="81" t="s">
        <v>692</v>
      </c>
      <c r="K347" s="81" t="s">
        <v>692</v>
      </c>
      <c r="L347" s="53" t="str">
        <f t="shared" si="48"/>
        <v>Proteções</v>
      </c>
      <c r="M347" s="53" t="str">
        <f t="shared" si="48"/>
        <v>Contra.Quedas</v>
      </c>
      <c r="N347" s="53" t="str">
        <f t="shared" si="46"/>
        <v>Guardacorpos Sistemas</v>
      </c>
      <c r="O347" s="53" t="str">
        <f t="shared" si="46"/>
        <v>Guardacorpo Sistema Balaústre</v>
      </c>
      <c r="P347" s="54" t="s">
        <v>2234</v>
      </c>
      <c r="Q347" s="54" t="s">
        <v>2235</v>
      </c>
      <c r="R347" s="54" t="s">
        <v>6335</v>
      </c>
      <c r="S347" s="54" t="s">
        <v>692</v>
      </c>
      <c r="T347" s="55" t="str">
        <f t="shared" si="45"/>
        <v>Proteções</v>
      </c>
      <c r="U347" s="55" t="str">
        <f t="shared" si="45"/>
        <v>Contra Quedas</v>
      </c>
      <c r="V347" s="55" t="str">
        <f t="shared" si="45"/>
        <v>Guardacorpos Sistemas</v>
      </c>
      <c r="W347" s="54" t="s">
        <v>7259</v>
      </c>
      <c r="X347" s="84" t="str">
        <f t="shared" si="47"/>
        <v>Key-COD-CT-347</v>
      </c>
      <c r="Y347" s="84" t="s">
        <v>5543</v>
      </c>
      <c r="Z347" s="84" t="s">
        <v>692</v>
      </c>
      <c r="AA347" s="84" t="s">
        <v>5670</v>
      </c>
      <c r="AB347" s="84" t="s">
        <v>692</v>
      </c>
      <c r="AC347" s="84" t="s">
        <v>692</v>
      </c>
      <c r="AD347" s="54" t="s">
        <v>692</v>
      </c>
    </row>
    <row r="348" spans="1:30" ht="6.75" customHeight="1" x14ac:dyDescent="0.25">
      <c r="A348" s="85">
        <v>348</v>
      </c>
      <c r="B348" s="59" t="s">
        <v>5419</v>
      </c>
      <c r="C348" s="59" t="s">
        <v>2159</v>
      </c>
      <c r="D348" s="59" t="s">
        <v>2199</v>
      </c>
      <c r="E348" s="59" t="s">
        <v>2229</v>
      </c>
      <c r="F348" s="59" t="s">
        <v>2236</v>
      </c>
      <c r="G348" s="81" t="s">
        <v>692</v>
      </c>
      <c r="H348" s="81" t="s">
        <v>692</v>
      </c>
      <c r="I348" s="81" t="s">
        <v>692</v>
      </c>
      <c r="J348" s="81" t="s">
        <v>692</v>
      </c>
      <c r="K348" s="81" t="s">
        <v>692</v>
      </c>
      <c r="L348" s="53" t="str">
        <f t="shared" si="48"/>
        <v>Proteções</v>
      </c>
      <c r="M348" s="53" t="str">
        <f t="shared" si="48"/>
        <v>Contra.Quedas</v>
      </c>
      <c r="N348" s="53" t="str">
        <f t="shared" si="46"/>
        <v>Guardacorpos Sistemas</v>
      </c>
      <c r="O348" s="53" t="str">
        <f t="shared" si="46"/>
        <v>Guardacorpo Sistema Corrimão</v>
      </c>
      <c r="P348" s="54" t="s">
        <v>2219</v>
      </c>
      <c r="Q348" s="54" t="s">
        <v>2220</v>
      </c>
      <c r="R348" s="54" t="s">
        <v>6329</v>
      </c>
      <c r="S348" s="54" t="s">
        <v>692</v>
      </c>
      <c r="T348" s="55" t="str">
        <f t="shared" si="45"/>
        <v>Proteções</v>
      </c>
      <c r="U348" s="55" t="str">
        <f t="shared" si="45"/>
        <v>Contra Quedas</v>
      </c>
      <c r="V348" s="55" t="str">
        <f t="shared" si="45"/>
        <v>Guardacorpos Sistemas</v>
      </c>
      <c r="W348" s="54" t="s">
        <v>7259</v>
      </c>
      <c r="X348" s="84" t="str">
        <f t="shared" si="47"/>
        <v>Key-COD-CT-348</v>
      </c>
      <c r="Y348" s="84" t="s">
        <v>5544</v>
      </c>
      <c r="Z348" s="84" t="s">
        <v>692</v>
      </c>
      <c r="AA348" s="84" t="s">
        <v>5671</v>
      </c>
      <c r="AB348" s="84" t="s">
        <v>692</v>
      </c>
      <c r="AC348" s="84" t="s">
        <v>692</v>
      </c>
      <c r="AD348" s="54" t="s">
        <v>692</v>
      </c>
    </row>
    <row r="349" spans="1:30" ht="6.75" customHeight="1" x14ac:dyDescent="0.25">
      <c r="A349" s="85">
        <v>349</v>
      </c>
      <c r="B349" s="59" t="s">
        <v>5419</v>
      </c>
      <c r="C349" s="59" t="s">
        <v>2159</v>
      </c>
      <c r="D349" s="59" t="s">
        <v>2199</v>
      </c>
      <c r="E349" s="59" t="s">
        <v>2229</v>
      </c>
      <c r="F349" s="59" t="s">
        <v>2237</v>
      </c>
      <c r="G349" s="81" t="s">
        <v>692</v>
      </c>
      <c r="H349" s="81" t="s">
        <v>692</v>
      </c>
      <c r="I349" s="81" t="s">
        <v>692</v>
      </c>
      <c r="J349" s="81" t="s">
        <v>692</v>
      </c>
      <c r="K349" s="81" t="s">
        <v>692</v>
      </c>
      <c r="L349" s="53" t="str">
        <f t="shared" si="48"/>
        <v>Proteções</v>
      </c>
      <c r="M349" s="53" t="str">
        <f t="shared" si="48"/>
        <v>Contra.Quedas</v>
      </c>
      <c r="N349" s="53" t="str">
        <f t="shared" si="46"/>
        <v>Guardacorpos Sistemas</v>
      </c>
      <c r="O349" s="53" t="str">
        <f t="shared" si="46"/>
        <v>Guardacorpo Sistema Corrimão Grampo</v>
      </c>
      <c r="P349" s="54" t="s">
        <v>2238</v>
      </c>
      <c r="Q349" s="54" t="s">
        <v>2239</v>
      </c>
      <c r="R349" s="54" t="s">
        <v>6336</v>
      </c>
      <c r="S349" s="54" t="s">
        <v>692</v>
      </c>
      <c r="T349" s="55" t="str">
        <f t="shared" si="45"/>
        <v>Proteções</v>
      </c>
      <c r="U349" s="55" t="str">
        <f t="shared" si="45"/>
        <v>Contra Quedas</v>
      </c>
      <c r="V349" s="55" t="str">
        <f t="shared" si="45"/>
        <v>Guardacorpos Sistemas</v>
      </c>
      <c r="W349" s="54" t="s">
        <v>7259</v>
      </c>
      <c r="X349" s="84" t="str">
        <f t="shared" si="47"/>
        <v>Key-COD-CT-349</v>
      </c>
      <c r="Y349" s="84" t="s">
        <v>5545</v>
      </c>
      <c r="Z349" s="84" t="s">
        <v>692</v>
      </c>
      <c r="AA349" s="84" t="s">
        <v>5671</v>
      </c>
      <c r="AB349" s="84" t="s">
        <v>692</v>
      </c>
      <c r="AC349" s="84" t="s">
        <v>692</v>
      </c>
      <c r="AD349" s="54" t="s">
        <v>692</v>
      </c>
    </row>
    <row r="350" spans="1:30" ht="6.75" customHeight="1" x14ac:dyDescent="0.25">
      <c r="A350" s="85">
        <v>350</v>
      </c>
      <c r="B350" s="59" t="s">
        <v>5419</v>
      </c>
      <c r="C350" s="59" t="s">
        <v>2159</v>
      </c>
      <c r="D350" s="59" t="s">
        <v>2199</v>
      </c>
      <c r="E350" s="59" t="s">
        <v>2229</v>
      </c>
      <c r="F350" s="59" t="s">
        <v>2240</v>
      </c>
      <c r="G350" s="81" t="s">
        <v>692</v>
      </c>
      <c r="H350" s="81" t="s">
        <v>692</v>
      </c>
      <c r="I350" s="81" t="s">
        <v>692</v>
      </c>
      <c r="J350" s="81" t="s">
        <v>692</v>
      </c>
      <c r="K350" s="81" t="s">
        <v>692</v>
      </c>
      <c r="L350" s="53" t="str">
        <f t="shared" si="48"/>
        <v>Proteções</v>
      </c>
      <c r="M350" s="53" t="str">
        <f t="shared" si="48"/>
        <v>Contra.Quedas</v>
      </c>
      <c r="N350" s="53" t="str">
        <f t="shared" si="46"/>
        <v>Guardacorpos Sistemas</v>
      </c>
      <c r="O350" s="53" t="str">
        <f t="shared" si="46"/>
        <v>Guardacorpo Sistema Ferragem</v>
      </c>
      <c r="P350" s="54" t="s">
        <v>2241</v>
      </c>
      <c r="Q350" s="54" t="s">
        <v>2242</v>
      </c>
      <c r="R350" s="54" t="s">
        <v>6337</v>
      </c>
      <c r="S350" s="54" t="s">
        <v>692</v>
      </c>
      <c r="T350" s="55" t="str">
        <f t="shared" si="45"/>
        <v>Proteções</v>
      </c>
      <c r="U350" s="55" t="str">
        <f t="shared" si="45"/>
        <v>Contra Quedas</v>
      </c>
      <c r="V350" s="55" t="str">
        <f t="shared" si="45"/>
        <v>Guardacorpos Sistemas</v>
      </c>
      <c r="W350" s="54" t="s">
        <v>7259</v>
      </c>
      <c r="X350" s="84" t="str">
        <f t="shared" si="47"/>
        <v>Key-COD-CT-350</v>
      </c>
      <c r="Y350" s="84" t="s">
        <v>5546</v>
      </c>
      <c r="Z350" s="84" t="s">
        <v>692</v>
      </c>
      <c r="AA350" s="84" t="s">
        <v>5469</v>
      </c>
      <c r="AB350" s="84" t="s">
        <v>692</v>
      </c>
      <c r="AC350" s="84" t="s">
        <v>692</v>
      </c>
      <c r="AD350" s="54" t="s">
        <v>692</v>
      </c>
    </row>
    <row r="351" spans="1:30" ht="6.75" customHeight="1" x14ac:dyDescent="0.25">
      <c r="A351" s="85">
        <v>351</v>
      </c>
      <c r="B351" s="59" t="s">
        <v>5419</v>
      </c>
      <c r="C351" s="59" t="s">
        <v>2159</v>
      </c>
      <c r="D351" s="59" t="s">
        <v>2199</v>
      </c>
      <c r="E351" s="59" t="s">
        <v>2229</v>
      </c>
      <c r="F351" s="80" t="s">
        <v>2243</v>
      </c>
      <c r="G351" s="81" t="s">
        <v>692</v>
      </c>
      <c r="H351" s="81" t="s">
        <v>692</v>
      </c>
      <c r="I351" s="81" t="s">
        <v>692</v>
      </c>
      <c r="J351" s="81" t="s">
        <v>692</v>
      </c>
      <c r="K351" s="81" t="s">
        <v>692</v>
      </c>
      <c r="L351" s="53" t="str">
        <f t="shared" si="48"/>
        <v>Proteções</v>
      </c>
      <c r="M351" s="53" t="str">
        <f t="shared" si="48"/>
        <v>Contra.Quedas</v>
      </c>
      <c r="N351" s="53" t="str">
        <f t="shared" si="46"/>
        <v>Guardacorpos Sistemas</v>
      </c>
      <c r="O351" s="53" t="str">
        <f t="shared" si="46"/>
        <v>Guardacorpo Sistema Painel</v>
      </c>
      <c r="P351" s="54" t="s">
        <v>2244</v>
      </c>
      <c r="Q351" s="54" t="s">
        <v>2245</v>
      </c>
      <c r="R351" s="54" t="s">
        <v>6338</v>
      </c>
      <c r="S351" s="54" t="s">
        <v>692</v>
      </c>
      <c r="T351" s="55" t="str">
        <f t="shared" si="45"/>
        <v>Proteções</v>
      </c>
      <c r="U351" s="55" t="str">
        <f t="shared" si="45"/>
        <v>Contra Quedas</v>
      </c>
      <c r="V351" s="55" t="str">
        <f t="shared" si="45"/>
        <v>Guardacorpos Sistemas</v>
      </c>
      <c r="W351" s="54" t="s">
        <v>7259</v>
      </c>
      <c r="X351" s="84" t="str">
        <f t="shared" si="47"/>
        <v>Key-COD-CT-351</v>
      </c>
      <c r="Y351" s="84" t="s">
        <v>5547</v>
      </c>
      <c r="Z351" s="84" t="s">
        <v>692</v>
      </c>
      <c r="AA351" s="84" t="s">
        <v>5469</v>
      </c>
      <c r="AB351" s="84" t="s">
        <v>692</v>
      </c>
      <c r="AC351" s="84" t="s">
        <v>692</v>
      </c>
      <c r="AD351" s="54" t="s">
        <v>692</v>
      </c>
    </row>
    <row r="352" spans="1:30" ht="6.75" customHeight="1" x14ac:dyDescent="0.25">
      <c r="A352" s="85">
        <v>352</v>
      </c>
      <c r="B352" s="59" t="s">
        <v>5419</v>
      </c>
      <c r="C352" s="59" t="s">
        <v>2159</v>
      </c>
      <c r="D352" s="59" t="s">
        <v>2199</v>
      </c>
      <c r="E352" s="59" t="s">
        <v>2229</v>
      </c>
      <c r="F352" s="80" t="s">
        <v>2246</v>
      </c>
      <c r="G352" s="81" t="s">
        <v>692</v>
      </c>
      <c r="H352" s="81" t="s">
        <v>692</v>
      </c>
      <c r="I352" s="81" t="s">
        <v>692</v>
      </c>
      <c r="J352" s="81" t="s">
        <v>692</v>
      </c>
      <c r="K352" s="81" t="s">
        <v>692</v>
      </c>
      <c r="L352" s="53" t="str">
        <f t="shared" si="48"/>
        <v>Proteções</v>
      </c>
      <c r="M352" s="53" t="str">
        <f t="shared" si="48"/>
        <v>Contra.Quedas</v>
      </c>
      <c r="N352" s="53" t="str">
        <f t="shared" si="46"/>
        <v>Guardacorpos Sistemas</v>
      </c>
      <c r="O352" s="53" t="str">
        <f t="shared" si="46"/>
        <v>Guardacorpo Sistema Poste</v>
      </c>
      <c r="P352" s="54" t="s">
        <v>2247</v>
      </c>
      <c r="Q352" s="54" t="s">
        <v>2248</v>
      </c>
      <c r="R352" s="54" t="s">
        <v>6339</v>
      </c>
      <c r="S352" s="54" t="s">
        <v>692</v>
      </c>
      <c r="T352" s="55" t="str">
        <f t="shared" si="45"/>
        <v>Proteções</v>
      </c>
      <c r="U352" s="55" t="str">
        <f t="shared" si="45"/>
        <v>Contra Quedas</v>
      </c>
      <c r="V352" s="55" t="str">
        <f t="shared" si="45"/>
        <v>Guardacorpos Sistemas</v>
      </c>
      <c r="W352" s="54" t="s">
        <v>7259</v>
      </c>
      <c r="X352" s="84" t="str">
        <f t="shared" si="47"/>
        <v>Key-COD-CT-352</v>
      </c>
      <c r="Y352" s="84" t="s">
        <v>5548</v>
      </c>
      <c r="Z352" s="84" t="s">
        <v>692</v>
      </c>
      <c r="AA352" s="84" t="s">
        <v>5670</v>
      </c>
      <c r="AB352" s="84" t="s">
        <v>692</v>
      </c>
      <c r="AC352" s="84" t="s">
        <v>692</v>
      </c>
      <c r="AD352" s="54" t="s">
        <v>692</v>
      </c>
    </row>
    <row r="353" spans="1:30" ht="6.75" customHeight="1" x14ac:dyDescent="0.25">
      <c r="A353" s="85">
        <v>353</v>
      </c>
      <c r="B353" s="59" t="s">
        <v>5419</v>
      </c>
      <c r="C353" s="59" t="s">
        <v>2159</v>
      </c>
      <c r="D353" s="59" t="s">
        <v>2199</v>
      </c>
      <c r="E353" s="59" t="s">
        <v>2229</v>
      </c>
      <c r="F353" s="80" t="s">
        <v>2249</v>
      </c>
      <c r="G353" s="81" t="s">
        <v>692</v>
      </c>
      <c r="H353" s="81" t="s">
        <v>692</v>
      </c>
      <c r="I353" s="81" t="s">
        <v>692</v>
      </c>
      <c r="J353" s="81" t="s">
        <v>692</v>
      </c>
      <c r="K353" s="81" t="s">
        <v>692</v>
      </c>
      <c r="L353" s="53" t="str">
        <f t="shared" si="48"/>
        <v>Proteções</v>
      </c>
      <c r="M353" s="53" t="str">
        <f t="shared" si="48"/>
        <v>Contra.Quedas</v>
      </c>
      <c r="N353" s="53" t="str">
        <f t="shared" si="46"/>
        <v>Guardacorpos Sistemas</v>
      </c>
      <c r="O353" s="53" t="str">
        <f t="shared" si="46"/>
        <v>Guardacorpo Sistema Trilho</v>
      </c>
      <c r="P353" s="54" t="s">
        <v>2250</v>
      </c>
      <c r="Q353" s="54" t="s">
        <v>2251</v>
      </c>
      <c r="R353" s="54" t="s">
        <v>6340</v>
      </c>
      <c r="S353" s="54" t="s">
        <v>692</v>
      </c>
      <c r="T353" s="55" t="str">
        <f t="shared" ref="T353:V414" si="49">SUBSTITUTE(C353, ".", " ")</f>
        <v>Proteções</v>
      </c>
      <c r="U353" s="55" t="str">
        <f t="shared" si="49"/>
        <v>Contra Quedas</v>
      </c>
      <c r="V353" s="55" t="str">
        <f t="shared" si="49"/>
        <v>Guardacorpos Sistemas</v>
      </c>
      <c r="W353" s="54" t="s">
        <v>7259</v>
      </c>
      <c r="X353" s="84" t="str">
        <f t="shared" si="47"/>
        <v>Key-COD-CT-353</v>
      </c>
      <c r="Y353" s="84" t="s">
        <v>5549</v>
      </c>
      <c r="Z353" s="84" t="s">
        <v>692</v>
      </c>
      <c r="AA353" s="84" t="s">
        <v>5671</v>
      </c>
      <c r="AB353" s="84" t="s">
        <v>692</v>
      </c>
      <c r="AC353" s="84" t="s">
        <v>692</v>
      </c>
      <c r="AD353" s="54" t="s">
        <v>692</v>
      </c>
    </row>
    <row r="354" spans="1:30" ht="6.75" customHeight="1" x14ac:dyDescent="0.25">
      <c r="A354" s="85">
        <v>354</v>
      </c>
      <c r="B354" s="59" t="s">
        <v>5419</v>
      </c>
      <c r="C354" s="59" t="s">
        <v>2159</v>
      </c>
      <c r="D354" s="59" t="s">
        <v>2199</v>
      </c>
      <c r="E354" s="59" t="s">
        <v>2229</v>
      </c>
      <c r="F354" s="80" t="s">
        <v>2252</v>
      </c>
      <c r="G354" s="81" t="s">
        <v>692</v>
      </c>
      <c r="H354" s="81" t="s">
        <v>692</v>
      </c>
      <c r="I354" s="81" t="s">
        <v>692</v>
      </c>
      <c r="J354" s="81" t="s">
        <v>692</v>
      </c>
      <c r="K354" s="81" t="s">
        <v>692</v>
      </c>
      <c r="L354" s="53" t="str">
        <f t="shared" si="48"/>
        <v>Proteções</v>
      </c>
      <c r="M354" s="53" t="str">
        <f t="shared" si="48"/>
        <v>Contra.Quedas</v>
      </c>
      <c r="N354" s="53" t="str">
        <f t="shared" si="46"/>
        <v>Guardacorpos Sistemas</v>
      </c>
      <c r="O354" s="53" t="str">
        <f t="shared" si="46"/>
        <v>Guardacorpo Sistema Trilho Superior</v>
      </c>
      <c r="P354" s="54" t="s">
        <v>2221</v>
      </c>
      <c r="Q354" s="54" t="s">
        <v>2222</v>
      </c>
      <c r="R354" s="54" t="s">
        <v>6330</v>
      </c>
      <c r="S354" s="54" t="s">
        <v>692</v>
      </c>
      <c r="T354" s="55" t="str">
        <f t="shared" si="49"/>
        <v>Proteções</v>
      </c>
      <c r="U354" s="55" t="str">
        <f t="shared" si="49"/>
        <v>Contra Quedas</v>
      </c>
      <c r="V354" s="55" t="str">
        <f t="shared" si="49"/>
        <v>Guardacorpos Sistemas</v>
      </c>
      <c r="W354" s="54" t="s">
        <v>7259</v>
      </c>
      <c r="X354" s="84" t="str">
        <f t="shared" si="47"/>
        <v>Key-COD-CT-354</v>
      </c>
      <c r="Y354" s="84" t="s">
        <v>5550</v>
      </c>
      <c r="Z354" s="84" t="s">
        <v>692</v>
      </c>
      <c r="AA354" s="84" t="s">
        <v>5671</v>
      </c>
      <c r="AB354" s="84" t="s">
        <v>692</v>
      </c>
      <c r="AC354" s="84" t="s">
        <v>692</v>
      </c>
      <c r="AD354" s="54" t="s">
        <v>692</v>
      </c>
    </row>
    <row r="355" spans="1:30" ht="6.75" customHeight="1" x14ac:dyDescent="0.25">
      <c r="A355" s="85">
        <v>355</v>
      </c>
      <c r="B355" s="59" t="s">
        <v>5419</v>
      </c>
      <c r="C355" s="59" t="s">
        <v>2159</v>
      </c>
      <c r="D355" s="59" t="s">
        <v>2199</v>
      </c>
      <c r="E355" s="59" t="s">
        <v>2229</v>
      </c>
      <c r="F355" s="80" t="s">
        <v>2253</v>
      </c>
      <c r="G355" s="81" t="s">
        <v>692</v>
      </c>
      <c r="H355" s="81" t="s">
        <v>692</v>
      </c>
      <c r="I355" s="81" t="s">
        <v>692</v>
      </c>
      <c r="J355" s="81" t="s">
        <v>692</v>
      </c>
      <c r="K355" s="81" t="s">
        <v>692</v>
      </c>
      <c r="L355" s="53" t="str">
        <f t="shared" si="48"/>
        <v>Proteções</v>
      </c>
      <c r="M355" s="53" t="str">
        <f t="shared" si="48"/>
        <v>Contra.Quedas</v>
      </c>
      <c r="N355" s="53" t="str">
        <f t="shared" si="46"/>
        <v>Guardacorpos Sistemas</v>
      </c>
      <c r="O355" s="53" t="str">
        <f t="shared" si="46"/>
        <v>Guardacorpo Sistema Segmento</v>
      </c>
      <c r="P355" s="54" t="s">
        <v>2254</v>
      </c>
      <c r="Q355" s="54" t="s">
        <v>2255</v>
      </c>
      <c r="R355" s="54" t="s">
        <v>6341</v>
      </c>
      <c r="S355" s="54" t="s">
        <v>692</v>
      </c>
      <c r="T355" s="55" t="str">
        <f t="shared" si="49"/>
        <v>Proteções</v>
      </c>
      <c r="U355" s="55" t="str">
        <f t="shared" si="49"/>
        <v>Contra Quedas</v>
      </c>
      <c r="V355" s="55" t="str">
        <f t="shared" si="49"/>
        <v>Guardacorpos Sistemas</v>
      </c>
      <c r="W355" s="54" t="s">
        <v>7259</v>
      </c>
      <c r="X355" s="84" t="str">
        <f t="shared" si="47"/>
        <v>Key-COD-CT-355</v>
      </c>
      <c r="Y355" s="84" t="s">
        <v>5551</v>
      </c>
      <c r="Z355" s="84" t="s">
        <v>692</v>
      </c>
      <c r="AA355" s="84" t="s">
        <v>5469</v>
      </c>
      <c r="AB355" s="84" t="s">
        <v>692</v>
      </c>
      <c r="AC355" s="84" t="s">
        <v>692</v>
      </c>
      <c r="AD355" s="54" t="s">
        <v>692</v>
      </c>
    </row>
    <row r="356" spans="1:30" ht="6.75" customHeight="1" x14ac:dyDescent="0.25">
      <c r="A356" s="85">
        <v>356</v>
      </c>
      <c r="B356" s="59" t="s">
        <v>5419</v>
      </c>
      <c r="C356" s="59" t="s">
        <v>2159</v>
      </c>
      <c r="D356" s="59" t="s">
        <v>2199</v>
      </c>
      <c r="E356" s="59" t="s">
        <v>2229</v>
      </c>
      <c r="F356" s="80" t="s">
        <v>2256</v>
      </c>
      <c r="G356" s="81" t="s">
        <v>692</v>
      </c>
      <c r="H356" s="81" t="s">
        <v>692</v>
      </c>
      <c r="I356" s="81" t="s">
        <v>692</v>
      </c>
      <c r="J356" s="81" t="s">
        <v>692</v>
      </c>
      <c r="K356" s="81" t="s">
        <v>692</v>
      </c>
      <c r="L356" s="53" t="str">
        <f t="shared" si="48"/>
        <v>Proteções</v>
      </c>
      <c r="M356" s="53" t="str">
        <f t="shared" si="48"/>
        <v>Contra.Quedas</v>
      </c>
      <c r="N356" s="53" t="str">
        <f t="shared" si="46"/>
        <v>Guardacorpos Sistemas</v>
      </c>
      <c r="O356" s="53" t="str">
        <f t="shared" si="46"/>
        <v>Guardacorpo Sistema Terminação</v>
      </c>
      <c r="P356" s="54" t="s">
        <v>2227</v>
      </c>
      <c r="Q356" s="54" t="s">
        <v>2228</v>
      </c>
      <c r="R356" s="54" t="s">
        <v>6333</v>
      </c>
      <c r="S356" s="54" t="s">
        <v>692</v>
      </c>
      <c r="T356" s="55" t="str">
        <f t="shared" si="49"/>
        <v>Proteções</v>
      </c>
      <c r="U356" s="55" t="str">
        <f t="shared" si="49"/>
        <v>Contra Quedas</v>
      </c>
      <c r="V356" s="55" t="str">
        <f t="shared" si="49"/>
        <v>Guardacorpos Sistemas</v>
      </c>
      <c r="W356" s="54" t="s">
        <v>7259</v>
      </c>
      <c r="X356" s="84" t="str">
        <f t="shared" si="47"/>
        <v>Key-COD-CT-356</v>
      </c>
      <c r="Y356" s="84" t="s">
        <v>5552</v>
      </c>
      <c r="Z356" s="84" t="s">
        <v>692</v>
      </c>
      <c r="AA356" s="84" t="s">
        <v>5469</v>
      </c>
      <c r="AB356" s="84" t="s">
        <v>692</v>
      </c>
      <c r="AC356" s="84" t="s">
        <v>692</v>
      </c>
      <c r="AD356" s="54" t="s">
        <v>692</v>
      </c>
    </row>
    <row r="357" spans="1:30" ht="6.75" customHeight="1" x14ac:dyDescent="0.25">
      <c r="A357" s="85">
        <v>357</v>
      </c>
      <c r="B357" s="59" t="s">
        <v>5419</v>
      </c>
      <c r="C357" s="59" t="s">
        <v>2159</v>
      </c>
      <c r="D357" s="59" t="s">
        <v>2199</v>
      </c>
      <c r="E357" s="59" t="s">
        <v>2229</v>
      </c>
      <c r="F357" s="80" t="s">
        <v>2257</v>
      </c>
      <c r="G357" s="81" t="s">
        <v>692</v>
      </c>
      <c r="H357" s="81" t="s">
        <v>692</v>
      </c>
      <c r="I357" s="81" t="s">
        <v>692</v>
      </c>
      <c r="J357" s="81" t="s">
        <v>692</v>
      </c>
      <c r="K357" s="81" t="s">
        <v>692</v>
      </c>
      <c r="L357" s="53" t="str">
        <f t="shared" si="48"/>
        <v>Proteções</v>
      </c>
      <c r="M357" s="53" t="str">
        <f t="shared" si="48"/>
        <v>Contra.Quedas</v>
      </c>
      <c r="N357" s="53" t="str">
        <f t="shared" si="46"/>
        <v>Guardacorpos Sistemas</v>
      </c>
      <c r="O357" s="53" t="str">
        <f t="shared" si="46"/>
        <v>Guardacorpo Sistema Transição</v>
      </c>
      <c r="P357" s="54" t="s">
        <v>2258</v>
      </c>
      <c r="Q357" s="54" t="s">
        <v>2259</v>
      </c>
      <c r="R357" s="54" t="s">
        <v>6342</v>
      </c>
      <c r="S357" s="54" t="s">
        <v>692</v>
      </c>
      <c r="T357" s="55" t="str">
        <f t="shared" si="49"/>
        <v>Proteções</v>
      </c>
      <c r="U357" s="55" t="str">
        <f t="shared" si="49"/>
        <v>Contra Quedas</v>
      </c>
      <c r="V357" s="55" t="str">
        <f t="shared" si="49"/>
        <v>Guardacorpos Sistemas</v>
      </c>
      <c r="W357" s="54" t="s">
        <v>7259</v>
      </c>
      <c r="X357" s="84" t="str">
        <f t="shared" si="47"/>
        <v>Key-COD-CT-357</v>
      </c>
      <c r="Y357" s="84" t="s">
        <v>5553</v>
      </c>
      <c r="Z357" s="84" t="s">
        <v>692</v>
      </c>
      <c r="AA357" s="84" t="s">
        <v>5469</v>
      </c>
      <c r="AB357" s="84" t="s">
        <v>692</v>
      </c>
      <c r="AC357" s="84" t="s">
        <v>692</v>
      </c>
      <c r="AD357" s="54" t="s">
        <v>692</v>
      </c>
    </row>
    <row r="358" spans="1:30" ht="6.75" customHeight="1" x14ac:dyDescent="0.25">
      <c r="A358" s="85">
        <v>358</v>
      </c>
      <c r="B358" s="59" t="s">
        <v>5419</v>
      </c>
      <c r="C358" s="59" t="s">
        <v>2159</v>
      </c>
      <c r="D358" s="59" t="s">
        <v>2260</v>
      </c>
      <c r="E358" s="59" t="s">
        <v>2261</v>
      </c>
      <c r="F358" s="61" t="s">
        <v>2262</v>
      </c>
      <c r="G358" s="81" t="s">
        <v>692</v>
      </c>
      <c r="H358" s="81" t="s">
        <v>692</v>
      </c>
      <c r="I358" s="81" t="s">
        <v>692</v>
      </c>
      <c r="J358" s="81" t="s">
        <v>692</v>
      </c>
      <c r="K358" s="81" t="s">
        <v>692</v>
      </c>
      <c r="L358" s="53" t="str">
        <f t="shared" si="48"/>
        <v>Proteções</v>
      </c>
      <c r="M358" s="53" t="str">
        <f t="shared" si="48"/>
        <v>Contra.Incêndios</v>
      </c>
      <c r="N358" s="53" t="str">
        <f t="shared" si="46"/>
        <v>Alarmes</v>
      </c>
      <c r="O358" s="53" t="str">
        <f t="shared" si="46"/>
        <v>Alarme</v>
      </c>
      <c r="P358" s="54" t="s">
        <v>2263</v>
      </c>
      <c r="Q358" s="54" t="s">
        <v>2264</v>
      </c>
      <c r="R358" s="54" t="s">
        <v>6343</v>
      </c>
      <c r="S358" s="54" t="s">
        <v>692</v>
      </c>
      <c r="T358" s="55" t="str">
        <f t="shared" si="49"/>
        <v>Proteções</v>
      </c>
      <c r="U358" s="55" t="str">
        <f t="shared" si="49"/>
        <v>Contra Incêndios</v>
      </c>
      <c r="V358" s="55" t="str">
        <f t="shared" si="49"/>
        <v>Alarmes</v>
      </c>
      <c r="W358" s="54" t="s">
        <v>7259</v>
      </c>
      <c r="X358" s="84" t="str">
        <f t="shared" si="47"/>
        <v>Key-COD-CT-358</v>
      </c>
      <c r="Y358" s="84" t="s">
        <v>5554</v>
      </c>
      <c r="Z358" s="84" t="s">
        <v>692</v>
      </c>
      <c r="AA358" s="84" t="s">
        <v>5672</v>
      </c>
      <c r="AB358" s="84" t="s">
        <v>692</v>
      </c>
      <c r="AC358" s="84" t="s">
        <v>692</v>
      </c>
      <c r="AD358" s="54" t="s">
        <v>692</v>
      </c>
    </row>
    <row r="359" spans="1:30" ht="6.75" customHeight="1" x14ac:dyDescent="0.25">
      <c r="A359" s="85">
        <v>359</v>
      </c>
      <c r="B359" s="59" t="s">
        <v>5419</v>
      </c>
      <c r="C359" s="59" t="s">
        <v>2159</v>
      </c>
      <c r="D359" s="59" t="s">
        <v>2260</v>
      </c>
      <c r="E359" s="59" t="s">
        <v>2261</v>
      </c>
      <c r="F359" s="61" t="s">
        <v>2265</v>
      </c>
      <c r="G359" s="81" t="s">
        <v>692</v>
      </c>
      <c r="H359" s="81" t="s">
        <v>692</v>
      </c>
      <c r="I359" s="81" t="s">
        <v>692</v>
      </c>
      <c r="J359" s="81" t="s">
        <v>692</v>
      </c>
      <c r="K359" s="81" t="s">
        <v>692</v>
      </c>
      <c r="L359" s="53" t="str">
        <f t="shared" si="48"/>
        <v>Proteções</v>
      </c>
      <c r="M359" s="53" t="str">
        <f t="shared" si="48"/>
        <v>Contra.Incêndios</v>
      </c>
      <c r="N359" s="53" t="str">
        <f t="shared" si="46"/>
        <v>Alarmes</v>
      </c>
      <c r="O359" s="53" t="str">
        <f t="shared" si="46"/>
        <v>Alarme Campainha</v>
      </c>
      <c r="P359" s="54" t="s">
        <v>2266</v>
      </c>
      <c r="Q359" s="54" t="s">
        <v>2267</v>
      </c>
      <c r="R359" s="54" t="s">
        <v>6344</v>
      </c>
      <c r="S359" s="54" t="s">
        <v>692</v>
      </c>
      <c r="T359" s="55" t="str">
        <f t="shared" si="49"/>
        <v>Proteções</v>
      </c>
      <c r="U359" s="55" t="str">
        <f t="shared" si="49"/>
        <v>Contra Incêndios</v>
      </c>
      <c r="V359" s="55" t="str">
        <f t="shared" si="49"/>
        <v>Alarmes</v>
      </c>
      <c r="W359" s="54" t="s">
        <v>7259</v>
      </c>
      <c r="X359" s="84" t="str">
        <f t="shared" si="47"/>
        <v>Key-COD-CT-359</v>
      </c>
      <c r="Y359" s="84" t="s">
        <v>5554</v>
      </c>
      <c r="Z359" s="84" t="s">
        <v>692</v>
      </c>
      <c r="AA359" s="84" t="s">
        <v>5673</v>
      </c>
      <c r="AB359" s="84" t="s">
        <v>692</v>
      </c>
      <c r="AC359" s="84" t="s">
        <v>692</v>
      </c>
      <c r="AD359" s="54" t="s">
        <v>692</v>
      </c>
    </row>
    <row r="360" spans="1:30" ht="6.75" customHeight="1" x14ac:dyDescent="0.25">
      <c r="A360" s="85">
        <v>360</v>
      </c>
      <c r="B360" s="59" t="s">
        <v>5419</v>
      </c>
      <c r="C360" s="59" t="s">
        <v>2159</v>
      </c>
      <c r="D360" s="59" t="s">
        <v>2260</v>
      </c>
      <c r="E360" s="59" t="s">
        <v>2261</v>
      </c>
      <c r="F360" s="61" t="s">
        <v>2268</v>
      </c>
      <c r="G360" s="81" t="s">
        <v>692</v>
      </c>
      <c r="H360" s="81" t="s">
        <v>692</v>
      </c>
      <c r="I360" s="81" t="s">
        <v>692</v>
      </c>
      <c r="J360" s="81" t="s">
        <v>692</v>
      </c>
      <c r="K360" s="81" t="s">
        <v>692</v>
      </c>
      <c r="L360" s="53" t="str">
        <f t="shared" si="48"/>
        <v>Proteções</v>
      </c>
      <c r="M360" s="53" t="str">
        <f t="shared" si="48"/>
        <v>Contra.Incêndios</v>
      </c>
      <c r="N360" s="53" t="str">
        <f t="shared" si="46"/>
        <v>Alarmes</v>
      </c>
      <c r="O360" s="53" t="str">
        <f t="shared" si="46"/>
        <v>Alarme Campainha Caixa</v>
      </c>
      <c r="P360" s="54" t="s">
        <v>2269</v>
      </c>
      <c r="Q360" s="54" t="s">
        <v>2270</v>
      </c>
      <c r="R360" s="54" t="s">
        <v>6345</v>
      </c>
      <c r="S360" s="54" t="s">
        <v>692</v>
      </c>
      <c r="T360" s="55" t="str">
        <f t="shared" si="49"/>
        <v>Proteções</v>
      </c>
      <c r="U360" s="55" t="str">
        <f t="shared" si="49"/>
        <v>Contra Incêndios</v>
      </c>
      <c r="V360" s="55" t="str">
        <f t="shared" si="49"/>
        <v>Alarmes</v>
      </c>
      <c r="W360" s="54" t="s">
        <v>7259</v>
      </c>
      <c r="X360" s="84" t="str">
        <f t="shared" si="47"/>
        <v>Key-COD-CT-360</v>
      </c>
      <c r="Y360" s="84" t="s">
        <v>5554</v>
      </c>
      <c r="Z360" s="84" t="s">
        <v>692</v>
      </c>
      <c r="AA360" s="84" t="s">
        <v>5674</v>
      </c>
      <c r="AB360" s="84" t="s">
        <v>692</v>
      </c>
      <c r="AC360" s="84" t="s">
        <v>692</v>
      </c>
      <c r="AD360" s="54" t="s">
        <v>692</v>
      </c>
    </row>
    <row r="361" spans="1:30" ht="6.75" customHeight="1" x14ac:dyDescent="0.25">
      <c r="A361" s="85">
        <v>361</v>
      </c>
      <c r="B361" s="59" t="s">
        <v>5419</v>
      </c>
      <c r="C361" s="59" t="s">
        <v>2159</v>
      </c>
      <c r="D361" s="59" t="s">
        <v>2260</v>
      </c>
      <c r="E361" s="59" t="s">
        <v>2261</v>
      </c>
      <c r="F361" s="61" t="s">
        <v>2271</v>
      </c>
      <c r="G361" s="81" t="s">
        <v>692</v>
      </c>
      <c r="H361" s="81" t="s">
        <v>692</v>
      </c>
      <c r="I361" s="81" t="s">
        <v>692</v>
      </c>
      <c r="J361" s="81" t="s">
        <v>692</v>
      </c>
      <c r="K361" s="81" t="s">
        <v>692</v>
      </c>
      <c r="L361" s="53" t="str">
        <f t="shared" si="48"/>
        <v>Proteções</v>
      </c>
      <c r="M361" s="53" t="str">
        <f t="shared" si="48"/>
        <v>Contra.Incêndios</v>
      </c>
      <c r="N361" s="53" t="str">
        <f t="shared" si="46"/>
        <v>Alarmes</v>
      </c>
      <c r="O361" s="53" t="str">
        <f t="shared" si="46"/>
        <v>Alarme Lumínico</v>
      </c>
      <c r="P361" s="54" t="s">
        <v>2272</v>
      </c>
      <c r="Q361" s="54" t="s">
        <v>2273</v>
      </c>
      <c r="R361" s="54" t="s">
        <v>6346</v>
      </c>
      <c r="S361" s="54" t="s">
        <v>692</v>
      </c>
      <c r="T361" s="55" t="str">
        <f t="shared" si="49"/>
        <v>Proteções</v>
      </c>
      <c r="U361" s="55" t="str">
        <f t="shared" si="49"/>
        <v>Contra Incêndios</v>
      </c>
      <c r="V361" s="55" t="str">
        <f t="shared" si="49"/>
        <v>Alarmes</v>
      </c>
      <c r="W361" s="54" t="s">
        <v>7259</v>
      </c>
      <c r="X361" s="84" t="str">
        <f t="shared" si="47"/>
        <v>Key-COD-CT-361</v>
      </c>
      <c r="Y361" s="84" t="s">
        <v>5554</v>
      </c>
      <c r="Z361" s="84" t="s">
        <v>692</v>
      </c>
      <c r="AA361" s="84" t="s">
        <v>5675</v>
      </c>
      <c r="AB361" s="84" t="s">
        <v>692</v>
      </c>
      <c r="AC361" s="84" t="s">
        <v>692</v>
      </c>
      <c r="AD361" s="54" t="s">
        <v>692</v>
      </c>
    </row>
    <row r="362" spans="1:30" ht="6.75" customHeight="1" x14ac:dyDescent="0.25">
      <c r="A362" s="85">
        <v>362</v>
      </c>
      <c r="B362" s="59" t="s">
        <v>5419</v>
      </c>
      <c r="C362" s="59" t="s">
        <v>2159</v>
      </c>
      <c r="D362" s="59" t="s">
        <v>2260</v>
      </c>
      <c r="E362" s="59" t="s">
        <v>2261</v>
      </c>
      <c r="F362" s="61" t="s">
        <v>2274</v>
      </c>
      <c r="G362" s="81" t="s">
        <v>692</v>
      </c>
      <c r="H362" s="81" t="s">
        <v>692</v>
      </c>
      <c r="I362" s="81" t="s">
        <v>692</v>
      </c>
      <c r="J362" s="81" t="s">
        <v>692</v>
      </c>
      <c r="K362" s="81" t="s">
        <v>692</v>
      </c>
      <c r="L362" s="53" t="str">
        <f t="shared" si="48"/>
        <v>Proteções</v>
      </c>
      <c r="M362" s="53" t="str">
        <f t="shared" si="48"/>
        <v>Contra.Incêndios</v>
      </c>
      <c r="N362" s="53" t="str">
        <f t="shared" si="46"/>
        <v>Alarmes</v>
      </c>
      <c r="O362" s="53" t="str">
        <f t="shared" si="46"/>
        <v>Alarme Caixa Manual</v>
      </c>
      <c r="P362" s="54" t="s">
        <v>2275</v>
      </c>
      <c r="Q362" s="54" t="s">
        <v>2276</v>
      </c>
      <c r="R362" s="54" t="s">
        <v>6347</v>
      </c>
      <c r="S362" s="54" t="s">
        <v>692</v>
      </c>
      <c r="T362" s="55" t="str">
        <f t="shared" si="49"/>
        <v>Proteções</v>
      </c>
      <c r="U362" s="55" t="str">
        <f t="shared" si="49"/>
        <v>Contra Incêndios</v>
      </c>
      <c r="V362" s="55" t="str">
        <f t="shared" si="49"/>
        <v>Alarmes</v>
      </c>
      <c r="W362" s="54" t="s">
        <v>7259</v>
      </c>
      <c r="X362" s="84" t="str">
        <f t="shared" si="47"/>
        <v>Key-COD-CT-362</v>
      </c>
      <c r="Y362" s="84" t="s">
        <v>5554</v>
      </c>
      <c r="Z362" s="84" t="s">
        <v>692</v>
      </c>
      <c r="AA362" s="84" t="s">
        <v>5676</v>
      </c>
      <c r="AB362" s="84" t="s">
        <v>692</v>
      </c>
      <c r="AC362" s="84" t="s">
        <v>692</v>
      </c>
      <c r="AD362" s="54" t="s">
        <v>692</v>
      </c>
    </row>
    <row r="363" spans="1:30" ht="6.75" customHeight="1" x14ac:dyDescent="0.25">
      <c r="A363" s="85">
        <v>363</v>
      </c>
      <c r="B363" s="59" t="s">
        <v>5419</v>
      </c>
      <c r="C363" s="59" t="s">
        <v>2159</v>
      </c>
      <c r="D363" s="59" t="s">
        <v>2260</v>
      </c>
      <c r="E363" s="59" t="s">
        <v>2261</v>
      </c>
      <c r="F363" s="61" t="s">
        <v>2277</v>
      </c>
      <c r="G363" s="81" t="s">
        <v>692</v>
      </c>
      <c r="H363" s="81" t="s">
        <v>692</v>
      </c>
      <c r="I363" s="81" t="s">
        <v>692</v>
      </c>
      <c r="J363" s="81" t="s">
        <v>692</v>
      </c>
      <c r="K363" s="81" t="s">
        <v>692</v>
      </c>
      <c r="L363" s="53" t="str">
        <f t="shared" si="48"/>
        <v>Proteções</v>
      </c>
      <c r="M363" s="53" t="str">
        <f t="shared" si="48"/>
        <v>Contra.Incêndios</v>
      </c>
      <c r="N363" s="53" t="str">
        <f t="shared" si="46"/>
        <v>Alarmes</v>
      </c>
      <c r="O363" s="53" t="str">
        <f t="shared" si="46"/>
        <v>Alarme Ferroviário</v>
      </c>
      <c r="P363" s="54" t="s">
        <v>2278</v>
      </c>
      <c r="Q363" s="54" t="s">
        <v>2279</v>
      </c>
      <c r="R363" s="54" t="s">
        <v>6348</v>
      </c>
      <c r="S363" s="54" t="s">
        <v>692</v>
      </c>
      <c r="T363" s="55" t="str">
        <f t="shared" si="49"/>
        <v>Proteções</v>
      </c>
      <c r="U363" s="55" t="str">
        <f t="shared" si="49"/>
        <v>Contra Incêndios</v>
      </c>
      <c r="V363" s="55" t="str">
        <f t="shared" si="49"/>
        <v>Alarmes</v>
      </c>
      <c r="W363" s="54" t="s">
        <v>7259</v>
      </c>
      <c r="X363" s="84" t="str">
        <f t="shared" si="47"/>
        <v>Key-COD-CT-363</v>
      </c>
      <c r="Y363" s="84" t="s">
        <v>5554</v>
      </c>
      <c r="Z363" s="84" t="s">
        <v>692</v>
      </c>
      <c r="AA363" s="84" t="s">
        <v>5677</v>
      </c>
      <c r="AB363" s="84" t="s">
        <v>692</v>
      </c>
      <c r="AC363" s="84" t="s">
        <v>692</v>
      </c>
      <c r="AD363" s="54" t="s">
        <v>692</v>
      </c>
    </row>
    <row r="364" spans="1:30" ht="6.75" customHeight="1" x14ac:dyDescent="0.25">
      <c r="A364" s="85">
        <v>364</v>
      </c>
      <c r="B364" s="59" t="s">
        <v>5419</v>
      </c>
      <c r="C364" s="59" t="s">
        <v>2159</v>
      </c>
      <c r="D364" s="59" t="s">
        <v>2260</v>
      </c>
      <c r="E364" s="59" t="s">
        <v>2261</v>
      </c>
      <c r="F364" s="61" t="s">
        <v>2280</v>
      </c>
      <c r="G364" s="81" t="s">
        <v>692</v>
      </c>
      <c r="H364" s="81" t="s">
        <v>692</v>
      </c>
      <c r="I364" s="81" t="s">
        <v>692</v>
      </c>
      <c r="J364" s="81" t="s">
        <v>692</v>
      </c>
      <c r="K364" s="81" t="s">
        <v>692</v>
      </c>
      <c r="L364" s="53" t="str">
        <f t="shared" si="48"/>
        <v>Proteções</v>
      </c>
      <c r="M364" s="53" t="str">
        <f t="shared" si="48"/>
        <v>Contra.Incêndios</v>
      </c>
      <c r="N364" s="53" t="str">
        <f t="shared" si="46"/>
        <v>Alarmes</v>
      </c>
      <c r="O364" s="53" t="str">
        <f t="shared" si="46"/>
        <v>Alarme Detonador</v>
      </c>
      <c r="P364" s="54" t="s">
        <v>2281</v>
      </c>
      <c r="Q364" s="54" t="s">
        <v>2282</v>
      </c>
      <c r="R364" s="54" t="s">
        <v>6349</v>
      </c>
      <c r="S364" s="54" t="s">
        <v>692</v>
      </c>
      <c r="T364" s="55" t="str">
        <f t="shared" si="49"/>
        <v>Proteções</v>
      </c>
      <c r="U364" s="55" t="str">
        <f t="shared" si="49"/>
        <v>Contra Incêndios</v>
      </c>
      <c r="V364" s="55" t="str">
        <f t="shared" si="49"/>
        <v>Alarmes</v>
      </c>
      <c r="W364" s="54" t="s">
        <v>7259</v>
      </c>
      <c r="X364" s="84" t="str">
        <f t="shared" si="47"/>
        <v>Key-COD-CT-364</v>
      </c>
      <c r="Y364" s="84" t="s">
        <v>5554</v>
      </c>
      <c r="Z364" s="84" t="s">
        <v>692</v>
      </c>
      <c r="AA364" s="84" t="s">
        <v>5678</v>
      </c>
      <c r="AB364" s="84" t="s">
        <v>692</v>
      </c>
      <c r="AC364" s="84" t="s">
        <v>692</v>
      </c>
      <c r="AD364" s="54" t="s">
        <v>692</v>
      </c>
    </row>
    <row r="365" spans="1:30" ht="6.75" customHeight="1" x14ac:dyDescent="0.25">
      <c r="A365" s="85">
        <v>365</v>
      </c>
      <c r="B365" s="59" t="s">
        <v>5419</v>
      </c>
      <c r="C365" s="59" t="s">
        <v>2159</v>
      </c>
      <c r="D365" s="59" t="s">
        <v>2260</v>
      </c>
      <c r="E365" s="59" t="s">
        <v>2261</v>
      </c>
      <c r="F365" s="61" t="s">
        <v>2283</v>
      </c>
      <c r="G365" s="81" t="s">
        <v>692</v>
      </c>
      <c r="H365" s="81" t="s">
        <v>692</v>
      </c>
      <c r="I365" s="81" t="s">
        <v>692</v>
      </c>
      <c r="J365" s="81" t="s">
        <v>692</v>
      </c>
      <c r="K365" s="81" t="s">
        <v>692</v>
      </c>
      <c r="L365" s="53" t="str">
        <f t="shared" si="48"/>
        <v>Proteções</v>
      </c>
      <c r="M365" s="53" t="str">
        <f t="shared" si="48"/>
        <v>Contra.Incêndios</v>
      </c>
      <c r="N365" s="53" t="str">
        <f t="shared" si="46"/>
        <v>Alarmes</v>
      </c>
      <c r="O365" s="53" t="str">
        <f t="shared" si="46"/>
        <v>Alarme Sirene</v>
      </c>
      <c r="P365" s="54" t="s">
        <v>2284</v>
      </c>
      <c r="Q365" s="54" t="s">
        <v>2285</v>
      </c>
      <c r="R365" s="54" t="s">
        <v>6350</v>
      </c>
      <c r="S365" s="54" t="s">
        <v>692</v>
      </c>
      <c r="T365" s="55" t="str">
        <f t="shared" si="49"/>
        <v>Proteções</v>
      </c>
      <c r="U365" s="55" t="str">
        <f t="shared" si="49"/>
        <v>Contra Incêndios</v>
      </c>
      <c r="V365" s="55" t="str">
        <f t="shared" si="49"/>
        <v>Alarmes</v>
      </c>
      <c r="W365" s="54" t="s">
        <v>7259</v>
      </c>
      <c r="X365" s="84" t="str">
        <f t="shared" si="47"/>
        <v>Key-COD-CT-365</v>
      </c>
      <c r="Y365" s="84" t="s">
        <v>5554</v>
      </c>
      <c r="Z365" s="84" t="s">
        <v>692</v>
      </c>
      <c r="AA365" s="84" t="s">
        <v>5679</v>
      </c>
      <c r="AB365" s="84" t="s">
        <v>692</v>
      </c>
      <c r="AC365" s="84" t="s">
        <v>692</v>
      </c>
      <c r="AD365" s="54" t="s">
        <v>692</v>
      </c>
    </row>
    <row r="366" spans="1:30" ht="6.75" customHeight="1" x14ac:dyDescent="0.25">
      <c r="A366" s="85">
        <v>366</v>
      </c>
      <c r="B366" s="59" t="s">
        <v>5419</v>
      </c>
      <c r="C366" s="59" t="s">
        <v>2159</v>
      </c>
      <c r="D366" s="59" t="s">
        <v>2260</v>
      </c>
      <c r="E366" s="59" t="s">
        <v>2261</v>
      </c>
      <c r="F366" s="61" t="s">
        <v>2286</v>
      </c>
      <c r="G366" s="81" t="s">
        <v>692</v>
      </c>
      <c r="H366" s="81" t="s">
        <v>692</v>
      </c>
      <c r="I366" s="81" t="s">
        <v>692</v>
      </c>
      <c r="J366" s="81" t="s">
        <v>692</v>
      </c>
      <c r="K366" s="81" t="s">
        <v>692</v>
      </c>
      <c r="L366" s="53" t="str">
        <f t="shared" si="48"/>
        <v>Proteções</v>
      </c>
      <c r="M366" s="53" t="str">
        <f t="shared" si="48"/>
        <v>Contra.Incêndios</v>
      </c>
      <c r="N366" s="53" t="str">
        <f t="shared" si="46"/>
        <v>Alarmes</v>
      </c>
      <c r="O366" s="53" t="str">
        <f t="shared" si="46"/>
        <v>Alarme Apito</v>
      </c>
      <c r="P366" s="54" t="s">
        <v>2287</v>
      </c>
      <c r="Q366" s="54" t="s">
        <v>2288</v>
      </c>
      <c r="R366" s="54" t="s">
        <v>6351</v>
      </c>
      <c r="S366" s="54" t="s">
        <v>692</v>
      </c>
      <c r="T366" s="55" t="str">
        <f t="shared" si="49"/>
        <v>Proteções</v>
      </c>
      <c r="U366" s="55" t="str">
        <f t="shared" si="49"/>
        <v>Contra Incêndios</v>
      </c>
      <c r="V366" s="55" t="str">
        <f t="shared" si="49"/>
        <v>Alarmes</v>
      </c>
      <c r="W366" s="54" t="s">
        <v>7259</v>
      </c>
      <c r="X366" s="84" t="str">
        <f t="shared" si="47"/>
        <v>Key-COD-CT-366</v>
      </c>
      <c r="Y366" s="84" t="s">
        <v>5554</v>
      </c>
      <c r="Z366" s="84" t="s">
        <v>692</v>
      </c>
      <c r="AA366" s="84" t="s">
        <v>5680</v>
      </c>
      <c r="AB366" s="84" t="s">
        <v>692</v>
      </c>
      <c r="AC366" s="84" t="s">
        <v>692</v>
      </c>
      <c r="AD366" s="54" t="s">
        <v>692</v>
      </c>
    </row>
    <row r="367" spans="1:30" ht="6.75" customHeight="1" x14ac:dyDescent="0.25">
      <c r="A367" s="85">
        <v>367</v>
      </c>
      <c r="B367" s="59" t="s">
        <v>5419</v>
      </c>
      <c r="C367" s="59" t="s">
        <v>2159</v>
      </c>
      <c r="D367" s="59" t="s">
        <v>2260</v>
      </c>
      <c r="E367" s="59" t="s">
        <v>2289</v>
      </c>
      <c r="F367" s="61" t="s">
        <v>2290</v>
      </c>
      <c r="G367" s="81" t="s">
        <v>692</v>
      </c>
      <c r="H367" s="81" t="s">
        <v>692</v>
      </c>
      <c r="I367" s="81" t="s">
        <v>692</v>
      </c>
      <c r="J367" s="81" t="s">
        <v>692</v>
      </c>
      <c r="K367" s="81" t="s">
        <v>692</v>
      </c>
      <c r="L367" s="53" t="str">
        <f t="shared" si="48"/>
        <v>Proteções</v>
      </c>
      <c r="M367" s="53" t="str">
        <f t="shared" si="48"/>
        <v>Contra.Incêndios</v>
      </c>
      <c r="N367" s="53" t="str">
        <f t="shared" si="46"/>
        <v>Dispositivos Incêndio</v>
      </c>
      <c r="O367" s="53" t="str">
        <f t="shared" si="46"/>
        <v>Terminal Combate Fogo</v>
      </c>
      <c r="P367" s="54" t="s">
        <v>2291</v>
      </c>
      <c r="Q367" s="54" t="s">
        <v>2292</v>
      </c>
      <c r="R367" s="54" t="s">
        <v>6352</v>
      </c>
      <c r="S367" s="54" t="s">
        <v>692</v>
      </c>
      <c r="T367" s="55" t="str">
        <f t="shared" si="49"/>
        <v>Proteções</v>
      </c>
      <c r="U367" s="55" t="str">
        <f t="shared" si="49"/>
        <v>Contra Incêndios</v>
      </c>
      <c r="V367" s="55" t="str">
        <f t="shared" si="49"/>
        <v>Dispositivos Incêndio</v>
      </c>
      <c r="W367" s="54" t="s">
        <v>7259</v>
      </c>
      <c r="X367" s="84" t="str">
        <f t="shared" si="47"/>
        <v>Key-COD-CT-367</v>
      </c>
      <c r="Y367" s="84" t="s">
        <v>5555</v>
      </c>
      <c r="Z367" s="84" t="s">
        <v>692</v>
      </c>
      <c r="AA367" s="84" t="s">
        <v>5681</v>
      </c>
      <c r="AB367" s="84" t="s">
        <v>692</v>
      </c>
      <c r="AC367" s="84" t="s">
        <v>692</v>
      </c>
      <c r="AD367" s="54" t="s">
        <v>692</v>
      </c>
    </row>
    <row r="368" spans="1:30" ht="6.75" customHeight="1" x14ac:dyDescent="0.25">
      <c r="A368" s="85">
        <v>368</v>
      </c>
      <c r="B368" s="59" t="s">
        <v>5419</v>
      </c>
      <c r="C368" s="59" t="s">
        <v>2159</v>
      </c>
      <c r="D368" s="59" t="s">
        <v>2260</v>
      </c>
      <c r="E368" s="59" t="s">
        <v>2289</v>
      </c>
      <c r="F368" s="61" t="s">
        <v>2293</v>
      </c>
      <c r="G368" s="81" t="s">
        <v>692</v>
      </c>
      <c r="H368" s="81" t="s">
        <v>692</v>
      </c>
      <c r="I368" s="81" t="s">
        <v>692</v>
      </c>
      <c r="J368" s="81" t="s">
        <v>692</v>
      </c>
      <c r="K368" s="81" t="s">
        <v>692</v>
      </c>
      <c r="L368" s="53" t="str">
        <f t="shared" si="48"/>
        <v>Proteções</v>
      </c>
      <c r="M368" s="53" t="str">
        <f t="shared" si="48"/>
        <v>Contra.Incêndios</v>
      </c>
      <c r="N368" s="53" t="str">
        <f t="shared" si="46"/>
        <v>Dispositivos Incêndio</v>
      </c>
      <c r="O368" s="53" t="str">
        <f t="shared" si="46"/>
        <v>Mangueira Entrada</v>
      </c>
      <c r="P368" s="54" t="s">
        <v>2294</v>
      </c>
      <c r="Q368" s="54" t="s">
        <v>2295</v>
      </c>
      <c r="R368" s="54" t="s">
        <v>6353</v>
      </c>
      <c r="S368" s="54" t="s">
        <v>692</v>
      </c>
      <c r="T368" s="55" t="str">
        <f t="shared" si="49"/>
        <v>Proteções</v>
      </c>
      <c r="U368" s="55" t="str">
        <f t="shared" si="49"/>
        <v>Contra Incêndios</v>
      </c>
      <c r="V368" s="55" t="str">
        <f t="shared" si="49"/>
        <v>Dispositivos Incêndio</v>
      </c>
      <c r="W368" s="54" t="s">
        <v>7259</v>
      </c>
      <c r="X368" s="84" t="str">
        <f t="shared" si="47"/>
        <v>Key-COD-CT-368</v>
      </c>
      <c r="Y368" s="84" t="s">
        <v>5555</v>
      </c>
      <c r="Z368" s="84" t="s">
        <v>692</v>
      </c>
      <c r="AA368" s="84" t="s">
        <v>5682</v>
      </c>
      <c r="AB368" s="84" t="s">
        <v>692</v>
      </c>
      <c r="AC368" s="84" t="s">
        <v>692</v>
      </c>
      <c r="AD368" s="54" t="s">
        <v>692</v>
      </c>
    </row>
    <row r="369" spans="1:30" ht="6.75" customHeight="1" x14ac:dyDescent="0.25">
      <c r="A369" s="85">
        <v>369</v>
      </c>
      <c r="B369" s="59" t="s">
        <v>5419</v>
      </c>
      <c r="C369" s="59" t="s">
        <v>2159</v>
      </c>
      <c r="D369" s="59" t="s">
        <v>2260</v>
      </c>
      <c r="E369" s="59" t="s">
        <v>2289</v>
      </c>
      <c r="F369" s="61" t="s">
        <v>2296</v>
      </c>
      <c r="G369" s="81" t="s">
        <v>692</v>
      </c>
      <c r="H369" s="81" t="s">
        <v>692</v>
      </c>
      <c r="I369" s="81" t="s">
        <v>692</v>
      </c>
      <c r="J369" s="81" t="s">
        <v>692</v>
      </c>
      <c r="K369" s="81" t="s">
        <v>692</v>
      </c>
      <c r="L369" s="53" t="str">
        <f t="shared" si="48"/>
        <v>Proteções</v>
      </c>
      <c r="M369" s="53" t="str">
        <f t="shared" si="48"/>
        <v>Contra.Incêndios</v>
      </c>
      <c r="N369" s="53" t="str">
        <f t="shared" si="46"/>
        <v>Dispositivos Incêndio</v>
      </c>
      <c r="O369" s="53" t="str">
        <f t="shared" si="46"/>
        <v>Mangueira Carretel</v>
      </c>
      <c r="P369" s="54" t="s">
        <v>2297</v>
      </c>
      <c r="Q369" s="54" t="s">
        <v>2298</v>
      </c>
      <c r="R369" s="54" t="s">
        <v>6354</v>
      </c>
      <c r="S369" s="54" t="s">
        <v>692</v>
      </c>
      <c r="T369" s="55" t="str">
        <f t="shared" si="49"/>
        <v>Proteções</v>
      </c>
      <c r="U369" s="55" t="str">
        <f t="shared" si="49"/>
        <v>Contra Incêndios</v>
      </c>
      <c r="V369" s="55" t="str">
        <f t="shared" si="49"/>
        <v>Dispositivos Incêndio</v>
      </c>
      <c r="W369" s="54" t="s">
        <v>7259</v>
      </c>
      <c r="X369" s="84" t="str">
        <f t="shared" si="47"/>
        <v>Key-COD-CT-369</v>
      </c>
      <c r="Y369" s="84" t="s">
        <v>5555</v>
      </c>
      <c r="Z369" s="84" t="s">
        <v>692</v>
      </c>
      <c r="AA369" s="84" t="s">
        <v>5683</v>
      </c>
      <c r="AB369" s="84" t="s">
        <v>692</v>
      </c>
      <c r="AC369" s="84" t="s">
        <v>692</v>
      </c>
      <c r="AD369" s="54" t="s">
        <v>692</v>
      </c>
    </row>
    <row r="370" spans="1:30" ht="6.75" customHeight="1" x14ac:dyDescent="0.25">
      <c r="A370" s="85">
        <v>370</v>
      </c>
      <c r="B370" s="59" t="s">
        <v>5419</v>
      </c>
      <c r="C370" s="59" t="s">
        <v>2159</v>
      </c>
      <c r="D370" s="59" t="s">
        <v>2260</v>
      </c>
      <c r="E370" s="59" t="s">
        <v>2289</v>
      </c>
      <c r="F370" s="61" t="s">
        <v>2299</v>
      </c>
      <c r="G370" s="81" t="s">
        <v>692</v>
      </c>
      <c r="H370" s="81" t="s">
        <v>692</v>
      </c>
      <c r="I370" s="81" t="s">
        <v>692</v>
      </c>
      <c r="J370" s="81" t="s">
        <v>692</v>
      </c>
      <c r="K370" s="81" t="s">
        <v>692</v>
      </c>
      <c r="L370" s="53" t="str">
        <f t="shared" si="48"/>
        <v>Proteções</v>
      </c>
      <c r="M370" s="53" t="str">
        <f t="shared" si="48"/>
        <v>Contra.Incêndios</v>
      </c>
      <c r="N370" s="53" t="str">
        <f t="shared" si="46"/>
        <v>Dispositivos Incêndio</v>
      </c>
      <c r="O370" s="53" t="str">
        <f t="shared" si="46"/>
        <v>Mangueira Canhão</v>
      </c>
      <c r="P370" s="54" t="s">
        <v>2300</v>
      </c>
      <c r="Q370" s="54" t="s">
        <v>2301</v>
      </c>
      <c r="R370" s="54" t="s">
        <v>6355</v>
      </c>
      <c r="S370" s="54" t="s">
        <v>692</v>
      </c>
      <c r="T370" s="55" t="str">
        <f t="shared" si="49"/>
        <v>Proteções</v>
      </c>
      <c r="U370" s="55" t="str">
        <f t="shared" si="49"/>
        <v>Contra Incêndios</v>
      </c>
      <c r="V370" s="55" t="str">
        <f t="shared" si="49"/>
        <v>Dispositivos Incêndio</v>
      </c>
      <c r="W370" s="54" t="s">
        <v>7259</v>
      </c>
      <c r="X370" s="84" t="str">
        <f t="shared" si="47"/>
        <v>Key-COD-CT-370</v>
      </c>
      <c r="Y370" s="84" t="s">
        <v>5556</v>
      </c>
      <c r="Z370" s="84" t="s">
        <v>692</v>
      </c>
      <c r="AA370" s="84" t="s">
        <v>5684</v>
      </c>
      <c r="AB370" s="84" t="s">
        <v>692</v>
      </c>
      <c r="AC370" s="84" t="s">
        <v>692</v>
      </c>
      <c r="AD370" s="54" t="s">
        <v>692</v>
      </c>
    </row>
    <row r="371" spans="1:30" ht="6.75" customHeight="1" x14ac:dyDescent="0.25">
      <c r="A371" s="85">
        <v>371</v>
      </c>
      <c r="B371" s="59" t="s">
        <v>5419</v>
      </c>
      <c r="C371" s="59" t="s">
        <v>2159</v>
      </c>
      <c r="D371" s="59" t="s">
        <v>2260</v>
      </c>
      <c r="E371" s="59" t="s">
        <v>2289</v>
      </c>
      <c r="F371" s="61" t="s">
        <v>2302</v>
      </c>
      <c r="G371" s="81" t="s">
        <v>692</v>
      </c>
      <c r="H371" s="81" t="s">
        <v>692</v>
      </c>
      <c r="I371" s="81" t="s">
        <v>692</v>
      </c>
      <c r="J371" s="81" t="s">
        <v>692</v>
      </c>
      <c r="K371" s="81" t="s">
        <v>692</v>
      </c>
      <c r="L371" s="53" t="str">
        <f t="shared" si="48"/>
        <v>Proteções</v>
      </c>
      <c r="M371" s="53" t="str">
        <f t="shared" si="48"/>
        <v>Contra.Incêndios</v>
      </c>
      <c r="N371" s="53" t="str">
        <f t="shared" si="46"/>
        <v>Dispositivos Incêndio</v>
      </c>
      <c r="O371" s="53" t="str">
        <f t="shared" si="46"/>
        <v>Hidrante</v>
      </c>
      <c r="P371" s="54" t="s">
        <v>2303</v>
      </c>
      <c r="Q371" s="54" t="s">
        <v>2304</v>
      </c>
      <c r="R371" s="54" t="s">
        <v>6356</v>
      </c>
      <c r="S371" s="54" t="s">
        <v>692</v>
      </c>
      <c r="T371" s="55" t="str">
        <f t="shared" si="49"/>
        <v>Proteções</v>
      </c>
      <c r="U371" s="55" t="str">
        <f t="shared" si="49"/>
        <v>Contra Incêndios</v>
      </c>
      <c r="V371" s="55" t="str">
        <f t="shared" si="49"/>
        <v>Dispositivos Incêndio</v>
      </c>
      <c r="W371" s="54" t="s">
        <v>7259</v>
      </c>
      <c r="X371" s="84" t="str">
        <f t="shared" si="47"/>
        <v>Key-COD-CT-371</v>
      </c>
      <c r="Y371" s="84" t="s">
        <v>5555</v>
      </c>
      <c r="Z371" s="84" t="s">
        <v>692</v>
      </c>
      <c r="AA371" s="84" t="s">
        <v>5685</v>
      </c>
      <c r="AB371" s="84" t="s">
        <v>692</v>
      </c>
      <c r="AC371" s="84" t="s">
        <v>692</v>
      </c>
      <c r="AD371" s="54" t="s">
        <v>692</v>
      </c>
    </row>
    <row r="372" spans="1:30" ht="6.75" customHeight="1" x14ac:dyDescent="0.25">
      <c r="A372" s="85">
        <v>372</v>
      </c>
      <c r="B372" s="59" t="s">
        <v>5419</v>
      </c>
      <c r="C372" s="59" t="s">
        <v>2159</v>
      </c>
      <c r="D372" s="59" t="s">
        <v>2260</v>
      </c>
      <c r="E372" s="59" t="s">
        <v>2289</v>
      </c>
      <c r="F372" s="61" t="s">
        <v>2305</v>
      </c>
      <c r="G372" s="81" t="s">
        <v>692</v>
      </c>
      <c r="H372" s="81" t="s">
        <v>692</v>
      </c>
      <c r="I372" s="81" t="s">
        <v>692</v>
      </c>
      <c r="J372" s="81" t="s">
        <v>692</v>
      </c>
      <c r="K372" s="81" t="s">
        <v>692</v>
      </c>
      <c r="L372" s="53" t="str">
        <f t="shared" si="48"/>
        <v>Proteções</v>
      </c>
      <c r="M372" s="53" t="str">
        <f t="shared" si="48"/>
        <v>Contra.Incêndios</v>
      </c>
      <c r="N372" s="53" t="str">
        <f t="shared" si="46"/>
        <v>Dispositivos Incêndio</v>
      </c>
      <c r="O372" s="53" t="str">
        <f t="shared" si="46"/>
        <v>Sprinkler</v>
      </c>
      <c r="P372" s="54" t="s">
        <v>2306</v>
      </c>
      <c r="Q372" s="54" t="s">
        <v>2307</v>
      </c>
      <c r="R372" s="54" t="s">
        <v>6357</v>
      </c>
      <c r="S372" s="54" t="s">
        <v>692</v>
      </c>
      <c r="T372" s="55" t="str">
        <f t="shared" si="49"/>
        <v>Proteções</v>
      </c>
      <c r="U372" s="55" t="str">
        <f t="shared" si="49"/>
        <v>Contra Incêndios</v>
      </c>
      <c r="V372" s="55" t="str">
        <f t="shared" si="49"/>
        <v>Dispositivos Incêndio</v>
      </c>
      <c r="W372" s="54" t="s">
        <v>7259</v>
      </c>
      <c r="X372" s="84" t="str">
        <f t="shared" si="47"/>
        <v>Key-COD-CT-372</v>
      </c>
      <c r="Y372" s="84" t="s">
        <v>5557</v>
      </c>
      <c r="Z372" s="84" t="s">
        <v>692</v>
      </c>
      <c r="AA372" s="84" t="s">
        <v>5686</v>
      </c>
      <c r="AB372" s="84" t="s">
        <v>692</v>
      </c>
      <c r="AC372" s="84" t="s">
        <v>692</v>
      </c>
      <c r="AD372" s="54" t="s">
        <v>692</v>
      </c>
    </row>
    <row r="373" spans="1:30" ht="6.75" customHeight="1" x14ac:dyDescent="0.25">
      <c r="A373" s="85">
        <v>373</v>
      </c>
      <c r="B373" s="59" t="s">
        <v>5419</v>
      </c>
      <c r="C373" s="59" t="s">
        <v>2159</v>
      </c>
      <c r="D373" s="59" t="s">
        <v>2260</v>
      </c>
      <c r="E373" s="59" t="s">
        <v>2289</v>
      </c>
      <c r="F373" s="61" t="s">
        <v>2308</v>
      </c>
      <c r="G373" s="81" t="s">
        <v>692</v>
      </c>
      <c r="H373" s="81" t="s">
        <v>692</v>
      </c>
      <c r="I373" s="81" t="s">
        <v>692</v>
      </c>
      <c r="J373" s="81" t="s">
        <v>692</v>
      </c>
      <c r="K373" s="81" t="s">
        <v>692</v>
      </c>
      <c r="L373" s="53" t="str">
        <f t="shared" si="48"/>
        <v>Proteções</v>
      </c>
      <c r="M373" s="53" t="str">
        <f t="shared" si="48"/>
        <v>Contra.Incêndios</v>
      </c>
      <c r="N373" s="53" t="str">
        <f t="shared" si="46"/>
        <v>Dispositivos Incêndio</v>
      </c>
      <c r="O373" s="53" t="str">
        <f t="shared" si="46"/>
        <v>Sprinkler Defletor</v>
      </c>
      <c r="P373" s="54" t="s">
        <v>2309</v>
      </c>
      <c r="Q373" s="54" t="s">
        <v>2310</v>
      </c>
      <c r="R373" s="54" t="s">
        <v>6358</v>
      </c>
      <c r="S373" s="54" t="s">
        <v>692</v>
      </c>
      <c r="T373" s="55" t="str">
        <f t="shared" si="49"/>
        <v>Proteções</v>
      </c>
      <c r="U373" s="55" t="str">
        <f t="shared" si="49"/>
        <v>Contra Incêndios</v>
      </c>
      <c r="V373" s="55" t="str">
        <f t="shared" si="49"/>
        <v>Dispositivos Incêndio</v>
      </c>
      <c r="W373" s="54" t="s">
        <v>7259</v>
      </c>
      <c r="X373" s="84" t="str">
        <f t="shared" si="47"/>
        <v>Key-COD-CT-373</v>
      </c>
      <c r="Y373" s="84" t="s">
        <v>5557</v>
      </c>
      <c r="Z373" s="84" t="s">
        <v>692</v>
      </c>
      <c r="AA373" s="84" t="s">
        <v>5687</v>
      </c>
      <c r="AB373" s="84" t="s">
        <v>692</v>
      </c>
      <c r="AC373" s="84" t="s">
        <v>692</v>
      </c>
      <c r="AD373" s="54" t="s">
        <v>692</v>
      </c>
    </row>
    <row r="374" spans="1:30" ht="6.75" customHeight="1" x14ac:dyDescent="0.25">
      <c r="A374" s="85">
        <v>374</v>
      </c>
      <c r="B374" s="59" t="s">
        <v>5419</v>
      </c>
      <c r="C374" s="60" t="s">
        <v>2159</v>
      </c>
      <c r="D374" s="59" t="s">
        <v>2311</v>
      </c>
      <c r="E374" s="59" t="s">
        <v>2312</v>
      </c>
      <c r="F374" s="61" t="s">
        <v>2313</v>
      </c>
      <c r="G374" s="81" t="s">
        <v>692</v>
      </c>
      <c r="H374" s="81" t="s">
        <v>692</v>
      </c>
      <c r="I374" s="81" t="s">
        <v>692</v>
      </c>
      <c r="J374" s="81" t="s">
        <v>692</v>
      </c>
      <c r="K374" s="81" t="s">
        <v>692</v>
      </c>
      <c r="L374" s="53" t="str">
        <f t="shared" si="48"/>
        <v>Proteções</v>
      </c>
      <c r="M374" s="53" t="str">
        <f t="shared" si="48"/>
        <v>Contra.Falhas.Elétricas</v>
      </c>
      <c r="N374" s="53" t="str">
        <f t="shared" si="46"/>
        <v>Anomalias Elétricas</v>
      </c>
      <c r="O374" s="53" t="str">
        <f t="shared" si="46"/>
        <v>Dispositivo Proteção Elétrica</v>
      </c>
      <c r="P374" s="54" t="s">
        <v>2314</v>
      </c>
      <c r="Q374" s="54" t="s">
        <v>2315</v>
      </c>
      <c r="R374" s="54" t="s">
        <v>6359</v>
      </c>
      <c r="S374" s="54" t="s">
        <v>692</v>
      </c>
      <c r="T374" s="55" t="str">
        <f t="shared" si="49"/>
        <v>Proteções</v>
      </c>
      <c r="U374" s="55" t="str">
        <f t="shared" si="49"/>
        <v>Contra Falhas Elétricas</v>
      </c>
      <c r="V374" s="55" t="str">
        <f t="shared" si="49"/>
        <v>Anomalias Elétricas</v>
      </c>
      <c r="W374" s="54" t="s">
        <v>7259</v>
      </c>
      <c r="X374" s="84" t="str">
        <f t="shared" si="47"/>
        <v>Key-COD-CT-374</v>
      </c>
      <c r="Y374" s="84" t="s">
        <v>5556</v>
      </c>
      <c r="Z374" s="84" t="s">
        <v>692</v>
      </c>
      <c r="AA374" s="84" t="s">
        <v>5688</v>
      </c>
      <c r="AB374" s="84" t="s">
        <v>692</v>
      </c>
      <c r="AC374" s="84" t="s">
        <v>692</v>
      </c>
      <c r="AD374" s="54" t="s">
        <v>692</v>
      </c>
    </row>
    <row r="375" spans="1:30" ht="6.75" customHeight="1" x14ac:dyDescent="0.25">
      <c r="A375" s="85">
        <v>375</v>
      </c>
      <c r="B375" s="59" t="s">
        <v>5419</v>
      </c>
      <c r="C375" s="60" t="s">
        <v>2159</v>
      </c>
      <c r="D375" s="59" t="s">
        <v>2311</v>
      </c>
      <c r="E375" s="59" t="s">
        <v>2312</v>
      </c>
      <c r="F375" s="61" t="s">
        <v>2316</v>
      </c>
      <c r="G375" s="81" t="s">
        <v>692</v>
      </c>
      <c r="H375" s="81" t="s">
        <v>692</v>
      </c>
      <c r="I375" s="81" t="s">
        <v>692</v>
      </c>
      <c r="J375" s="81" t="s">
        <v>692</v>
      </c>
      <c r="K375" s="81" t="s">
        <v>692</v>
      </c>
      <c r="L375" s="53" t="str">
        <f t="shared" si="48"/>
        <v>Proteções</v>
      </c>
      <c r="M375" s="53" t="str">
        <f t="shared" si="48"/>
        <v>Contra.Falhas.Elétricas</v>
      </c>
      <c r="N375" s="53" t="str">
        <f t="shared" si="46"/>
        <v>Anomalias Elétricas</v>
      </c>
      <c r="O375" s="53" t="str">
        <f t="shared" si="46"/>
        <v>Unidade Disparo</v>
      </c>
      <c r="P375" s="54" t="s">
        <v>2317</v>
      </c>
      <c r="Q375" s="54" t="s">
        <v>2318</v>
      </c>
      <c r="R375" s="54" t="s">
        <v>6360</v>
      </c>
      <c r="S375" s="54" t="s">
        <v>692</v>
      </c>
      <c r="T375" s="55" t="str">
        <f t="shared" si="49"/>
        <v>Proteções</v>
      </c>
      <c r="U375" s="55" t="str">
        <f t="shared" si="49"/>
        <v>Contra Falhas Elétricas</v>
      </c>
      <c r="V375" s="55" t="str">
        <f t="shared" si="49"/>
        <v>Anomalias Elétricas</v>
      </c>
      <c r="W375" s="54" t="s">
        <v>7259</v>
      </c>
      <c r="X375" s="84" t="str">
        <f t="shared" si="47"/>
        <v>Key-COD-CT-375</v>
      </c>
      <c r="Y375" s="84" t="s">
        <v>5556</v>
      </c>
      <c r="Z375" s="84" t="s">
        <v>692</v>
      </c>
      <c r="AA375" s="84" t="s">
        <v>5689</v>
      </c>
      <c r="AB375" s="84" t="s">
        <v>692</v>
      </c>
      <c r="AC375" s="84" t="s">
        <v>692</v>
      </c>
      <c r="AD375" s="54" t="s">
        <v>692</v>
      </c>
    </row>
    <row r="376" spans="1:30" ht="6.75" customHeight="1" x14ac:dyDescent="0.25">
      <c r="A376" s="85">
        <v>376</v>
      </c>
      <c r="B376" s="59" t="s">
        <v>5419</v>
      </c>
      <c r="C376" s="60" t="s">
        <v>2159</v>
      </c>
      <c r="D376" s="59" t="s">
        <v>2311</v>
      </c>
      <c r="E376" s="59" t="s">
        <v>2312</v>
      </c>
      <c r="F376" s="61" t="s">
        <v>2319</v>
      </c>
      <c r="G376" s="81" t="s">
        <v>692</v>
      </c>
      <c r="H376" s="81" t="s">
        <v>692</v>
      </c>
      <c r="I376" s="81" t="s">
        <v>692</v>
      </c>
      <c r="J376" s="81" t="s">
        <v>692</v>
      </c>
      <c r="K376" s="81" t="s">
        <v>692</v>
      </c>
      <c r="L376" s="53" t="str">
        <f t="shared" si="48"/>
        <v>Proteções</v>
      </c>
      <c r="M376" s="53" t="str">
        <f t="shared" si="48"/>
        <v>Contra.Falhas.Elétricas</v>
      </c>
      <c r="N376" s="53" t="str">
        <f t="shared" si="46"/>
        <v>Anomalias Elétricas</v>
      </c>
      <c r="O376" s="53" t="str">
        <f t="shared" si="46"/>
        <v>AntiArco</v>
      </c>
      <c r="P376" s="54" t="s">
        <v>2320</v>
      </c>
      <c r="Q376" s="54" t="s">
        <v>2321</v>
      </c>
      <c r="R376" s="54" t="s">
        <v>6361</v>
      </c>
      <c r="S376" s="54" t="s">
        <v>692</v>
      </c>
      <c r="T376" s="55" t="str">
        <f t="shared" si="49"/>
        <v>Proteções</v>
      </c>
      <c r="U376" s="55" t="str">
        <f t="shared" si="49"/>
        <v>Contra Falhas Elétricas</v>
      </c>
      <c r="V376" s="55" t="str">
        <f t="shared" si="49"/>
        <v>Anomalias Elétricas</v>
      </c>
      <c r="W376" s="54" t="s">
        <v>7259</v>
      </c>
      <c r="X376" s="84" t="str">
        <f t="shared" si="47"/>
        <v>Key-COD-CT-376</v>
      </c>
      <c r="Y376" s="84" t="s">
        <v>5556</v>
      </c>
      <c r="Z376" s="84" t="s">
        <v>692</v>
      </c>
      <c r="AA376" s="84" t="s">
        <v>5690</v>
      </c>
      <c r="AB376" s="84" t="s">
        <v>692</v>
      </c>
      <c r="AC376" s="84" t="s">
        <v>692</v>
      </c>
      <c r="AD376" s="54" t="s">
        <v>692</v>
      </c>
    </row>
    <row r="377" spans="1:30" ht="6.75" customHeight="1" x14ac:dyDescent="0.25">
      <c r="A377" s="85">
        <v>377</v>
      </c>
      <c r="B377" s="59" t="s">
        <v>5419</v>
      </c>
      <c r="C377" s="60" t="s">
        <v>2159</v>
      </c>
      <c r="D377" s="59" t="s">
        <v>2311</v>
      </c>
      <c r="E377" s="59" t="s">
        <v>2322</v>
      </c>
      <c r="F377" s="61" t="s">
        <v>2323</v>
      </c>
      <c r="G377" s="81" t="s">
        <v>692</v>
      </c>
      <c r="H377" s="81" t="s">
        <v>692</v>
      </c>
      <c r="I377" s="81" t="s">
        <v>692</v>
      </c>
      <c r="J377" s="81" t="s">
        <v>692</v>
      </c>
      <c r="K377" s="81" t="s">
        <v>692</v>
      </c>
      <c r="L377" s="53" t="str">
        <f t="shared" si="48"/>
        <v>Proteções</v>
      </c>
      <c r="M377" s="53" t="str">
        <f t="shared" si="48"/>
        <v>Contra.Falhas.Elétricas</v>
      </c>
      <c r="N377" s="53" t="str">
        <f t="shared" si="46"/>
        <v>Sobrecargas</v>
      </c>
      <c r="O377" s="53" t="str">
        <f t="shared" si="46"/>
        <v>Disjuntor</v>
      </c>
      <c r="P377" s="54" t="s">
        <v>2324</v>
      </c>
      <c r="Q377" s="54" t="s">
        <v>2325</v>
      </c>
      <c r="R377" s="54" t="s">
        <v>6362</v>
      </c>
      <c r="S377" s="54" t="s">
        <v>692</v>
      </c>
      <c r="T377" s="55" t="str">
        <f t="shared" si="49"/>
        <v>Proteções</v>
      </c>
      <c r="U377" s="55" t="str">
        <f t="shared" si="49"/>
        <v>Contra Falhas Elétricas</v>
      </c>
      <c r="V377" s="55" t="str">
        <f t="shared" si="49"/>
        <v>Sobrecargas</v>
      </c>
      <c r="W377" s="54" t="s">
        <v>7259</v>
      </c>
      <c r="X377" s="84" t="str">
        <f t="shared" si="47"/>
        <v>Key-COD-CT-377</v>
      </c>
      <c r="Y377" s="84" t="s">
        <v>5556</v>
      </c>
      <c r="Z377" s="84" t="s">
        <v>692</v>
      </c>
      <c r="AA377" s="84" t="s">
        <v>5691</v>
      </c>
      <c r="AB377" s="84" t="s">
        <v>692</v>
      </c>
      <c r="AC377" s="84" t="s">
        <v>692</v>
      </c>
      <c r="AD377" s="54" t="s">
        <v>692</v>
      </c>
    </row>
    <row r="378" spans="1:30" ht="6.75" customHeight="1" x14ac:dyDescent="0.25">
      <c r="A378" s="85">
        <v>378</v>
      </c>
      <c r="B378" s="59" t="s">
        <v>5419</v>
      </c>
      <c r="C378" s="60" t="s">
        <v>2159</v>
      </c>
      <c r="D378" s="59" t="s">
        <v>2311</v>
      </c>
      <c r="E378" s="59" t="s">
        <v>2322</v>
      </c>
      <c r="F378" s="61" t="s">
        <v>2326</v>
      </c>
      <c r="G378" s="81" t="s">
        <v>692</v>
      </c>
      <c r="H378" s="81" t="s">
        <v>692</v>
      </c>
      <c r="I378" s="81" t="s">
        <v>692</v>
      </c>
      <c r="J378" s="81" t="s">
        <v>692</v>
      </c>
      <c r="K378" s="81" t="s">
        <v>692</v>
      </c>
      <c r="L378" s="53" t="str">
        <f t="shared" si="48"/>
        <v>Proteções</v>
      </c>
      <c r="M378" s="53" t="str">
        <f t="shared" si="48"/>
        <v>Contra.Falhas.Elétricas</v>
      </c>
      <c r="N378" s="53" t="str">
        <f t="shared" ref="N378:O442" si="50">(SUBSTITUTE(SUBSTITUTE(CONCATENATE("",E378),"."," ")," De "," de "))</f>
        <v>Sobrecargas</v>
      </c>
      <c r="O378" s="53" t="str">
        <f t="shared" si="50"/>
        <v>Chave de Aterramento</v>
      </c>
      <c r="P378" s="54" t="s">
        <v>2327</v>
      </c>
      <c r="Q378" s="54" t="s">
        <v>2328</v>
      </c>
      <c r="R378" s="54" t="s">
        <v>6363</v>
      </c>
      <c r="S378" s="54" t="s">
        <v>692</v>
      </c>
      <c r="T378" s="55" t="str">
        <f t="shared" si="49"/>
        <v>Proteções</v>
      </c>
      <c r="U378" s="55" t="str">
        <f t="shared" si="49"/>
        <v>Contra Falhas Elétricas</v>
      </c>
      <c r="V378" s="55" t="str">
        <f t="shared" si="49"/>
        <v>Sobrecargas</v>
      </c>
      <c r="W378" s="54" t="s">
        <v>7259</v>
      </c>
      <c r="X378" s="84" t="str">
        <f t="shared" si="47"/>
        <v>Key-COD-CT-378</v>
      </c>
      <c r="Y378" s="84" t="s">
        <v>5556</v>
      </c>
      <c r="Z378" s="84" t="s">
        <v>692</v>
      </c>
      <c r="AA378" s="84" t="s">
        <v>5692</v>
      </c>
      <c r="AB378" s="84" t="s">
        <v>692</v>
      </c>
      <c r="AC378" s="84" t="s">
        <v>692</v>
      </c>
      <c r="AD378" s="54" t="s">
        <v>692</v>
      </c>
    </row>
    <row r="379" spans="1:30" ht="6.75" customHeight="1" x14ac:dyDescent="0.25">
      <c r="A379" s="85">
        <v>379</v>
      </c>
      <c r="B379" s="59" t="s">
        <v>5419</v>
      </c>
      <c r="C379" s="60" t="s">
        <v>2159</v>
      </c>
      <c r="D379" s="59" t="s">
        <v>2311</v>
      </c>
      <c r="E379" s="59" t="s">
        <v>2322</v>
      </c>
      <c r="F379" s="61" t="s">
        <v>2329</v>
      </c>
      <c r="G379" s="81" t="s">
        <v>692</v>
      </c>
      <c r="H379" s="81" t="s">
        <v>692</v>
      </c>
      <c r="I379" s="81" t="s">
        <v>692</v>
      </c>
      <c r="J379" s="81" t="s">
        <v>692</v>
      </c>
      <c r="K379" s="81" t="s">
        <v>692</v>
      </c>
      <c r="L379" s="53" t="str">
        <f t="shared" si="48"/>
        <v>Proteções</v>
      </c>
      <c r="M379" s="53" t="str">
        <f t="shared" si="48"/>
        <v>Contra.Falhas.Elétricas</v>
      </c>
      <c r="N379" s="53" t="str">
        <f t="shared" si="50"/>
        <v>Sobrecargas</v>
      </c>
      <c r="O379" s="53" t="str">
        <f t="shared" si="50"/>
        <v>Seccionador de Fusível</v>
      </c>
      <c r="P379" s="54" t="s">
        <v>2330</v>
      </c>
      <c r="Q379" s="54" t="s">
        <v>2331</v>
      </c>
      <c r="R379" s="54" t="s">
        <v>6364</v>
      </c>
      <c r="S379" s="54" t="s">
        <v>692</v>
      </c>
      <c r="T379" s="55" t="str">
        <f t="shared" si="49"/>
        <v>Proteções</v>
      </c>
      <c r="U379" s="55" t="str">
        <f t="shared" si="49"/>
        <v>Contra Falhas Elétricas</v>
      </c>
      <c r="V379" s="55" t="str">
        <f t="shared" si="49"/>
        <v>Sobrecargas</v>
      </c>
      <c r="W379" s="54" t="s">
        <v>7259</v>
      </c>
      <c r="X379" s="84" t="str">
        <f t="shared" si="47"/>
        <v>Key-COD-CT-379</v>
      </c>
      <c r="Y379" s="84" t="s">
        <v>5556</v>
      </c>
      <c r="Z379" s="84" t="s">
        <v>692</v>
      </c>
      <c r="AA379" s="84" t="s">
        <v>5693</v>
      </c>
      <c r="AB379" s="84" t="s">
        <v>692</v>
      </c>
      <c r="AC379" s="84" t="s">
        <v>692</v>
      </c>
      <c r="AD379" s="54" t="s">
        <v>692</v>
      </c>
    </row>
    <row r="380" spans="1:30" ht="6.75" customHeight="1" x14ac:dyDescent="0.25">
      <c r="A380" s="85">
        <v>380</v>
      </c>
      <c r="B380" s="59" t="s">
        <v>5419</v>
      </c>
      <c r="C380" s="60" t="s">
        <v>2159</v>
      </c>
      <c r="D380" s="59" t="s">
        <v>2311</v>
      </c>
      <c r="E380" s="59" t="s">
        <v>2332</v>
      </c>
      <c r="F380" s="61" t="s">
        <v>2333</v>
      </c>
      <c r="G380" s="81" t="s">
        <v>692</v>
      </c>
      <c r="H380" s="81" t="s">
        <v>692</v>
      </c>
      <c r="I380" s="81" t="s">
        <v>692</v>
      </c>
      <c r="J380" s="81" t="s">
        <v>692</v>
      </c>
      <c r="K380" s="81" t="s">
        <v>692</v>
      </c>
      <c r="L380" s="53" t="str">
        <f t="shared" si="48"/>
        <v>Proteções</v>
      </c>
      <c r="M380" s="53" t="str">
        <f t="shared" si="48"/>
        <v>Contra.Falhas.Elétricas</v>
      </c>
      <c r="N380" s="53" t="str">
        <f t="shared" si="50"/>
        <v>Fugas</v>
      </c>
      <c r="O380" s="53" t="str">
        <f t="shared" si="50"/>
        <v>Disjuntor Diferencial Residual</v>
      </c>
      <c r="P380" s="54" t="s">
        <v>2334</v>
      </c>
      <c r="Q380" s="54" t="s">
        <v>2335</v>
      </c>
      <c r="R380" s="54" t="s">
        <v>6365</v>
      </c>
      <c r="S380" s="54" t="s">
        <v>692</v>
      </c>
      <c r="T380" s="55" t="str">
        <f t="shared" si="49"/>
        <v>Proteções</v>
      </c>
      <c r="U380" s="55" t="str">
        <f t="shared" si="49"/>
        <v>Contra Falhas Elétricas</v>
      </c>
      <c r="V380" s="55" t="str">
        <f t="shared" si="49"/>
        <v>Fugas</v>
      </c>
      <c r="W380" s="54" t="s">
        <v>7259</v>
      </c>
      <c r="X380" s="84" t="str">
        <f t="shared" si="47"/>
        <v>Key-COD-CT-380</v>
      </c>
      <c r="Y380" s="84" t="s">
        <v>5556</v>
      </c>
      <c r="Z380" s="84" t="s">
        <v>692</v>
      </c>
      <c r="AA380" s="84" t="s">
        <v>5694</v>
      </c>
      <c r="AB380" s="84" t="s">
        <v>692</v>
      </c>
      <c r="AC380" s="84" t="s">
        <v>692</v>
      </c>
      <c r="AD380" s="54" t="s">
        <v>692</v>
      </c>
    </row>
    <row r="381" spans="1:30" ht="6.75" customHeight="1" x14ac:dyDescent="0.25">
      <c r="A381" s="85">
        <v>381</v>
      </c>
      <c r="B381" s="59" t="s">
        <v>5419</v>
      </c>
      <c r="C381" s="60" t="s">
        <v>2159</v>
      </c>
      <c r="D381" s="59" t="s">
        <v>2311</v>
      </c>
      <c r="E381" s="59" t="s">
        <v>2332</v>
      </c>
      <c r="F381" s="61" t="s">
        <v>2336</v>
      </c>
      <c r="G381" s="81" t="s">
        <v>692</v>
      </c>
      <c r="H381" s="81" t="s">
        <v>692</v>
      </c>
      <c r="I381" s="81" t="s">
        <v>692</v>
      </c>
      <c r="J381" s="81" t="s">
        <v>692</v>
      </c>
      <c r="K381" s="81" t="s">
        <v>692</v>
      </c>
      <c r="L381" s="53" t="str">
        <f t="shared" si="48"/>
        <v>Proteções</v>
      </c>
      <c r="M381" s="53" t="str">
        <f t="shared" si="48"/>
        <v>Contra.Falhas.Elétricas</v>
      </c>
      <c r="N381" s="53" t="str">
        <f t="shared" si="50"/>
        <v>Fugas</v>
      </c>
      <c r="O381" s="53" t="str">
        <f t="shared" si="50"/>
        <v>Corrente Residual Disjuntor</v>
      </c>
      <c r="P381" s="54" t="s">
        <v>2337</v>
      </c>
      <c r="Q381" s="54" t="s">
        <v>2338</v>
      </c>
      <c r="R381" s="54" t="s">
        <v>6366</v>
      </c>
      <c r="S381" s="54" t="s">
        <v>692</v>
      </c>
      <c r="T381" s="55" t="str">
        <f t="shared" si="49"/>
        <v>Proteções</v>
      </c>
      <c r="U381" s="55" t="str">
        <f t="shared" si="49"/>
        <v>Contra Falhas Elétricas</v>
      </c>
      <c r="V381" s="55" t="str">
        <f t="shared" si="49"/>
        <v>Fugas</v>
      </c>
      <c r="W381" s="54" t="s">
        <v>7259</v>
      </c>
      <c r="X381" s="84" t="str">
        <f t="shared" si="47"/>
        <v>Key-COD-CT-381</v>
      </c>
      <c r="Y381" s="84" t="s">
        <v>5556</v>
      </c>
      <c r="Z381" s="84" t="s">
        <v>692</v>
      </c>
      <c r="AA381" s="84" t="s">
        <v>5695</v>
      </c>
      <c r="AB381" s="84" t="s">
        <v>692</v>
      </c>
      <c r="AC381" s="84" t="s">
        <v>692</v>
      </c>
      <c r="AD381" s="54" t="s">
        <v>692</v>
      </c>
    </row>
    <row r="382" spans="1:30" ht="6.75" customHeight="1" x14ac:dyDescent="0.25">
      <c r="A382" s="85">
        <v>382</v>
      </c>
      <c r="B382" s="59" t="s">
        <v>5419</v>
      </c>
      <c r="C382" s="60" t="s">
        <v>2159</v>
      </c>
      <c r="D382" s="59" t="s">
        <v>2311</v>
      </c>
      <c r="E382" s="59" t="s">
        <v>2332</v>
      </c>
      <c r="F382" s="61" t="s">
        <v>2339</v>
      </c>
      <c r="G382" s="81" t="s">
        <v>692</v>
      </c>
      <c r="H382" s="81" t="s">
        <v>692</v>
      </c>
      <c r="I382" s="81" t="s">
        <v>692</v>
      </c>
      <c r="J382" s="81" t="s">
        <v>692</v>
      </c>
      <c r="K382" s="81" t="s">
        <v>692</v>
      </c>
      <c r="L382" s="53" t="str">
        <f t="shared" si="48"/>
        <v>Proteções</v>
      </c>
      <c r="M382" s="53" t="str">
        <f t="shared" si="48"/>
        <v>Contra.Falhas.Elétricas</v>
      </c>
      <c r="N382" s="53" t="str">
        <f t="shared" si="50"/>
        <v>Fugas</v>
      </c>
      <c r="O382" s="53" t="str">
        <f t="shared" si="50"/>
        <v>Corrente Residual Interruptor</v>
      </c>
      <c r="P382" s="54" t="s">
        <v>2340</v>
      </c>
      <c r="Q382" s="54" t="s">
        <v>2341</v>
      </c>
      <c r="R382" s="54" t="s">
        <v>6367</v>
      </c>
      <c r="S382" s="54" t="s">
        <v>692</v>
      </c>
      <c r="T382" s="55" t="str">
        <f t="shared" si="49"/>
        <v>Proteções</v>
      </c>
      <c r="U382" s="55" t="str">
        <f t="shared" si="49"/>
        <v>Contra Falhas Elétricas</v>
      </c>
      <c r="V382" s="55" t="str">
        <f t="shared" si="49"/>
        <v>Fugas</v>
      </c>
      <c r="W382" s="54" t="s">
        <v>7259</v>
      </c>
      <c r="X382" s="84" t="str">
        <f t="shared" si="47"/>
        <v>Key-COD-CT-382</v>
      </c>
      <c r="Y382" s="84" t="s">
        <v>5556</v>
      </c>
      <c r="Z382" s="84" t="s">
        <v>692</v>
      </c>
      <c r="AA382" s="84" t="s">
        <v>5696</v>
      </c>
      <c r="AB382" s="84" t="s">
        <v>692</v>
      </c>
      <c r="AC382" s="84" t="s">
        <v>692</v>
      </c>
      <c r="AD382" s="54" t="s">
        <v>692</v>
      </c>
    </row>
    <row r="383" spans="1:30" ht="6.75" customHeight="1" x14ac:dyDescent="0.25">
      <c r="A383" s="85">
        <v>383</v>
      </c>
      <c r="B383" s="59" t="s">
        <v>5419</v>
      </c>
      <c r="C383" s="60" t="s">
        <v>2159</v>
      </c>
      <c r="D383" s="59" t="s">
        <v>2311</v>
      </c>
      <c r="E383" s="59" t="s">
        <v>2332</v>
      </c>
      <c r="F383" s="61" t="s">
        <v>2342</v>
      </c>
      <c r="G383" s="81" t="s">
        <v>692</v>
      </c>
      <c r="H383" s="81" t="s">
        <v>692</v>
      </c>
      <c r="I383" s="81" t="s">
        <v>692</v>
      </c>
      <c r="J383" s="81" t="s">
        <v>692</v>
      </c>
      <c r="K383" s="81" t="s">
        <v>692</v>
      </c>
      <c r="L383" s="53" t="str">
        <f t="shared" si="48"/>
        <v>Proteções</v>
      </c>
      <c r="M383" s="53" t="str">
        <f t="shared" si="48"/>
        <v>Contra.Falhas.Elétricas</v>
      </c>
      <c r="N383" s="53" t="str">
        <f t="shared" si="50"/>
        <v>Fugas</v>
      </c>
      <c r="O383" s="53" t="str">
        <f t="shared" si="50"/>
        <v>Corrente Residual Unidade Disparo</v>
      </c>
      <c r="P383" s="54" t="s">
        <v>2343</v>
      </c>
      <c r="Q383" s="54" t="s">
        <v>2344</v>
      </c>
      <c r="R383" s="54" t="s">
        <v>6368</v>
      </c>
      <c r="S383" s="54" t="s">
        <v>692</v>
      </c>
      <c r="T383" s="55" t="str">
        <f t="shared" si="49"/>
        <v>Proteções</v>
      </c>
      <c r="U383" s="55" t="str">
        <f t="shared" si="49"/>
        <v>Contra Falhas Elétricas</v>
      </c>
      <c r="V383" s="55" t="str">
        <f t="shared" si="49"/>
        <v>Fugas</v>
      </c>
      <c r="W383" s="54" t="s">
        <v>7259</v>
      </c>
      <c r="X383" s="84" t="str">
        <f t="shared" si="47"/>
        <v>Key-COD-CT-383</v>
      </c>
      <c r="Y383" s="84" t="s">
        <v>5556</v>
      </c>
      <c r="Z383" s="84" t="s">
        <v>692</v>
      </c>
      <c r="AA383" s="84" t="s">
        <v>5697</v>
      </c>
      <c r="AB383" s="84" t="s">
        <v>692</v>
      </c>
      <c r="AC383" s="84" t="s">
        <v>692</v>
      </c>
      <c r="AD383" s="54" t="s">
        <v>692</v>
      </c>
    </row>
    <row r="384" spans="1:30" ht="6.75" customHeight="1" x14ac:dyDescent="0.25">
      <c r="A384" s="85">
        <v>384</v>
      </c>
      <c r="B384" s="59" t="s">
        <v>5419</v>
      </c>
      <c r="C384" s="60" t="s">
        <v>2159</v>
      </c>
      <c r="D384" s="59" t="s">
        <v>2311</v>
      </c>
      <c r="E384" s="59" t="s">
        <v>2345</v>
      </c>
      <c r="F384" s="61" t="s">
        <v>2346</v>
      </c>
      <c r="G384" s="81" t="s">
        <v>692</v>
      </c>
      <c r="H384" s="81" t="s">
        <v>692</v>
      </c>
      <c r="I384" s="81" t="s">
        <v>692</v>
      </c>
      <c r="J384" s="81" t="s">
        <v>692</v>
      </c>
      <c r="K384" s="81" t="s">
        <v>692</v>
      </c>
      <c r="L384" s="53" t="str">
        <f t="shared" si="48"/>
        <v>Proteções</v>
      </c>
      <c r="M384" s="53" t="str">
        <f t="shared" si="48"/>
        <v>Contra.Falhas.Elétricas</v>
      </c>
      <c r="N384" s="53" t="str">
        <f t="shared" si="50"/>
        <v>Surtos</v>
      </c>
      <c r="O384" s="53" t="str">
        <f t="shared" si="50"/>
        <v>Espaçador de Faísca</v>
      </c>
      <c r="P384" s="54" t="s">
        <v>2347</v>
      </c>
      <c r="Q384" s="54" t="s">
        <v>2348</v>
      </c>
      <c r="R384" s="54" t="s">
        <v>6369</v>
      </c>
      <c r="S384" s="54" t="s">
        <v>692</v>
      </c>
      <c r="T384" s="55" t="str">
        <f t="shared" si="49"/>
        <v>Proteções</v>
      </c>
      <c r="U384" s="55" t="str">
        <f t="shared" si="49"/>
        <v>Contra Falhas Elétricas</v>
      </c>
      <c r="V384" s="55" t="str">
        <f t="shared" si="49"/>
        <v>Surtos</v>
      </c>
      <c r="W384" s="54" t="s">
        <v>7259</v>
      </c>
      <c r="X384" s="84" t="str">
        <f t="shared" si="47"/>
        <v>Key-COD-CT-384</v>
      </c>
      <c r="Y384" s="84" t="s">
        <v>5556</v>
      </c>
      <c r="Z384" s="84" t="s">
        <v>692</v>
      </c>
      <c r="AA384" s="84" t="s">
        <v>5698</v>
      </c>
      <c r="AB384" s="84" t="s">
        <v>692</v>
      </c>
      <c r="AC384" s="84" t="s">
        <v>692</v>
      </c>
      <c r="AD384" s="54" t="s">
        <v>692</v>
      </c>
    </row>
    <row r="385" spans="1:30" ht="6.75" customHeight="1" x14ac:dyDescent="0.25">
      <c r="A385" s="85">
        <v>385</v>
      </c>
      <c r="B385" s="59" t="s">
        <v>5419</v>
      </c>
      <c r="C385" s="60" t="s">
        <v>2159</v>
      </c>
      <c r="D385" s="59" t="s">
        <v>2311</v>
      </c>
      <c r="E385" s="59" t="s">
        <v>2345</v>
      </c>
      <c r="F385" s="61" t="s">
        <v>2349</v>
      </c>
      <c r="G385" s="81" t="s">
        <v>692</v>
      </c>
      <c r="H385" s="81" t="s">
        <v>692</v>
      </c>
      <c r="I385" s="81" t="s">
        <v>692</v>
      </c>
      <c r="J385" s="81" t="s">
        <v>692</v>
      </c>
      <c r="K385" s="81" t="s">
        <v>692</v>
      </c>
      <c r="L385" s="53" t="str">
        <f t="shared" si="48"/>
        <v>Proteções</v>
      </c>
      <c r="M385" s="53" t="str">
        <f t="shared" si="48"/>
        <v>Contra.Falhas.Elétricas</v>
      </c>
      <c r="N385" s="53" t="str">
        <f t="shared" si="50"/>
        <v>Surtos</v>
      </c>
      <c r="O385" s="53" t="str">
        <f t="shared" si="50"/>
        <v>Varistor</v>
      </c>
      <c r="P385" s="54" t="s">
        <v>2350</v>
      </c>
      <c r="Q385" s="54" t="s">
        <v>2351</v>
      </c>
      <c r="R385" s="54" t="s">
        <v>6370</v>
      </c>
      <c r="S385" s="54" t="s">
        <v>692</v>
      </c>
      <c r="T385" s="55" t="str">
        <f t="shared" si="49"/>
        <v>Proteções</v>
      </c>
      <c r="U385" s="55" t="str">
        <f t="shared" si="49"/>
        <v>Contra Falhas Elétricas</v>
      </c>
      <c r="V385" s="55" t="str">
        <f t="shared" si="49"/>
        <v>Surtos</v>
      </c>
      <c r="W385" s="54" t="s">
        <v>7259</v>
      </c>
      <c r="X385" s="84" t="str">
        <f t="shared" si="47"/>
        <v>Key-COD-CT-385</v>
      </c>
      <c r="Y385" s="84" t="s">
        <v>5556</v>
      </c>
      <c r="Z385" s="84" t="s">
        <v>692</v>
      </c>
      <c r="AA385" s="84" t="s">
        <v>5699</v>
      </c>
      <c r="AB385" s="84" t="s">
        <v>692</v>
      </c>
      <c r="AC385" s="84" t="s">
        <v>692</v>
      </c>
      <c r="AD385" s="54" t="s">
        <v>692</v>
      </c>
    </row>
    <row r="386" spans="1:30" ht="6.75" customHeight="1" x14ac:dyDescent="0.25">
      <c r="A386" s="85">
        <v>386</v>
      </c>
      <c r="B386" s="59" t="s">
        <v>5419</v>
      </c>
      <c r="C386" s="60" t="s">
        <v>2159</v>
      </c>
      <c r="D386" s="59" t="s">
        <v>2311</v>
      </c>
      <c r="E386" s="59" t="s">
        <v>2345</v>
      </c>
      <c r="F386" s="61" t="s">
        <v>2352</v>
      </c>
      <c r="G386" s="81" t="s">
        <v>692</v>
      </c>
      <c r="H386" s="81" t="s">
        <v>692</v>
      </c>
      <c r="I386" s="81" t="s">
        <v>692</v>
      </c>
      <c r="J386" s="81" t="s">
        <v>692</v>
      </c>
      <c r="K386" s="81" t="s">
        <v>692</v>
      </c>
      <c r="L386" s="53" t="str">
        <f t="shared" si="48"/>
        <v>Proteções</v>
      </c>
      <c r="M386" s="53" t="str">
        <f t="shared" si="48"/>
        <v>Contra.Falhas.Elétricas</v>
      </c>
      <c r="N386" s="53" t="str">
        <f t="shared" si="50"/>
        <v>Surtos</v>
      </c>
      <c r="O386" s="53" t="str">
        <f t="shared" si="50"/>
        <v>Limitador de Tensão</v>
      </c>
      <c r="P386" s="54" t="s">
        <v>2353</v>
      </c>
      <c r="Q386" s="54" t="s">
        <v>2354</v>
      </c>
      <c r="R386" s="54" t="s">
        <v>6371</v>
      </c>
      <c r="S386" s="54" t="s">
        <v>692</v>
      </c>
      <c r="T386" s="55" t="str">
        <f t="shared" si="49"/>
        <v>Proteções</v>
      </c>
      <c r="U386" s="55" t="str">
        <f t="shared" si="49"/>
        <v>Contra Falhas Elétricas</v>
      </c>
      <c r="V386" s="55" t="str">
        <f t="shared" si="49"/>
        <v>Surtos</v>
      </c>
      <c r="W386" s="54" t="s">
        <v>7259</v>
      </c>
      <c r="X386" s="84" t="str">
        <f t="shared" si="47"/>
        <v>Key-COD-CT-386</v>
      </c>
      <c r="Y386" s="84" t="s">
        <v>5556</v>
      </c>
      <c r="Z386" s="84" t="s">
        <v>692</v>
      </c>
      <c r="AA386" s="84" t="s">
        <v>5700</v>
      </c>
      <c r="AB386" s="84" t="s">
        <v>692</v>
      </c>
      <c r="AC386" s="84" t="s">
        <v>692</v>
      </c>
      <c r="AD386" s="54" t="s">
        <v>692</v>
      </c>
    </row>
    <row r="387" spans="1:30" ht="6.75" customHeight="1" x14ac:dyDescent="0.25">
      <c r="A387" s="85">
        <v>387</v>
      </c>
      <c r="B387" s="59" t="s">
        <v>5419</v>
      </c>
      <c r="C387" s="60" t="s">
        <v>2159</v>
      </c>
      <c r="D387" s="59" t="s">
        <v>2311</v>
      </c>
      <c r="E387" s="59" t="s">
        <v>2355</v>
      </c>
      <c r="F387" s="61" t="s">
        <v>2356</v>
      </c>
      <c r="G387" s="81" t="s">
        <v>692</v>
      </c>
      <c r="H387" s="81" t="s">
        <v>692</v>
      </c>
      <c r="I387" s="81" t="s">
        <v>692</v>
      </c>
      <c r="J387" s="81" t="s">
        <v>692</v>
      </c>
      <c r="K387" s="81" t="s">
        <v>692</v>
      </c>
      <c r="L387" s="53" t="str">
        <f t="shared" si="48"/>
        <v>Proteções</v>
      </c>
      <c r="M387" s="53" t="str">
        <f t="shared" si="48"/>
        <v>Contra.Falhas.Elétricas</v>
      </c>
      <c r="N387" s="53" t="str">
        <f t="shared" si="50"/>
        <v>Sobrecorrentes</v>
      </c>
      <c r="O387" s="53" t="str">
        <f t="shared" si="50"/>
        <v>Unidade de Disparo Eletromagnética</v>
      </c>
      <c r="P387" s="54" t="s">
        <v>2357</v>
      </c>
      <c r="Q387" s="54" t="s">
        <v>2358</v>
      </c>
      <c r="R387" s="54" t="s">
        <v>6372</v>
      </c>
      <c r="S387" s="54" t="s">
        <v>692</v>
      </c>
      <c r="T387" s="55" t="str">
        <f t="shared" si="49"/>
        <v>Proteções</v>
      </c>
      <c r="U387" s="55" t="str">
        <f t="shared" si="49"/>
        <v>Contra Falhas Elétricas</v>
      </c>
      <c r="V387" s="55" t="str">
        <f t="shared" si="49"/>
        <v>Sobrecorrentes</v>
      </c>
      <c r="W387" s="54" t="s">
        <v>7259</v>
      </c>
      <c r="X387" s="84" t="str">
        <f t="shared" ref="X387:X450" si="51">CONCATENATE("Key-COD-CT-",A387)</f>
        <v>Key-COD-CT-387</v>
      </c>
      <c r="Y387" s="84" t="s">
        <v>5556</v>
      </c>
      <c r="Z387" s="84" t="s">
        <v>692</v>
      </c>
      <c r="AA387" s="84" t="s">
        <v>5701</v>
      </c>
      <c r="AB387" s="84" t="s">
        <v>692</v>
      </c>
      <c r="AC387" s="84" t="s">
        <v>692</v>
      </c>
      <c r="AD387" s="54" t="s">
        <v>692</v>
      </c>
    </row>
    <row r="388" spans="1:30" ht="6.75" customHeight="1" x14ac:dyDescent="0.25">
      <c r="A388" s="85">
        <v>388</v>
      </c>
      <c r="B388" s="59" t="s">
        <v>5419</v>
      </c>
      <c r="C388" s="60" t="s">
        <v>2159</v>
      </c>
      <c r="D388" s="59" t="s">
        <v>2311</v>
      </c>
      <c r="E388" s="59" t="s">
        <v>2355</v>
      </c>
      <c r="F388" s="61" t="s">
        <v>2359</v>
      </c>
      <c r="G388" s="81" t="s">
        <v>692</v>
      </c>
      <c r="H388" s="81" t="s">
        <v>692</v>
      </c>
      <c r="I388" s="81" t="s">
        <v>692</v>
      </c>
      <c r="J388" s="81" t="s">
        <v>692</v>
      </c>
      <c r="K388" s="81" t="s">
        <v>692</v>
      </c>
      <c r="L388" s="53" t="str">
        <f t="shared" si="48"/>
        <v>Proteções</v>
      </c>
      <c r="M388" s="53" t="str">
        <f t="shared" si="48"/>
        <v>Contra.Falhas.Elétricas</v>
      </c>
      <c r="N388" s="53" t="str">
        <f t="shared" si="50"/>
        <v>Sobrecorrentes</v>
      </c>
      <c r="O388" s="53" t="str">
        <f t="shared" si="50"/>
        <v>Unidade de Disparo Eletrônica</v>
      </c>
      <c r="P388" s="54" t="s">
        <v>2360</v>
      </c>
      <c r="Q388" s="54" t="s">
        <v>2361</v>
      </c>
      <c r="R388" s="54" t="s">
        <v>6373</v>
      </c>
      <c r="S388" s="54" t="s">
        <v>692</v>
      </c>
      <c r="T388" s="55" t="str">
        <f t="shared" si="49"/>
        <v>Proteções</v>
      </c>
      <c r="U388" s="55" t="str">
        <f t="shared" si="49"/>
        <v>Contra Falhas Elétricas</v>
      </c>
      <c r="V388" s="55" t="str">
        <f t="shared" si="49"/>
        <v>Sobrecorrentes</v>
      </c>
      <c r="W388" s="54" t="s">
        <v>7259</v>
      </c>
      <c r="X388" s="84" t="str">
        <f t="shared" si="51"/>
        <v>Key-COD-CT-388</v>
      </c>
      <c r="Y388" s="84" t="s">
        <v>5556</v>
      </c>
      <c r="Z388" s="84" t="s">
        <v>692</v>
      </c>
      <c r="AA388" s="84" t="s">
        <v>5702</v>
      </c>
      <c r="AB388" s="84" t="s">
        <v>692</v>
      </c>
      <c r="AC388" s="84" t="s">
        <v>692</v>
      </c>
      <c r="AD388" s="54" t="s">
        <v>692</v>
      </c>
    </row>
    <row r="389" spans="1:30" ht="6.75" customHeight="1" x14ac:dyDescent="0.25">
      <c r="A389" s="85">
        <v>389</v>
      </c>
      <c r="B389" s="59" t="s">
        <v>5419</v>
      </c>
      <c r="C389" s="60" t="s">
        <v>2159</v>
      </c>
      <c r="D389" s="59" t="s">
        <v>2311</v>
      </c>
      <c r="E389" s="59" t="s">
        <v>2355</v>
      </c>
      <c r="F389" s="61" t="s">
        <v>2362</v>
      </c>
      <c r="G389" s="81" t="s">
        <v>692</v>
      </c>
      <c r="H389" s="81" t="s">
        <v>692</v>
      </c>
      <c r="I389" s="81" t="s">
        <v>692</v>
      </c>
      <c r="J389" s="81" t="s">
        <v>692</v>
      </c>
      <c r="K389" s="81" t="s">
        <v>692</v>
      </c>
      <c r="L389" s="53" t="str">
        <f t="shared" si="48"/>
        <v>Proteções</v>
      </c>
      <c r="M389" s="53" t="str">
        <f t="shared" si="48"/>
        <v>Contra.Falhas.Elétricas</v>
      </c>
      <c r="N389" s="53" t="str">
        <f t="shared" si="50"/>
        <v>Sobrecorrentes</v>
      </c>
      <c r="O389" s="53" t="str">
        <f t="shared" si="50"/>
        <v>Unidade de Disparo Térmica</v>
      </c>
      <c r="P389" s="54" t="s">
        <v>2363</v>
      </c>
      <c r="Q389" s="54" t="s">
        <v>2364</v>
      </c>
      <c r="R389" s="54" t="s">
        <v>6374</v>
      </c>
      <c r="S389" s="54" t="s">
        <v>692</v>
      </c>
      <c r="T389" s="55" t="str">
        <f t="shared" si="49"/>
        <v>Proteções</v>
      </c>
      <c r="U389" s="55" t="str">
        <f t="shared" si="49"/>
        <v>Contra Falhas Elétricas</v>
      </c>
      <c r="V389" s="55" t="str">
        <f t="shared" si="49"/>
        <v>Sobrecorrentes</v>
      </c>
      <c r="W389" s="54" t="s">
        <v>7259</v>
      </c>
      <c r="X389" s="84" t="str">
        <f t="shared" si="51"/>
        <v>Key-COD-CT-389</v>
      </c>
      <c r="Y389" s="84" t="s">
        <v>5556</v>
      </c>
      <c r="Z389" s="84" t="s">
        <v>692</v>
      </c>
      <c r="AA389" s="84" t="s">
        <v>5703</v>
      </c>
      <c r="AB389" s="84" t="s">
        <v>692</v>
      </c>
      <c r="AC389" s="84" t="s">
        <v>692</v>
      </c>
      <c r="AD389" s="54" t="s">
        <v>692</v>
      </c>
    </row>
    <row r="390" spans="1:30" ht="6.75" customHeight="1" x14ac:dyDescent="0.25">
      <c r="A390" s="85">
        <v>390</v>
      </c>
      <c r="B390" s="59" t="s">
        <v>5419</v>
      </c>
      <c r="C390" s="59" t="s">
        <v>2365</v>
      </c>
      <c r="D390" s="60" t="s">
        <v>2366</v>
      </c>
      <c r="E390" s="59" t="s">
        <v>2367</v>
      </c>
      <c r="F390" s="61" t="s">
        <v>2368</v>
      </c>
      <c r="G390" s="81" t="s">
        <v>692</v>
      </c>
      <c r="H390" s="81" t="s">
        <v>692</v>
      </c>
      <c r="I390" s="81" t="s">
        <v>692</v>
      </c>
      <c r="J390" s="81" t="s">
        <v>692</v>
      </c>
      <c r="K390" s="81" t="s">
        <v>692</v>
      </c>
      <c r="L390" s="53" t="str">
        <f t="shared" ref="L390:M454" si="52">CONCATENATE("", C390)</f>
        <v>Vedações</v>
      </c>
      <c r="M390" s="53" t="str">
        <f t="shared" si="52"/>
        <v>Paredes</v>
      </c>
      <c r="N390" s="53" t="str">
        <f t="shared" si="50"/>
        <v>Moldadas</v>
      </c>
      <c r="O390" s="53" t="str">
        <f t="shared" si="50"/>
        <v>Muro Interno Alto</v>
      </c>
      <c r="P390" s="56" t="s">
        <v>2369</v>
      </c>
      <c r="Q390" s="56" t="s">
        <v>2370</v>
      </c>
      <c r="R390" s="54" t="s">
        <v>6375</v>
      </c>
      <c r="S390" s="54" t="s">
        <v>692</v>
      </c>
      <c r="T390" s="55" t="str">
        <f t="shared" si="49"/>
        <v>Vedações</v>
      </c>
      <c r="U390" s="55" t="str">
        <f t="shared" si="49"/>
        <v>Paredes</v>
      </c>
      <c r="V390" s="55" t="str">
        <f t="shared" si="49"/>
        <v>Moldadas</v>
      </c>
      <c r="W390" s="54" t="s">
        <v>7259</v>
      </c>
      <c r="X390" s="84" t="str">
        <f t="shared" si="51"/>
        <v>Key-COD-CT-390</v>
      </c>
      <c r="Y390" s="84" t="s">
        <v>5496</v>
      </c>
      <c r="Z390" s="84" t="s">
        <v>692</v>
      </c>
      <c r="AA390" s="84" t="s">
        <v>5652</v>
      </c>
      <c r="AB390" s="84" t="s">
        <v>692</v>
      </c>
      <c r="AC390" s="84" t="s">
        <v>692</v>
      </c>
      <c r="AD390" s="54" t="s">
        <v>692</v>
      </c>
    </row>
    <row r="391" spans="1:30" ht="6.75" customHeight="1" x14ac:dyDescent="0.25">
      <c r="A391" s="85">
        <v>391</v>
      </c>
      <c r="B391" s="59" t="s">
        <v>5419</v>
      </c>
      <c r="C391" s="59" t="s">
        <v>2365</v>
      </c>
      <c r="D391" s="60" t="s">
        <v>2366</v>
      </c>
      <c r="E391" s="59" t="s">
        <v>2367</v>
      </c>
      <c r="F391" s="61" t="s">
        <v>2371</v>
      </c>
      <c r="G391" s="81" t="s">
        <v>692</v>
      </c>
      <c r="H391" s="81" t="s">
        <v>692</v>
      </c>
      <c r="I391" s="81" t="s">
        <v>692</v>
      </c>
      <c r="J391" s="81" t="s">
        <v>692</v>
      </c>
      <c r="K391" s="81" t="s">
        <v>692</v>
      </c>
      <c r="L391" s="53" t="str">
        <f t="shared" si="52"/>
        <v>Vedações</v>
      </c>
      <c r="M391" s="53" t="str">
        <f t="shared" si="52"/>
        <v>Paredes</v>
      </c>
      <c r="N391" s="53" t="str">
        <f t="shared" si="50"/>
        <v>Moldadas</v>
      </c>
      <c r="O391" s="53" t="str">
        <f t="shared" si="50"/>
        <v>Muro Interno Baixo</v>
      </c>
      <c r="P391" s="56" t="s">
        <v>2372</v>
      </c>
      <c r="Q391" s="56" t="s">
        <v>2373</v>
      </c>
      <c r="R391" s="54" t="s">
        <v>6376</v>
      </c>
      <c r="S391" s="54" t="s">
        <v>692</v>
      </c>
      <c r="T391" s="55" t="str">
        <f t="shared" si="49"/>
        <v>Vedações</v>
      </c>
      <c r="U391" s="55" t="str">
        <f t="shared" si="49"/>
        <v>Paredes</v>
      </c>
      <c r="V391" s="55" t="str">
        <f t="shared" si="49"/>
        <v>Moldadas</v>
      </c>
      <c r="W391" s="54" t="s">
        <v>7259</v>
      </c>
      <c r="X391" s="84" t="str">
        <f t="shared" si="51"/>
        <v>Key-COD-CT-391</v>
      </c>
      <c r="Y391" s="84" t="s">
        <v>5496</v>
      </c>
      <c r="Z391" s="84" t="s">
        <v>692</v>
      </c>
      <c r="AA391" s="84" t="s">
        <v>5652</v>
      </c>
      <c r="AB391" s="84" t="s">
        <v>692</v>
      </c>
      <c r="AC391" s="84" t="s">
        <v>692</v>
      </c>
      <c r="AD391" s="54" t="s">
        <v>692</v>
      </c>
    </row>
    <row r="392" spans="1:30" ht="6.75" customHeight="1" x14ac:dyDescent="0.25">
      <c r="A392" s="85">
        <v>392</v>
      </c>
      <c r="B392" s="59" t="s">
        <v>5419</v>
      </c>
      <c r="C392" s="59" t="s">
        <v>2365</v>
      </c>
      <c r="D392" s="60" t="s">
        <v>2366</v>
      </c>
      <c r="E392" s="59" t="s">
        <v>2367</v>
      </c>
      <c r="F392" s="61" t="s">
        <v>2374</v>
      </c>
      <c r="G392" s="81" t="s">
        <v>692</v>
      </c>
      <c r="H392" s="81" t="s">
        <v>692</v>
      </c>
      <c r="I392" s="81" t="s">
        <v>692</v>
      </c>
      <c r="J392" s="81" t="s">
        <v>692</v>
      </c>
      <c r="K392" s="81" t="s">
        <v>692</v>
      </c>
      <c r="L392" s="53" t="str">
        <f t="shared" si="52"/>
        <v>Vedações</v>
      </c>
      <c r="M392" s="53" t="str">
        <f t="shared" si="52"/>
        <v>Paredes</v>
      </c>
      <c r="N392" s="53" t="str">
        <f t="shared" si="50"/>
        <v>Moldadas</v>
      </c>
      <c r="O392" s="53" t="str">
        <f t="shared" si="50"/>
        <v>Muro Externo Alto</v>
      </c>
      <c r="P392" s="56" t="s">
        <v>2375</v>
      </c>
      <c r="Q392" s="56" t="s">
        <v>2376</v>
      </c>
      <c r="R392" s="54" t="s">
        <v>6377</v>
      </c>
      <c r="S392" s="54" t="s">
        <v>692</v>
      </c>
      <c r="T392" s="55" t="str">
        <f t="shared" si="49"/>
        <v>Vedações</v>
      </c>
      <c r="U392" s="55" t="str">
        <f t="shared" si="49"/>
        <v>Paredes</v>
      </c>
      <c r="V392" s="55" t="str">
        <f t="shared" si="49"/>
        <v>Moldadas</v>
      </c>
      <c r="W392" s="54" t="s">
        <v>7259</v>
      </c>
      <c r="X392" s="84" t="str">
        <f t="shared" si="51"/>
        <v>Key-COD-CT-392</v>
      </c>
      <c r="Y392" s="84" t="s">
        <v>5496</v>
      </c>
      <c r="Z392" s="84" t="s">
        <v>692</v>
      </c>
      <c r="AA392" s="84" t="s">
        <v>5652</v>
      </c>
      <c r="AB392" s="84" t="s">
        <v>692</v>
      </c>
      <c r="AC392" s="84" t="s">
        <v>692</v>
      </c>
      <c r="AD392" s="54" t="s">
        <v>692</v>
      </c>
    </row>
    <row r="393" spans="1:30" ht="6.75" customHeight="1" x14ac:dyDescent="0.25">
      <c r="A393" s="85">
        <v>393</v>
      </c>
      <c r="B393" s="59" t="s">
        <v>5419</v>
      </c>
      <c r="C393" s="59" t="s">
        <v>2365</v>
      </c>
      <c r="D393" s="60" t="s">
        <v>2366</v>
      </c>
      <c r="E393" s="59" t="s">
        <v>2367</v>
      </c>
      <c r="F393" s="61" t="s">
        <v>2377</v>
      </c>
      <c r="G393" s="81" t="s">
        <v>692</v>
      </c>
      <c r="H393" s="81" t="s">
        <v>692</v>
      </c>
      <c r="I393" s="81" t="s">
        <v>692</v>
      </c>
      <c r="J393" s="81" t="s">
        <v>692</v>
      </c>
      <c r="K393" s="81" t="s">
        <v>692</v>
      </c>
      <c r="L393" s="53" t="str">
        <f t="shared" si="52"/>
        <v>Vedações</v>
      </c>
      <c r="M393" s="53" t="str">
        <f t="shared" si="52"/>
        <v>Paredes</v>
      </c>
      <c r="N393" s="53" t="str">
        <f t="shared" si="50"/>
        <v>Moldadas</v>
      </c>
      <c r="O393" s="53" t="str">
        <f t="shared" si="50"/>
        <v>Muro Externo Baixo</v>
      </c>
      <c r="P393" s="56" t="s">
        <v>2378</v>
      </c>
      <c r="Q393" s="56" t="s">
        <v>2379</v>
      </c>
      <c r="R393" s="54" t="s">
        <v>6378</v>
      </c>
      <c r="S393" s="54" t="s">
        <v>692</v>
      </c>
      <c r="T393" s="55" t="str">
        <f t="shared" si="49"/>
        <v>Vedações</v>
      </c>
      <c r="U393" s="55" t="str">
        <f t="shared" si="49"/>
        <v>Paredes</v>
      </c>
      <c r="V393" s="55" t="str">
        <f t="shared" si="49"/>
        <v>Moldadas</v>
      </c>
      <c r="W393" s="54" t="s">
        <v>7259</v>
      </c>
      <c r="X393" s="84" t="str">
        <f t="shared" si="51"/>
        <v>Key-COD-CT-393</v>
      </c>
      <c r="Y393" s="84" t="s">
        <v>5496</v>
      </c>
      <c r="Z393" s="84" t="s">
        <v>692</v>
      </c>
      <c r="AA393" s="84" t="s">
        <v>5652</v>
      </c>
      <c r="AB393" s="84" t="s">
        <v>692</v>
      </c>
      <c r="AC393" s="84" t="s">
        <v>692</v>
      </c>
      <c r="AD393" s="54" t="s">
        <v>692</v>
      </c>
    </row>
    <row r="394" spans="1:30" ht="6.75" customHeight="1" x14ac:dyDescent="0.25">
      <c r="A394" s="85">
        <v>394</v>
      </c>
      <c r="B394" s="59" t="s">
        <v>5419</v>
      </c>
      <c r="C394" s="59" t="s">
        <v>2365</v>
      </c>
      <c r="D394" s="60" t="s">
        <v>2366</v>
      </c>
      <c r="E394" s="59" t="s">
        <v>2380</v>
      </c>
      <c r="F394" s="61" t="s">
        <v>2381</v>
      </c>
      <c r="G394" s="81" t="s">
        <v>692</v>
      </c>
      <c r="H394" s="81" t="s">
        <v>692</v>
      </c>
      <c r="I394" s="81" t="s">
        <v>692</v>
      </c>
      <c r="J394" s="81" t="s">
        <v>692</v>
      </c>
      <c r="K394" s="81" t="s">
        <v>692</v>
      </c>
      <c r="L394" s="53" t="str">
        <f t="shared" si="52"/>
        <v>Vedações</v>
      </c>
      <c r="M394" s="53" t="str">
        <f t="shared" si="52"/>
        <v>Paredes</v>
      </c>
      <c r="N394" s="53" t="str">
        <f t="shared" si="50"/>
        <v>Assentadas</v>
      </c>
      <c r="O394" s="53" t="str">
        <f t="shared" si="50"/>
        <v>Parede Interna Alta</v>
      </c>
      <c r="P394" s="56" t="s">
        <v>2382</v>
      </c>
      <c r="Q394" s="56" t="s">
        <v>2383</v>
      </c>
      <c r="R394" s="54" t="s">
        <v>6379</v>
      </c>
      <c r="S394" s="54" t="s">
        <v>692</v>
      </c>
      <c r="T394" s="55" t="str">
        <f t="shared" si="49"/>
        <v>Vedações</v>
      </c>
      <c r="U394" s="55" t="str">
        <f t="shared" si="49"/>
        <v>Paredes</v>
      </c>
      <c r="V394" s="55" t="str">
        <f t="shared" si="49"/>
        <v>Assentadas</v>
      </c>
      <c r="W394" s="54" t="s">
        <v>7259</v>
      </c>
      <c r="X394" s="84" t="str">
        <f t="shared" si="51"/>
        <v>Key-COD-CT-394</v>
      </c>
      <c r="Y394" s="84" t="s">
        <v>5496</v>
      </c>
      <c r="Z394" s="84" t="s">
        <v>692</v>
      </c>
      <c r="AA394" s="84" t="s">
        <v>5652</v>
      </c>
      <c r="AB394" s="84" t="s">
        <v>692</v>
      </c>
      <c r="AC394" s="84" t="s">
        <v>692</v>
      </c>
      <c r="AD394" s="54" t="s">
        <v>692</v>
      </c>
    </row>
    <row r="395" spans="1:30" ht="6.75" customHeight="1" x14ac:dyDescent="0.25">
      <c r="A395" s="85">
        <v>395</v>
      </c>
      <c r="B395" s="59" t="s">
        <v>5419</v>
      </c>
      <c r="C395" s="59" t="s">
        <v>2365</v>
      </c>
      <c r="D395" s="60" t="s">
        <v>2366</v>
      </c>
      <c r="E395" s="59" t="s">
        <v>2380</v>
      </c>
      <c r="F395" s="61" t="s">
        <v>2384</v>
      </c>
      <c r="G395" s="81" t="s">
        <v>692</v>
      </c>
      <c r="H395" s="81" t="s">
        <v>692</v>
      </c>
      <c r="I395" s="81" t="s">
        <v>692</v>
      </c>
      <c r="J395" s="81" t="s">
        <v>692</v>
      </c>
      <c r="K395" s="81" t="s">
        <v>692</v>
      </c>
      <c r="L395" s="53" t="str">
        <f t="shared" si="52"/>
        <v>Vedações</v>
      </c>
      <c r="M395" s="53" t="str">
        <f t="shared" si="52"/>
        <v>Paredes</v>
      </c>
      <c r="N395" s="53" t="str">
        <f t="shared" si="50"/>
        <v>Assentadas</v>
      </c>
      <c r="O395" s="53" t="str">
        <f t="shared" si="50"/>
        <v>Parede Interna Baixa</v>
      </c>
      <c r="P395" s="56" t="s">
        <v>2385</v>
      </c>
      <c r="Q395" s="56" t="s">
        <v>2386</v>
      </c>
      <c r="R395" s="54" t="s">
        <v>6380</v>
      </c>
      <c r="S395" s="54" t="s">
        <v>692</v>
      </c>
      <c r="T395" s="55" t="str">
        <f t="shared" si="49"/>
        <v>Vedações</v>
      </c>
      <c r="U395" s="55" t="str">
        <f t="shared" si="49"/>
        <v>Paredes</v>
      </c>
      <c r="V395" s="55" t="str">
        <f t="shared" si="49"/>
        <v>Assentadas</v>
      </c>
      <c r="W395" s="54" t="s">
        <v>7259</v>
      </c>
      <c r="X395" s="84" t="str">
        <f t="shared" si="51"/>
        <v>Key-COD-CT-395</v>
      </c>
      <c r="Y395" s="84" t="s">
        <v>5496</v>
      </c>
      <c r="Z395" s="84" t="s">
        <v>692</v>
      </c>
      <c r="AA395" s="84" t="s">
        <v>5652</v>
      </c>
      <c r="AB395" s="84" t="s">
        <v>692</v>
      </c>
      <c r="AC395" s="84" t="s">
        <v>692</v>
      </c>
      <c r="AD395" s="54" t="s">
        <v>692</v>
      </c>
    </row>
    <row r="396" spans="1:30" ht="6.75" customHeight="1" x14ac:dyDescent="0.25">
      <c r="A396" s="85">
        <v>396</v>
      </c>
      <c r="B396" s="59" t="s">
        <v>5419</v>
      </c>
      <c r="C396" s="59" t="s">
        <v>2365</v>
      </c>
      <c r="D396" s="60" t="s">
        <v>2366</v>
      </c>
      <c r="E396" s="59" t="s">
        <v>2380</v>
      </c>
      <c r="F396" s="61" t="s">
        <v>2387</v>
      </c>
      <c r="G396" s="81" t="s">
        <v>692</v>
      </c>
      <c r="H396" s="81" t="s">
        <v>692</v>
      </c>
      <c r="I396" s="81" t="s">
        <v>692</v>
      </c>
      <c r="J396" s="81" t="s">
        <v>692</v>
      </c>
      <c r="K396" s="81" t="s">
        <v>692</v>
      </c>
      <c r="L396" s="53" t="str">
        <f t="shared" si="52"/>
        <v>Vedações</v>
      </c>
      <c r="M396" s="53" t="str">
        <f t="shared" si="52"/>
        <v>Paredes</v>
      </c>
      <c r="N396" s="53" t="str">
        <f t="shared" si="50"/>
        <v>Assentadas</v>
      </c>
      <c r="O396" s="53" t="str">
        <f t="shared" si="50"/>
        <v>Parede Externa Alta</v>
      </c>
      <c r="P396" s="56" t="s">
        <v>2388</v>
      </c>
      <c r="Q396" s="56" t="s">
        <v>2389</v>
      </c>
      <c r="R396" s="54" t="s">
        <v>6381</v>
      </c>
      <c r="S396" s="54" t="s">
        <v>692</v>
      </c>
      <c r="T396" s="55" t="str">
        <f t="shared" si="49"/>
        <v>Vedações</v>
      </c>
      <c r="U396" s="55" t="str">
        <f t="shared" si="49"/>
        <v>Paredes</v>
      </c>
      <c r="V396" s="55" t="str">
        <f t="shared" si="49"/>
        <v>Assentadas</v>
      </c>
      <c r="W396" s="54" t="s">
        <v>7259</v>
      </c>
      <c r="X396" s="84" t="str">
        <f t="shared" si="51"/>
        <v>Key-COD-CT-396</v>
      </c>
      <c r="Y396" s="84" t="s">
        <v>5496</v>
      </c>
      <c r="Z396" s="84" t="s">
        <v>692</v>
      </c>
      <c r="AA396" s="84" t="s">
        <v>5652</v>
      </c>
      <c r="AB396" s="84" t="s">
        <v>692</v>
      </c>
      <c r="AC396" s="84" t="s">
        <v>692</v>
      </c>
      <c r="AD396" s="54" t="s">
        <v>692</v>
      </c>
    </row>
    <row r="397" spans="1:30" ht="6.75" customHeight="1" x14ac:dyDescent="0.25">
      <c r="A397" s="85">
        <v>397</v>
      </c>
      <c r="B397" s="59" t="s">
        <v>5419</v>
      </c>
      <c r="C397" s="59" t="s">
        <v>2365</v>
      </c>
      <c r="D397" s="60" t="s">
        <v>2366</v>
      </c>
      <c r="E397" s="59" t="s">
        <v>2380</v>
      </c>
      <c r="F397" s="61" t="s">
        <v>2390</v>
      </c>
      <c r="G397" s="81" t="s">
        <v>692</v>
      </c>
      <c r="H397" s="81" t="s">
        <v>692</v>
      </c>
      <c r="I397" s="81" t="s">
        <v>692</v>
      </c>
      <c r="J397" s="81" t="s">
        <v>692</v>
      </c>
      <c r="K397" s="81" t="s">
        <v>692</v>
      </c>
      <c r="L397" s="53" t="str">
        <f t="shared" si="52"/>
        <v>Vedações</v>
      </c>
      <c r="M397" s="53" t="str">
        <f t="shared" si="52"/>
        <v>Paredes</v>
      </c>
      <c r="N397" s="53" t="str">
        <f t="shared" si="50"/>
        <v>Assentadas</v>
      </c>
      <c r="O397" s="53" t="str">
        <f t="shared" si="50"/>
        <v>Parede Externa Baixa</v>
      </c>
      <c r="P397" s="56" t="s">
        <v>2391</v>
      </c>
      <c r="Q397" s="56" t="s">
        <v>2392</v>
      </c>
      <c r="R397" s="54" t="s">
        <v>6382</v>
      </c>
      <c r="S397" s="54" t="s">
        <v>692</v>
      </c>
      <c r="T397" s="55" t="str">
        <f t="shared" si="49"/>
        <v>Vedações</v>
      </c>
      <c r="U397" s="55" t="str">
        <f t="shared" si="49"/>
        <v>Paredes</v>
      </c>
      <c r="V397" s="55" t="str">
        <f t="shared" si="49"/>
        <v>Assentadas</v>
      </c>
      <c r="W397" s="54" t="s">
        <v>7259</v>
      </c>
      <c r="X397" s="84" t="str">
        <f t="shared" si="51"/>
        <v>Key-COD-CT-397</v>
      </c>
      <c r="Y397" s="84" t="s">
        <v>5496</v>
      </c>
      <c r="Z397" s="84" t="s">
        <v>692</v>
      </c>
      <c r="AA397" s="84" t="s">
        <v>5652</v>
      </c>
      <c r="AB397" s="84" t="s">
        <v>692</v>
      </c>
      <c r="AC397" s="84" t="s">
        <v>692</v>
      </c>
      <c r="AD397" s="54" t="s">
        <v>692</v>
      </c>
    </row>
    <row r="398" spans="1:30" ht="6.75" customHeight="1" x14ac:dyDescent="0.25">
      <c r="A398" s="85">
        <v>398</v>
      </c>
      <c r="B398" s="59" t="s">
        <v>5419</v>
      </c>
      <c r="C398" s="59" t="s">
        <v>2365</v>
      </c>
      <c r="D398" s="60" t="s">
        <v>2393</v>
      </c>
      <c r="E398" s="59" t="s">
        <v>2394</v>
      </c>
      <c r="F398" s="59" t="s">
        <v>2395</v>
      </c>
      <c r="G398" s="81" t="s">
        <v>692</v>
      </c>
      <c r="H398" s="81" t="s">
        <v>692</v>
      </c>
      <c r="I398" s="81" t="s">
        <v>692</v>
      </c>
      <c r="J398" s="81" t="s">
        <v>692</v>
      </c>
      <c r="K398" s="81" t="s">
        <v>692</v>
      </c>
      <c r="L398" s="53" t="str">
        <f t="shared" si="52"/>
        <v>Vedações</v>
      </c>
      <c r="M398" s="53" t="str">
        <f t="shared" si="52"/>
        <v>Divisórias</v>
      </c>
      <c r="N398" s="53" t="str">
        <f t="shared" si="50"/>
        <v>Fixas</v>
      </c>
      <c r="O398" s="53" t="str">
        <f t="shared" si="50"/>
        <v>Drywall</v>
      </c>
      <c r="P398" s="54" t="s">
        <v>2396</v>
      </c>
      <c r="Q398" s="57" t="s">
        <v>2397</v>
      </c>
      <c r="R398" s="54" t="s">
        <v>6383</v>
      </c>
      <c r="S398" s="54" t="s">
        <v>692</v>
      </c>
      <c r="T398" s="55" t="str">
        <f t="shared" si="49"/>
        <v>Vedações</v>
      </c>
      <c r="U398" s="55" t="str">
        <f t="shared" si="49"/>
        <v>Divisórias</v>
      </c>
      <c r="V398" s="55" t="str">
        <f t="shared" si="49"/>
        <v>Fixas</v>
      </c>
      <c r="W398" s="54" t="s">
        <v>7259</v>
      </c>
      <c r="X398" s="84" t="str">
        <f t="shared" si="51"/>
        <v>Key-COD-CT-398</v>
      </c>
      <c r="Y398" s="84" t="s">
        <v>5496</v>
      </c>
      <c r="Z398" s="84" t="s">
        <v>692</v>
      </c>
      <c r="AA398" s="84" t="s">
        <v>5652</v>
      </c>
      <c r="AB398" s="84" t="s">
        <v>692</v>
      </c>
      <c r="AC398" s="84" t="s">
        <v>692</v>
      </c>
      <c r="AD398" s="54" t="s">
        <v>692</v>
      </c>
    </row>
    <row r="399" spans="1:30" ht="6.75" customHeight="1" x14ac:dyDescent="0.25">
      <c r="A399" s="85">
        <v>399</v>
      </c>
      <c r="B399" s="59" t="s">
        <v>5419</v>
      </c>
      <c r="C399" s="59" t="s">
        <v>2365</v>
      </c>
      <c r="D399" s="60" t="s">
        <v>2393</v>
      </c>
      <c r="E399" s="59" t="s">
        <v>2394</v>
      </c>
      <c r="F399" s="59" t="s">
        <v>2398</v>
      </c>
      <c r="G399" s="81" t="s">
        <v>692</v>
      </c>
      <c r="H399" s="81" t="s">
        <v>692</v>
      </c>
      <c r="I399" s="81" t="s">
        <v>692</v>
      </c>
      <c r="J399" s="81" t="s">
        <v>692</v>
      </c>
      <c r="K399" s="81" t="s">
        <v>692</v>
      </c>
      <c r="L399" s="53" t="str">
        <f t="shared" si="52"/>
        <v>Vedações</v>
      </c>
      <c r="M399" s="53" t="str">
        <f t="shared" si="52"/>
        <v>Divisórias</v>
      </c>
      <c r="N399" s="53" t="str">
        <f t="shared" si="50"/>
        <v>Fixas</v>
      </c>
      <c r="O399" s="53" t="str">
        <f t="shared" si="50"/>
        <v>Drywall Acústico</v>
      </c>
      <c r="P399" s="54" t="s">
        <v>2399</v>
      </c>
      <c r="Q399" s="57" t="s">
        <v>2400</v>
      </c>
      <c r="R399" s="54" t="s">
        <v>6384</v>
      </c>
      <c r="S399" s="54" t="s">
        <v>692</v>
      </c>
      <c r="T399" s="55" t="str">
        <f t="shared" si="49"/>
        <v>Vedações</v>
      </c>
      <c r="U399" s="55" t="str">
        <f t="shared" si="49"/>
        <v>Divisórias</v>
      </c>
      <c r="V399" s="55" t="str">
        <f t="shared" si="49"/>
        <v>Fixas</v>
      </c>
      <c r="W399" s="54" t="s">
        <v>7259</v>
      </c>
      <c r="X399" s="84" t="str">
        <f t="shared" si="51"/>
        <v>Key-COD-CT-399</v>
      </c>
      <c r="Y399" s="84" t="s">
        <v>5496</v>
      </c>
      <c r="Z399" s="84" t="s">
        <v>692</v>
      </c>
      <c r="AA399" s="84" t="s">
        <v>5652</v>
      </c>
      <c r="AB399" s="84" t="s">
        <v>692</v>
      </c>
      <c r="AC399" s="84" t="s">
        <v>692</v>
      </c>
      <c r="AD399" s="54" t="s">
        <v>692</v>
      </c>
    </row>
    <row r="400" spans="1:30" ht="6.75" customHeight="1" x14ac:dyDescent="0.25">
      <c r="A400" s="85">
        <v>400</v>
      </c>
      <c r="B400" s="59" t="s">
        <v>5419</v>
      </c>
      <c r="C400" s="59" t="s">
        <v>2365</v>
      </c>
      <c r="D400" s="60" t="s">
        <v>2393</v>
      </c>
      <c r="E400" s="59" t="s">
        <v>2394</v>
      </c>
      <c r="F400" s="59" t="s">
        <v>2401</v>
      </c>
      <c r="G400" s="81" t="s">
        <v>692</v>
      </c>
      <c r="H400" s="81" t="s">
        <v>692</v>
      </c>
      <c r="I400" s="81" t="s">
        <v>692</v>
      </c>
      <c r="J400" s="81" t="s">
        <v>692</v>
      </c>
      <c r="K400" s="81" t="s">
        <v>692</v>
      </c>
      <c r="L400" s="53" t="str">
        <f t="shared" si="52"/>
        <v>Vedações</v>
      </c>
      <c r="M400" s="53" t="str">
        <f t="shared" si="52"/>
        <v>Divisórias</v>
      </c>
      <c r="N400" s="53" t="str">
        <f t="shared" si="50"/>
        <v>Fixas</v>
      </c>
      <c r="O400" s="53" t="str">
        <f t="shared" si="50"/>
        <v>Divisória Vidro</v>
      </c>
      <c r="P400" s="54" t="s">
        <v>2402</v>
      </c>
      <c r="Q400" s="57" t="s">
        <v>2403</v>
      </c>
      <c r="R400" s="54" t="s">
        <v>6385</v>
      </c>
      <c r="S400" s="54" t="s">
        <v>692</v>
      </c>
      <c r="T400" s="55" t="str">
        <f t="shared" si="49"/>
        <v>Vedações</v>
      </c>
      <c r="U400" s="55" t="str">
        <f t="shared" si="49"/>
        <v>Divisórias</v>
      </c>
      <c r="V400" s="55" t="str">
        <f t="shared" si="49"/>
        <v>Fixas</v>
      </c>
      <c r="W400" s="54" t="s">
        <v>7259</v>
      </c>
      <c r="X400" s="84" t="str">
        <f t="shared" si="51"/>
        <v>Key-COD-CT-400</v>
      </c>
      <c r="Y400" s="84" t="s">
        <v>5496</v>
      </c>
      <c r="Z400" s="84" t="s">
        <v>692</v>
      </c>
      <c r="AA400" s="84" t="s">
        <v>5652</v>
      </c>
      <c r="AB400" s="84" t="s">
        <v>692</v>
      </c>
      <c r="AC400" s="84" t="s">
        <v>692</v>
      </c>
      <c r="AD400" s="54" t="s">
        <v>692</v>
      </c>
    </row>
    <row r="401" spans="1:30" ht="6.75" customHeight="1" x14ac:dyDescent="0.25">
      <c r="A401" s="85">
        <v>401</v>
      </c>
      <c r="B401" s="59" t="s">
        <v>5419</v>
      </c>
      <c r="C401" s="59" t="s">
        <v>2365</v>
      </c>
      <c r="D401" s="60" t="s">
        <v>2393</v>
      </c>
      <c r="E401" s="59" t="s">
        <v>2394</v>
      </c>
      <c r="F401" s="59" t="s">
        <v>2404</v>
      </c>
      <c r="G401" s="81" t="s">
        <v>692</v>
      </c>
      <c r="H401" s="81" t="s">
        <v>692</v>
      </c>
      <c r="I401" s="81" t="s">
        <v>692</v>
      </c>
      <c r="J401" s="81" t="s">
        <v>692</v>
      </c>
      <c r="K401" s="81" t="s">
        <v>692</v>
      </c>
      <c r="L401" s="53" t="str">
        <f t="shared" si="52"/>
        <v>Vedações</v>
      </c>
      <c r="M401" s="53" t="str">
        <f t="shared" si="52"/>
        <v>Divisórias</v>
      </c>
      <c r="N401" s="53" t="str">
        <f t="shared" si="50"/>
        <v>Fixas</v>
      </c>
      <c r="O401" s="53" t="str">
        <f t="shared" si="50"/>
        <v>Divisória Gesso</v>
      </c>
      <c r="P401" s="54" t="s">
        <v>2405</v>
      </c>
      <c r="Q401" s="57" t="s">
        <v>2406</v>
      </c>
      <c r="R401" s="54" t="s">
        <v>6386</v>
      </c>
      <c r="S401" s="54" t="s">
        <v>692</v>
      </c>
      <c r="T401" s="55" t="str">
        <f t="shared" si="49"/>
        <v>Vedações</v>
      </c>
      <c r="U401" s="55" t="str">
        <f t="shared" si="49"/>
        <v>Divisórias</v>
      </c>
      <c r="V401" s="55" t="str">
        <f t="shared" si="49"/>
        <v>Fixas</v>
      </c>
      <c r="W401" s="54" t="s">
        <v>7259</v>
      </c>
      <c r="X401" s="84" t="str">
        <f t="shared" si="51"/>
        <v>Key-COD-CT-401</v>
      </c>
      <c r="Y401" s="84" t="s">
        <v>5496</v>
      </c>
      <c r="Z401" s="84" t="s">
        <v>692</v>
      </c>
      <c r="AA401" s="84" t="s">
        <v>5652</v>
      </c>
      <c r="AB401" s="84" t="s">
        <v>692</v>
      </c>
      <c r="AC401" s="84" t="s">
        <v>692</v>
      </c>
      <c r="AD401" s="54" t="s">
        <v>692</v>
      </c>
    </row>
    <row r="402" spans="1:30" ht="6.75" customHeight="1" x14ac:dyDescent="0.25">
      <c r="A402" s="85">
        <v>402</v>
      </c>
      <c r="B402" s="59" t="s">
        <v>5419</v>
      </c>
      <c r="C402" s="59" t="s">
        <v>2365</v>
      </c>
      <c r="D402" s="60" t="s">
        <v>2393</v>
      </c>
      <c r="E402" s="59" t="s">
        <v>2394</v>
      </c>
      <c r="F402" s="59" t="s">
        <v>2407</v>
      </c>
      <c r="G402" s="81" t="s">
        <v>692</v>
      </c>
      <c r="H402" s="81" t="s">
        <v>692</v>
      </c>
      <c r="I402" s="81" t="s">
        <v>692</v>
      </c>
      <c r="J402" s="81" t="s">
        <v>692</v>
      </c>
      <c r="K402" s="81" t="s">
        <v>692</v>
      </c>
      <c r="L402" s="53" t="str">
        <f t="shared" si="52"/>
        <v>Vedações</v>
      </c>
      <c r="M402" s="53" t="str">
        <f t="shared" si="52"/>
        <v>Divisórias</v>
      </c>
      <c r="N402" s="53" t="str">
        <f t="shared" si="50"/>
        <v>Fixas</v>
      </c>
      <c r="O402" s="53" t="str">
        <f t="shared" si="50"/>
        <v>Divisória Naval</v>
      </c>
      <c r="P402" s="54" t="s">
        <v>2408</v>
      </c>
      <c r="Q402" s="57" t="s">
        <v>2409</v>
      </c>
      <c r="R402" s="54" t="s">
        <v>6387</v>
      </c>
      <c r="S402" s="54" t="s">
        <v>692</v>
      </c>
      <c r="T402" s="55" t="str">
        <f t="shared" si="49"/>
        <v>Vedações</v>
      </c>
      <c r="U402" s="55" t="str">
        <f t="shared" si="49"/>
        <v>Divisórias</v>
      </c>
      <c r="V402" s="55" t="str">
        <f t="shared" si="49"/>
        <v>Fixas</v>
      </c>
      <c r="W402" s="54" t="s">
        <v>7259</v>
      </c>
      <c r="X402" s="84" t="str">
        <f t="shared" si="51"/>
        <v>Key-COD-CT-402</v>
      </c>
      <c r="Y402" s="84" t="s">
        <v>5496</v>
      </c>
      <c r="Z402" s="84" t="s">
        <v>692</v>
      </c>
      <c r="AA402" s="84" t="s">
        <v>5652</v>
      </c>
      <c r="AB402" s="84" t="s">
        <v>692</v>
      </c>
      <c r="AC402" s="84" t="s">
        <v>692</v>
      </c>
      <c r="AD402" s="54" t="s">
        <v>692</v>
      </c>
    </row>
    <row r="403" spans="1:30" ht="6.75" customHeight="1" x14ac:dyDescent="0.25">
      <c r="A403" s="85">
        <v>403</v>
      </c>
      <c r="B403" s="59" t="s">
        <v>5419</v>
      </c>
      <c r="C403" s="59" t="s">
        <v>2365</v>
      </c>
      <c r="D403" s="60" t="s">
        <v>2393</v>
      </c>
      <c r="E403" s="59" t="s">
        <v>2394</v>
      </c>
      <c r="F403" s="59" t="s">
        <v>2410</v>
      </c>
      <c r="G403" s="81" t="s">
        <v>692</v>
      </c>
      <c r="H403" s="81" t="s">
        <v>692</v>
      </c>
      <c r="I403" s="81" t="s">
        <v>692</v>
      </c>
      <c r="J403" s="81" t="s">
        <v>692</v>
      </c>
      <c r="K403" s="81" t="s">
        <v>692</v>
      </c>
      <c r="L403" s="53" t="str">
        <f t="shared" si="52"/>
        <v>Vedações</v>
      </c>
      <c r="M403" s="53" t="str">
        <f t="shared" si="52"/>
        <v>Divisórias</v>
      </c>
      <c r="N403" s="53" t="str">
        <f t="shared" si="50"/>
        <v>Fixas</v>
      </c>
      <c r="O403" s="53" t="str">
        <f t="shared" si="50"/>
        <v>Divisória Laminada</v>
      </c>
      <c r="P403" s="54" t="s">
        <v>2411</v>
      </c>
      <c r="Q403" s="57" t="s">
        <v>2412</v>
      </c>
      <c r="R403" s="54" t="s">
        <v>6388</v>
      </c>
      <c r="S403" s="54" t="s">
        <v>692</v>
      </c>
      <c r="T403" s="55" t="str">
        <f t="shared" si="49"/>
        <v>Vedações</v>
      </c>
      <c r="U403" s="55" t="str">
        <f t="shared" si="49"/>
        <v>Divisórias</v>
      </c>
      <c r="V403" s="55" t="str">
        <f t="shared" si="49"/>
        <v>Fixas</v>
      </c>
      <c r="W403" s="54" t="s">
        <v>7259</v>
      </c>
      <c r="X403" s="84" t="str">
        <f t="shared" si="51"/>
        <v>Key-COD-CT-403</v>
      </c>
      <c r="Y403" s="84" t="s">
        <v>5496</v>
      </c>
      <c r="Z403" s="84" t="s">
        <v>692</v>
      </c>
      <c r="AA403" s="84" t="s">
        <v>5652</v>
      </c>
      <c r="AB403" s="84" t="s">
        <v>692</v>
      </c>
      <c r="AC403" s="84" t="s">
        <v>692</v>
      </c>
      <c r="AD403" s="54" t="s">
        <v>692</v>
      </c>
    </row>
    <row r="404" spans="1:30" ht="6.75" customHeight="1" x14ac:dyDescent="0.25">
      <c r="A404" s="85">
        <v>404</v>
      </c>
      <c r="B404" s="59" t="s">
        <v>5419</v>
      </c>
      <c r="C404" s="59" t="s">
        <v>2365</v>
      </c>
      <c r="D404" s="60" t="s">
        <v>2393</v>
      </c>
      <c r="E404" s="59" t="s">
        <v>2394</v>
      </c>
      <c r="F404" s="59" t="s">
        <v>2413</v>
      </c>
      <c r="G404" s="81" t="s">
        <v>692</v>
      </c>
      <c r="H404" s="81" t="s">
        <v>692</v>
      </c>
      <c r="I404" s="81" t="s">
        <v>692</v>
      </c>
      <c r="J404" s="81" t="s">
        <v>692</v>
      </c>
      <c r="K404" s="81" t="s">
        <v>692</v>
      </c>
      <c r="L404" s="53" t="str">
        <f t="shared" si="52"/>
        <v>Vedações</v>
      </c>
      <c r="M404" s="53" t="str">
        <f t="shared" si="52"/>
        <v>Divisórias</v>
      </c>
      <c r="N404" s="53" t="str">
        <f t="shared" si="50"/>
        <v>Fixas</v>
      </c>
      <c r="O404" s="53" t="str">
        <f t="shared" si="50"/>
        <v>Divisória Pedra</v>
      </c>
      <c r="P404" s="54" t="s">
        <v>2414</v>
      </c>
      <c r="Q404" s="57" t="s">
        <v>2415</v>
      </c>
      <c r="R404" s="54" t="s">
        <v>6389</v>
      </c>
      <c r="S404" s="54" t="s">
        <v>692</v>
      </c>
      <c r="T404" s="55" t="str">
        <f t="shared" si="49"/>
        <v>Vedações</v>
      </c>
      <c r="U404" s="55" t="str">
        <f t="shared" si="49"/>
        <v>Divisórias</v>
      </c>
      <c r="V404" s="55" t="str">
        <f t="shared" si="49"/>
        <v>Fixas</v>
      </c>
      <c r="W404" s="54" t="s">
        <v>7259</v>
      </c>
      <c r="X404" s="84" t="str">
        <f t="shared" si="51"/>
        <v>Key-COD-CT-404</v>
      </c>
      <c r="Y404" s="84" t="s">
        <v>5496</v>
      </c>
      <c r="Z404" s="84" t="s">
        <v>692</v>
      </c>
      <c r="AA404" s="84" t="s">
        <v>5652</v>
      </c>
      <c r="AB404" s="84" t="s">
        <v>692</v>
      </c>
      <c r="AC404" s="84" t="s">
        <v>692</v>
      </c>
      <c r="AD404" s="54" t="s">
        <v>692</v>
      </c>
    </row>
    <row r="405" spans="1:30" ht="6.75" customHeight="1" x14ac:dyDescent="0.25">
      <c r="A405" s="85">
        <v>405</v>
      </c>
      <c r="B405" s="59" t="s">
        <v>5419</v>
      </c>
      <c r="C405" s="59" t="s">
        <v>2365</v>
      </c>
      <c r="D405" s="60" t="s">
        <v>2393</v>
      </c>
      <c r="E405" s="59" t="s">
        <v>2394</v>
      </c>
      <c r="F405" s="59" t="s">
        <v>2416</v>
      </c>
      <c r="G405" s="81" t="s">
        <v>692</v>
      </c>
      <c r="H405" s="81" t="s">
        <v>692</v>
      </c>
      <c r="I405" s="81" t="s">
        <v>692</v>
      </c>
      <c r="J405" s="81" t="s">
        <v>692</v>
      </c>
      <c r="K405" s="81" t="s">
        <v>692</v>
      </c>
      <c r="L405" s="53" t="str">
        <f t="shared" si="52"/>
        <v>Vedações</v>
      </c>
      <c r="M405" s="53" t="str">
        <f t="shared" si="52"/>
        <v>Divisórias</v>
      </c>
      <c r="N405" s="53" t="str">
        <f t="shared" si="50"/>
        <v>Fixas</v>
      </c>
      <c r="O405" s="53" t="str">
        <f t="shared" si="50"/>
        <v>Divisória Acústica</v>
      </c>
      <c r="P405" s="56" t="s">
        <v>2417</v>
      </c>
      <c r="Q405" s="57" t="s">
        <v>2418</v>
      </c>
      <c r="R405" s="54" t="s">
        <v>6390</v>
      </c>
      <c r="S405" s="54" t="s">
        <v>692</v>
      </c>
      <c r="T405" s="55" t="str">
        <f t="shared" si="49"/>
        <v>Vedações</v>
      </c>
      <c r="U405" s="55" t="str">
        <f t="shared" si="49"/>
        <v>Divisórias</v>
      </c>
      <c r="V405" s="55" t="str">
        <f t="shared" si="49"/>
        <v>Fixas</v>
      </c>
      <c r="W405" s="54" t="s">
        <v>7259</v>
      </c>
      <c r="X405" s="84" t="str">
        <f t="shared" si="51"/>
        <v>Key-COD-CT-405</v>
      </c>
      <c r="Y405" s="84" t="s">
        <v>5496</v>
      </c>
      <c r="Z405" s="84" t="s">
        <v>692</v>
      </c>
      <c r="AA405" s="84" t="s">
        <v>5652</v>
      </c>
      <c r="AB405" s="84" t="s">
        <v>692</v>
      </c>
      <c r="AC405" s="84" t="s">
        <v>692</v>
      </c>
      <c r="AD405" s="54" t="s">
        <v>692</v>
      </c>
    </row>
    <row r="406" spans="1:30" ht="6.75" customHeight="1" x14ac:dyDescent="0.25">
      <c r="A406" s="85">
        <v>406</v>
      </c>
      <c r="B406" s="59" t="s">
        <v>5419</v>
      </c>
      <c r="C406" s="59" t="s">
        <v>2365</v>
      </c>
      <c r="D406" s="60" t="s">
        <v>2393</v>
      </c>
      <c r="E406" s="59" t="s">
        <v>2394</v>
      </c>
      <c r="F406" s="59" t="s">
        <v>2419</v>
      </c>
      <c r="G406" s="81" t="s">
        <v>692</v>
      </c>
      <c r="H406" s="81" t="s">
        <v>692</v>
      </c>
      <c r="I406" s="81" t="s">
        <v>692</v>
      </c>
      <c r="J406" s="81" t="s">
        <v>692</v>
      </c>
      <c r="K406" s="81" t="s">
        <v>692</v>
      </c>
      <c r="L406" s="53" t="str">
        <f t="shared" si="52"/>
        <v>Vedações</v>
      </c>
      <c r="M406" s="53" t="str">
        <f t="shared" si="52"/>
        <v>Divisórias</v>
      </c>
      <c r="N406" s="53" t="str">
        <f t="shared" si="50"/>
        <v>Fixas</v>
      </c>
      <c r="O406" s="53" t="str">
        <f t="shared" si="50"/>
        <v>Divisória Cega</v>
      </c>
      <c r="P406" s="56" t="s">
        <v>2420</v>
      </c>
      <c r="Q406" s="57" t="s">
        <v>2421</v>
      </c>
      <c r="R406" s="54" t="s">
        <v>6391</v>
      </c>
      <c r="S406" s="54" t="s">
        <v>692</v>
      </c>
      <c r="T406" s="55" t="str">
        <f t="shared" si="49"/>
        <v>Vedações</v>
      </c>
      <c r="U406" s="55" t="str">
        <f t="shared" si="49"/>
        <v>Divisórias</v>
      </c>
      <c r="V406" s="55" t="str">
        <f t="shared" si="49"/>
        <v>Fixas</v>
      </c>
      <c r="W406" s="54" t="s">
        <v>7259</v>
      </c>
      <c r="X406" s="84" t="str">
        <f t="shared" si="51"/>
        <v>Key-COD-CT-406</v>
      </c>
      <c r="Y406" s="84" t="s">
        <v>5496</v>
      </c>
      <c r="Z406" s="84" t="s">
        <v>692</v>
      </c>
      <c r="AA406" s="84" t="s">
        <v>5652</v>
      </c>
      <c r="AB406" s="84" t="s">
        <v>692</v>
      </c>
      <c r="AC406" s="84" t="s">
        <v>692</v>
      </c>
      <c r="AD406" s="54" t="s">
        <v>692</v>
      </c>
    </row>
    <row r="407" spans="1:30" ht="6.75" customHeight="1" x14ac:dyDescent="0.25">
      <c r="A407" s="85">
        <v>407</v>
      </c>
      <c r="B407" s="59" t="s">
        <v>5419</v>
      </c>
      <c r="C407" s="59" t="s">
        <v>2365</v>
      </c>
      <c r="D407" s="60" t="s">
        <v>2393</v>
      </c>
      <c r="E407" s="59" t="s">
        <v>2394</v>
      </c>
      <c r="F407" s="59" t="s">
        <v>2422</v>
      </c>
      <c r="G407" s="81" t="s">
        <v>692</v>
      </c>
      <c r="H407" s="81" t="s">
        <v>692</v>
      </c>
      <c r="I407" s="81" t="s">
        <v>692</v>
      </c>
      <c r="J407" s="81" t="s">
        <v>692</v>
      </c>
      <c r="K407" s="81" t="s">
        <v>692</v>
      </c>
      <c r="L407" s="53" t="str">
        <f t="shared" si="52"/>
        <v>Vedações</v>
      </c>
      <c r="M407" s="53" t="str">
        <f t="shared" si="52"/>
        <v>Divisórias</v>
      </c>
      <c r="N407" s="53" t="str">
        <f t="shared" si="50"/>
        <v>Fixas</v>
      </c>
      <c r="O407" s="53" t="str">
        <f t="shared" si="50"/>
        <v>Divisória Com Visor</v>
      </c>
      <c r="P407" s="56" t="s">
        <v>2423</v>
      </c>
      <c r="Q407" s="57" t="s">
        <v>2424</v>
      </c>
      <c r="R407" s="54" t="s">
        <v>6392</v>
      </c>
      <c r="S407" s="54" t="s">
        <v>692</v>
      </c>
      <c r="T407" s="55" t="str">
        <f t="shared" si="49"/>
        <v>Vedações</v>
      </c>
      <c r="U407" s="55" t="str">
        <f t="shared" si="49"/>
        <v>Divisórias</v>
      </c>
      <c r="V407" s="55" t="str">
        <f t="shared" si="49"/>
        <v>Fixas</v>
      </c>
      <c r="W407" s="54" t="s">
        <v>7259</v>
      </c>
      <c r="X407" s="84" t="str">
        <f t="shared" si="51"/>
        <v>Key-COD-CT-407</v>
      </c>
      <c r="Y407" s="84" t="s">
        <v>5496</v>
      </c>
      <c r="Z407" s="84" t="s">
        <v>692</v>
      </c>
      <c r="AA407" s="84" t="s">
        <v>5652</v>
      </c>
      <c r="AB407" s="84" t="s">
        <v>692</v>
      </c>
      <c r="AC407" s="84" t="s">
        <v>692</v>
      </c>
      <c r="AD407" s="54" t="s">
        <v>692</v>
      </c>
    </row>
    <row r="408" spans="1:30" ht="6.75" customHeight="1" x14ac:dyDescent="0.25">
      <c r="A408" s="85">
        <v>408</v>
      </c>
      <c r="B408" s="59" t="s">
        <v>5419</v>
      </c>
      <c r="C408" s="59" t="s">
        <v>2365</v>
      </c>
      <c r="D408" s="60" t="s">
        <v>2393</v>
      </c>
      <c r="E408" s="59" t="s">
        <v>2425</v>
      </c>
      <c r="F408" s="59" t="s">
        <v>2426</v>
      </c>
      <c r="G408" s="81" t="s">
        <v>692</v>
      </c>
      <c r="H408" s="81" t="s">
        <v>692</v>
      </c>
      <c r="I408" s="81" t="s">
        <v>692</v>
      </c>
      <c r="J408" s="81" t="s">
        <v>692</v>
      </c>
      <c r="K408" s="81" t="s">
        <v>692</v>
      </c>
      <c r="L408" s="53" t="str">
        <f t="shared" si="52"/>
        <v>Vedações</v>
      </c>
      <c r="M408" s="53" t="str">
        <f t="shared" si="52"/>
        <v>Divisórias</v>
      </c>
      <c r="N408" s="53" t="str">
        <f t="shared" si="50"/>
        <v>Articuladas</v>
      </c>
      <c r="O408" s="53" t="str">
        <f t="shared" si="50"/>
        <v>Divisória Deslizante</v>
      </c>
      <c r="P408" s="56" t="s">
        <v>2427</v>
      </c>
      <c r="Q408" s="57" t="s">
        <v>2428</v>
      </c>
      <c r="R408" s="54" t="s">
        <v>6393</v>
      </c>
      <c r="S408" s="54" t="s">
        <v>692</v>
      </c>
      <c r="T408" s="55" t="str">
        <f t="shared" si="49"/>
        <v>Vedações</v>
      </c>
      <c r="U408" s="55" t="str">
        <f t="shared" si="49"/>
        <v>Divisórias</v>
      </c>
      <c r="V408" s="55" t="str">
        <f t="shared" si="49"/>
        <v>Articuladas</v>
      </c>
      <c r="W408" s="54" t="s">
        <v>7259</v>
      </c>
      <c r="X408" s="84" t="str">
        <f t="shared" si="51"/>
        <v>Key-COD-CT-408</v>
      </c>
      <c r="Y408" s="84" t="s">
        <v>5496</v>
      </c>
      <c r="Z408" s="84" t="s">
        <v>692</v>
      </c>
      <c r="AA408" s="84" t="s">
        <v>5652</v>
      </c>
      <c r="AB408" s="84" t="s">
        <v>692</v>
      </c>
      <c r="AC408" s="84" t="s">
        <v>692</v>
      </c>
      <c r="AD408" s="54" t="s">
        <v>692</v>
      </c>
    </row>
    <row r="409" spans="1:30" ht="6.75" customHeight="1" x14ac:dyDescent="0.25">
      <c r="A409" s="85">
        <v>409</v>
      </c>
      <c r="B409" s="59" t="s">
        <v>5419</v>
      </c>
      <c r="C409" s="59" t="s">
        <v>2365</v>
      </c>
      <c r="D409" s="60" t="s">
        <v>2393</v>
      </c>
      <c r="E409" s="59" t="s">
        <v>2425</v>
      </c>
      <c r="F409" s="59" t="s">
        <v>2429</v>
      </c>
      <c r="G409" s="81" t="s">
        <v>692</v>
      </c>
      <c r="H409" s="81" t="s">
        <v>692</v>
      </c>
      <c r="I409" s="81" t="s">
        <v>692</v>
      </c>
      <c r="J409" s="81" t="s">
        <v>692</v>
      </c>
      <c r="K409" s="81" t="s">
        <v>692</v>
      </c>
      <c r="L409" s="53" t="str">
        <f t="shared" si="52"/>
        <v>Vedações</v>
      </c>
      <c r="M409" s="53" t="str">
        <f t="shared" si="52"/>
        <v>Divisórias</v>
      </c>
      <c r="N409" s="53" t="str">
        <f t="shared" si="50"/>
        <v>Articuladas</v>
      </c>
      <c r="O409" s="53" t="str">
        <f t="shared" si="50"/>
        <v>Divisória Retratil</v>
      </c>
      <c r="P409" s="56" t="s">
        <v>2430</v>
      </c>
      <c r="Q409" s="57" t="s">
        <v>2431</v>
      </c>
      <c r="R409" s="54" t="s">
        <v>6394</v>
      </c>
      <c r="S409" s="54" t="s">
        <v>692</v>
      </c>
      <c r="T409" s="55" t="str">
        <f t="shared" si="49"/>
        <v>Vedações</v>
      </c>
      <c r="U409" s="55" t="str">
        <f t="shared" si="49"/>
        <v>Divisórias</v>
      </c>
      <c r="V409" s="55" t="str">
        <f t="shared" si="49"/>
        <v>Articuladas</v>
      </c>
      <c r="W409" s="54" t="s">
        <v>7259</v>
      </c>
      <c r="X409" s="84" t="str">
        <f t="shared" si="51"/>
        <v>Key-COD-CT-409</v>
      </c>
      <c r="Y409" s="84" t="s">
        <v>5496</v>
      </c>
      <c r="Z409" s="84" t="s">
        <v>692</v>
      </c>
      <c r="AA409" s="84" t="s">
        <v>5652</v>
      </c>
      <c r="AB409" s="84" t="s">
        <v>692</v>
      </c>
      <c r="AC409" s="84" t="s">
        <v>692</v>
      </c>
      <c r="AD409" s="54" t="s">
        <v>692</v>
      </c>
    </row>
    <row r="410" spans="1:30" ht="6.75" customHeight="1" x14ac:dyDescent="0.25">
      <c r="A410" s="85">
        <v>410</v>
      </c>
      <c r="B410" s="59" t="s">
        <v>5419</v>
      </c>
      <c r="C410" s="59" t="s">
        <v>2365</v>
      </c>
      <c r="D410" s="60" t="s">
        <v>2393</v>
      </c>
      <c r="E410" s="59" t="s">
        <v>2425</v>
      </c>
      <c r="F410" s="59" t="s">
        <v>2432</v>
      </c>
      <c r="G410" s="81" t="s">
        <v>692</v>
      </c>
      <c r="H410" s="81" t="s">
        <v>692</v>
      </c>
      <c r="I410" s="81" t="s">
        <v>692</v>
      </c>
      <c r="J410" s="81" t="s">
        <v>692</v>
      </c>
      <c r="K410" s="81" t="s">
        <v>692</v>
      </c>
      <c r="L410" s="53" t="str">
        <f t="shared" si="52"/>
        <v>Vedações</v>
      </c>
      <c r="M410" s="53" t="str">
        <f t="shared" si="52"/>
        <v>Divisórias</v>
      </c>
      <c r="N410" s="53" t="str">
        <f t="shared" si="50"/>
        <v>Articuladas</v>
      </c>
      <c r="O410" s="53" t="str">
        <f t="shared" si="50"/>
        <v>Divisória Sanfonada</v>
      </c>
      <c r="P410" s="56" t="s">
        <v>2433</v>
      </c>
      <c r="Q410" s="57" t="s">
        <v>2434</v>
      </c>
      <c r="R410" s="54" t="s">
        <v>6395</v>
      </c>
      <c r="S410" s="54" t="s">
        <v>692</v>
      </c>
      <c r="T410" s="55" t="str">
        <f t="shared" si="49"/>
        <v>Vedações</v>
      </c>
      <c r="U410" s="55" t="str">
        <f t="shared" si="49"/>
        <v>Divisórias</v>
      </c>
      <c r="V410" s="55" t="str">
        <f t="shared" si="49"/>
        <v>Articuladas</v>
      </c>
      <c r="W410" s="54" t="s">
        <v>7259</v>
      </c>
      <c r="X410" s="84" t="str">
        <f t="shared" si="51"/>
        <v>Key-COD-CT-410</v>
      </c>
      <c r="Y410" s="84" t="s">
        <v>5496</v>
      </c>
      <c r="Z410" s="84" t="s">
        <v>692</v>
      </c>
      <c r="AA410" s="84" t="s">
        <v>5652</v>
      </c>
      <c r="AB410" s="84" t="s">
        <v>692</v>
      </c>
      <c r="AC410" s="84" t="s">
        <v>692</v>
      </c>
      <c r="AD410" s="54" t="s">
        <v>692</v>
      </c>
    </row>
    <row r="411" spans="1:30" ht="6.75" customHeight="1" x14ac:dyDescent="0.25">
      <c r="A411" s="85">
        <v>411</v>
      </c>
      <c r="B411" s="59" t="s">
        <v>5419</v>
      </c>
      <c r="C411" s="59" t="s">
        <v>2365</v>
      </c>
      <c r="D411" s="60" t="s">
        <v>2393</v>
      </c>
      <c r="E411" s="59" t="s">
        <v>2425</v>
      </c>
      <c r="F411" s="59" t="s">
        <v>2435</v>
      </c>
      <c r="G411" s="81" t="s">
        <v>692</v>
      </c>
      <c r="H411" s="81" t="s">
        <v>692</v>
      </c>
      <c r="I411" s="81" t="s">
        <v>692</v>
      </c>
      <c r="J411" s="81" t="s">
        <v>692</v>
      </c>
      <c r="K411" s="81" t="s">
        <v>692</v>
      </c>
      <c r="L411" s="53" t="str">
        <f t="shared" si="52"/>
        <v>Vedações</v>
      </c>
      <c r="M411" s="53" t="str">
        <f t="shared" si="52"/>
        <v>Divisórias</v>
      </c>
      <c r="N411" s="53" t="str">
        <f t="shared" si="50"/>
        <v>Articuladas</v>
      </c>
      <c r="O411" s="53" t="str">
        <f t="shared" si="50"/>
        <v>Divisória Pivotante</v>
      </c>
      <c r="P411" s="56" t="s">
        <v>2436</v>
      </c>
      <c r="Q411" s="57" t="s">
        <v>2437</v>
      </c>
      <c r="R411" s="54" t="s">
        <v>6396</v>
      </c>
      <c r="S411" s="54" t="s">
        <v>692</v>
      </c>
      <c r="T411" s="55" t="str">
        <f t="shared" si="49"/>
        <v>Vedações</v>
      </c>
      <c r="U411" s="55" t="str">
        <f t="shared" si="49"/>
        <v>Divisórias</v>
      </c>
      <c r="V411" s="55" t="str">
        <f t="shared" si="49"/>
        <v>Articuladas</v>
      </c>
      <c r="W411" s="54" t="s">
        <v>7259</v>
      </c>
      <c r="X411" s="84" t="str">
        <f t="shared" si="51"/>
        <v>Key-COD-CT-411</v>
      </c>
      <c r="Y411" s="84" t="s">
        <v>5496</v>
      </c>
      <c r="Z411" s="84" t="s">
        <v>692</v>
      </c>
      <c r="AA411" s="84" t="s">
        <v>5652</v>
      </c>
      <c r="AB411" s="84" t="s">
        <v>692</v>
      </c>
      <c r="AC411" s="84" t="s">
        <v>692</v>
      </c>
      <c r="AD411" s="54" t="s">
        <v>692</v>
      </c>
    </row>
    <row r="412" spans="1:30" ht="6.75" customHeight="1" x14ac:dyDescent="0.25">
      <c r="A412" s="85">
        <v>412</v>
      </c>
      <c r="B412" s="59" t="s">
        <v>5419</v>
      </c>
      <c r="C412" s="59" t="s">
        <v>2438</v>
      </c>
      <c r="D412" s="59" t="s">
        <v>2439</v>
      </c>
      <c r="E412" s="60" t="s">
        <v>2440</v>
      </c>
      <c r="F412" s="59" t="s">
        <v>2441</v>
      </c>
      <c r="G412" s="81" t="s">
        <v>692</v>
      </c>
      <c r="H412" s="81" t="s">
        <v>692</v>
      </c>
      <c r="I412" s="81" t="s">
        <v>692</v>
      </c>
      <c r="J412" s="81" t="s">
        <v>692</v>
      </c>
      <c r="K412" s="81" t="s">
        <v>692</v>
      </c>
      <c r="L412" s="53" t="str">
        <f t="shared" si="52"/>
        <v>Gradeamentos</v>
      </c>
      <c r="M412" s="53" t="str">
        <f t="shared" si="52"/>
        <v>Delimitadores</v>
      </c>
      <c r="N412" s="53" t="str">
        <f t="shared" si="50"/>
        <v>Grades</v>
      </c>
      <c r="O412" s="53" t="str">
        <f t="shared" si="50"/>
        <v>Gradil de Barra</v>
      </c>
      <c r="P412" s="54" t="s">
        <v>2442</v>
      </c>
      <c r="Q412" s="57" t="s">
        <v>2443</v>
      </c>
      <c r="R412" s="54" t="s">
        <v>6397</v>
      </c>
      <c r="S412" s="54" t="s">
        <v>692</v>
      </c>
      <c r="T412" s="55" t="str">
        <f t="shared" si="49"/>
        <v>Gradeamentos</v>
      </c>
      <c r="U412" s="55" t="str">
        <f t="shared" si="49"/>
        <v>Delimitadores</v>
      </c>
      <c r="V412" s="55" t="str">
        <f t="shared" si="49"/>
        <v>Grades</v>
      </c>
      <c r="W412" s="54" t="s">
        <v>7259</v>
      </c>
      <c r="X412" s="84" t="str">
        <f t="shared" si="51"/>
        <v>Key-COD-CT-412</v>
      </c>
      <c r="Y412" s="84" t="s">
        <v>5558</v>
      </c>
      <c r="Z412" s="84" t="s">
        <v>692</v>
      </c>
      <c r="AA412" s="84" t="s">
        <v>5704</v>
      </c>
      <c r="AB412" s="84" t="s">
        <v>692</v>
      </c>
      <c r="AC412" s="84" t="s">
        <v>692</v>
      </c>
      <c r="AD412" s="54" t="s">
        <v>692</v>
      </c>
    </row>
    <row r="413" spans="1:30" ht="6.75" customHeight="1" x14ac:dyDescent="0.25">
      <c r="A413" s="85">
        <v>413</v>
      </c>
      <c r="B413" s="59" t="s">
        <v>5419</v>
      </c>
      <c r="C413" s="59" t="s">
        <v>2438</v>
      </c>
      <c r="D413" s="59" t="s">
        <v>2439</v>
      </c>
      <c r="E413" s="60" t="s">
        <v>2440</v>
      </c>
      <c r="F413" s="59" t="s">
        <v>2444</v>
      </c>
      <c r="G413" s="81" t="s">
        <v>692</v>
      </c>
      <c r="H413" s="81" t="s">
        <v>692</v>
      </c>
      <c r="I413" s="81" t="s">
        <v>692</v>
      </c>
      <c r="J413" s="81" t="s">
        <v>692</v>
      </c>
      <c r="K413" s="81" t="s">
        <v>692</v>
      </c>
      <c r="L413" s="53" t="str">
        <f t="shared" si="52"/>
        <v>Gradeamentos</v>
      </c>
      <c r="M413" s="53" t="str">
        <f t="shared" si="52"/>
        <v>Delimitadores</v>
      </c>
      <c r="N413" s="53" t="str">
        <f t="shared" si="50"/>
        <v>Grades</v>
      </c>
      <c r="O413" s="53" t="str">
        <f t="shared" si="50"/>
        <v>Gradil de Arame</v>
      </c>
      <c r="P413" s="54" t="s">
        <v>2445</v>
      </c>
      <c r="Q413" s="57" t="s">
        <v>2446</v>
      </c>
      <c r="R413" s="54" t="s">
        <v>6398</v>
      </c>
      <c r="S413" s="54" t="s">
        <v>692</v>
      </c>
      <c r="T413" s="55" t="str">
        <f t="shared" si="49"/>
        <v>Gradeamentos</v>
      </c>
      <c r="U413" s="55" t="str">
        <f t="shared" si="49"/>
        <v>Delimitadores</v>
      </c>
      <c r="V413" s="55" t="str">
        <f t="shared" si="49"/>
        <v>Grades</v>
      </c>
      <c r="W413" s="54" t="s">
        <v>7259</v>
      </c>
      <c r="X413" s="84" t="str">
        <f t="shared" si="51"/>
        <v>Key-COD-CT-413</v>
      </c>
      <c r="Y413" s="84" t="s">
        <v>5558</v>
      </c>
      <c r="Z413" s="84" t="s">
        <v>692</v>
      </c>
      <c r="AA413" s="84" t="s">
        <v>5704</v>
      </c>
      <c r="AB413" s="84" t="s">
        <v>692</v>
      </c>
      <c r="AC413" s="84" t="s">
        <v>692</v>
      </c>
      <c r="AD413" s="54" t="s">
        <v>692</v>
      </c>
    </row>
    <row r="414" spans="1:30" ht="6.75" customHeight="1" x14ac:dyDescent="0.25">
      <c r="A414" s="85">
        <v>414</v>
      </c>
      <c r="B414" s="59" t="s">
        <v>5419</v>
      </c>
      <c r="C414" s="60" t="s">
        <v>2447</v>
      </c>
      <c r="D414" s="59" t="s">
        <v>2448</v>
      </c>
      <c r="E414" s="61" t="s">
        <v>2449</v>
      </c>
      <c r="F414" s="61" t="s">
        <v>2450</v>
      </c>
      <c r="G414" s="81" t="s">
        <v>692</v>
      </c>
      <c r="H414" s="81" t="s">
        <v>692</v>
      </c>
      <c r="I414" s="81" t="s">
        <v>692</v>
      </c>
      <c r="J414" s="81" t="s">
        <v>692</v>
      </c>
      <c r="K414" s="81" t="s">
        <v>692</v>
      </c>
      <c r="L414" s="53" t="str">
        <f t="shared" si="52"/>
        <v>Bancadas</v>
      </c>
      <c r="M414" s="53" t="str">
        <f t="shared" si="52"/>
        <v>Bancadas.Apoio</v>
      </c>
      <c r="N414" s="53" t="str">
        <f t="shared" si="50"/>
        <v>Ban Residenciais</v>
      </c>
      <c r="O414" s="53" t="str">
        <f t="shared" si="50"/>
        <v>Bancada Banheiro</v>
      </c>
      <c r="P414" s="54" t="s">
        <v>2451</v>
      </c>
      <c r="Q414" s="54" t="s">
        <v>2452</v>
      </c>
      <c r="R414" s="54" t="s">
        <v>6399</v>
      </c>
      <c r="S414" s="54" t="s">
        <v>692</v>
      </c>
      <c r="T414" s="55" t="str">
        <f t="shared" si="49"/>
        <v>Bancadas</v>
      </c>
      <c r="U414" s="55" t="str">
        <f t="shared" si="49"/>
        <v>Bancadas Apoio</v>
      </c>
      <c r="V414" s="55" t="str">
        <f t="shared" si="49"/>
        <v>Ban Residenciais</v>
      </c>
      <c r="W414" s="54" t="s">
        <v>7259</v>
      </c>
      <c r="X414" s="84" t="str">
        <f t="shared" si="51"/>
        <v>Key-COD-CT-414</v>
      </c>
      <c r="Y414" s="84" t="s">
        <v>5994</v>
      </c>
      <c r="Z414" s="84" t="s">
        <v>692</v>
      </c>
      <c r="AA414" s="84" t="s">
        <v>5705</v>
      </c>
      <c r="AB414" s="84" t="s">
        <v>692</v>
      </c>
      <c r="AC414" s="84" t="s">
        <v>692</v>
      </c>
      <c r="AD414" s="54" t="s">
        <v>692</v>
      </c>
    </row>
    <row r="415" spans="1:30" ht="6.75" customHeight="1" x14ac:dyDescent="0.25">
      <c r="A415" s="85">
        <v>415</v>
      </c>
      <c r="B415" s="59" t="s">
        <v>5419</v>
      </c>
      <c r="C415" s="60" t="s">
        <v>2447</v>
      </c>
      <c r="D415" s="59" t="s">
        <v>2448</v>
      </c>
      <c r="E415" s="61" t="s">
        <v>2449</v>
      </c>
      <c r="F415" s="61" t="s">
        <v>2453</v>
      </c>
      <c r="G415" s="81" t="s">
        <v>692</v>
      </c>
      <c r="H415" s="81" t="s">
        <v>692</v>
      </c>
      <c r="I415" s="81" t="s">
        <v>692</v>
      </c>
      <c r="J415" s="81" t="s">
        <v>692</v>
      </c>
      <c r="K415" s="81" t="s">
        <v>692</v>
      </c>
      <c r="L415" s="53" t="str">
        <f t="shared" si="52"/>
        <v>Bancadas</v>
      </c>
      <c r="M415" s="53" t="str">
        <f t="shared" si="52"/>
        <v>Bancadas.Apoio</v>
      </c>
      <c r="N415" s="53" t="str">
        <f t="shared" si="50"/>
        <v>Ban Residenciais</v>
      </c>
      <c r="O415" s="53" t="str">
        <f t="shared" si="50"/>
        <v>Bancada Cozinha</v>
      </c>
      <c r="P415" s="54" t="s">
        <v>2454</v>
      </c>
      <c r="Q415" s="54" t="s">
        <v>2455</v>
      </c>
      <c r="R415" s="54" t="s">
        <v>6400</v>
      </c>
      <c r="S415" s="54" t="s">
        <v>692</v>
      </c>
      <c r="T415" s="55" t="str">
        <f t="shared" ref="T415:V478" si="53">SUBSTITUTE(C415, ".", " ")</f>
        <v>Bancadas</v>
      </c>
      <c r="U415" s="55" t="str">
        <f t="shared" si="53"/>
        <v>Bancadas Apoio</v>
      </c>
      <c r="V415" s="55" t="str">
        <f t="shared" si="53"/>
        <v>Ban Residenciais</v>
      </c>
      <c r="W415" s="54" t="s">
        <v>7259</v>
      </c>
      <c r="X415" s="84" t="str">
        <f t="shared" si="51"/>
        <v>Key-COD-CT-415</v>
      </c>
      <c r="Y415" s="84" t="s">
        <v>5994</v>
      </c>
      <c r="Z415" s="84" t="s">
        <v>692</v>
      </c>
      <c r="AA415" s="84" t="s">
        <v>5705</v>
      </c>
      <c r="AB415" s="84" t="s">
        <v>692</v>
      </c>
      <c r="AC415" s="84" t="s">
        <v>692</v>
      </c>
      <c r="AD415" s="54" t="s">
        <v>692</v>
      </c>
    </row>
    <row r="416" spans="1:30" ht="6.75" customHeight="1" x14ac:dyDescent="0.25">
      <c r="A416" s="85">
        <v>416</v>
      </c>
      <c r="B416" s="59" t="s">
        <v>5419</v>
      </c>
      <c r="C416" s="60" t="s">
        <v>2447</v>
      </c>
      <c r="D416" s="59" t="s">
        <v>2448</v>
      </c>
      <c r="E416" s="61" t="s">
        <v>2449</v>
      </c>
      <c r="F416" s="61" t="s">
        <v>2456</v>
      </c>
      <c r="G416" s="81" t="s">
        <v>692</v>
      </c>
      <c r="H416" s="81" t="s">
        <v>692</v>
      </c>
      <c r="I416" s="81" t="s">
        <v>692</v>
      </c>
      <c r="J416" s="81" t="s">
        <v>692</v>
      </c>
      <c r="K416" s="81" t="s">
        <v>692</v>
      </c>
      <c r="L416" s="53" t="str">
        <f t="shared" si="52"/>
        <v>Bancadas</v>
      </c>
      <c r="M416" s="53" t="str">
        <f t="shared" si="52"/>
        <v>Bancadas.Apoio</v>
      </c>
      <c r="N416" s="53" t="str">
        <f t="shared" si="50"/>
        <v>Ban Residenciais</v>
      </c>
      <c r="O416" s="53" t="str">
        <f t="shared" si="50"/>
        <v>Bancada Bar</v>
      </c>
      <c r="P416" s="54" t="s">
        <v>2457</v>
      </c>
      <c r="Q416" s="54" t="s">
        <v>2458</v>
      </c>
      <c r="R416" s="54" t="s">
        <v>6401</v>
      </c>
      <c r="S416" s="54" t="s">
        <v>692</v>
      </c>
      <c r="T416" s="55" t="str">
        <f t="shared" si="53"/>
        <v>Bancadas</v>
      </c>
      <c r="U416" s="55" t="str">
        <f t="shared" si="53"/>
        <v>Bancadas Apoio</v>
      </c>
      <c r="V416" s="55" t="str">
        <f t="shared" si="53"/>
        <v>Ban Residenciais</v>
      </c>
      <c r="W416" s="54" t="s">
        <v>7259</v>
      </c>
      <c r="X416" s="84" t="str">
        <f t="shared" si="51"/>
        <v>Key-COD-CT-416</v>
      </c>
      <c r="Y416" s="84" t="s">
        <v>5994</v>
      </c>
      <c r="Z416" s="84" t="s">
        <v>692</v>
      </c>
      <c r="AA416" s="84" t="s">
        <v>5705</v>
      </c>
      <c r="AB416" s="84" t="s">
        <v>692</v>
      </c>
      <c r="AC416" s="84" t="s">
        <v>692</v>
      </c>
      <c r="AD416" s="54" t="s">
        <v>692</v>
      </c>
    </row>
    <row r="417" spans="1:30" ht="6.75" customHeight="1" x14ac:dyDescent="0.25">
      <c r="A417" s="85">
        <v>417</v>
      </c>
      <c r="B417" s="59" t="s">
        <v>5419</v>
      </c>
      <c r="C417" s="60" t="s">
        <v>2447</v>
      </c>
      <c r="D417" s="59" t="s">
        <v>2448</v>
      </c>
      <c r="E417" s="61" t="s">
        <v>2459</v>
      </c>
      <c r="F417" s="61" t="s">
        <v>2460</v>
      </c>
      <c r="G417" s="81" t="s">
        <v>692</v>
      </c>
      <c r="H417" s="81" t="s">
        <v>692</v>
      </c>
      <c r="I417" s="81" t="s">
        <v>692</v>
      </c>
      <c r="J417" s="81" t="s">
        <v>692</v>
      </c>
      <c r="K417" s="81" t="s">
        <v>692</v>
      </c>
      <c r="L417" s="53" t="str">
        <f t="shared" si="52"/>
        <v>Bancadas</v>
      </c>
      <c r="M417" s="53" t="str">
        <f t="shared" si="52"/>
        <v>Bancadas.Apoio</v>
      </c>
      <c r="N417" s="53" t="str">
        <f t="shared" si="50"/>
        <v>Ban Laboratoriais</v>
      </c>
      <c r="O417" s="53" t="str">
        <f t="shared" si="50"/>
        <v>Bancada Laboratório</v>
      </c>
      <c r="P417" s="54" t="s">
        <v>2461</v>
      </c>
      <c r="Q417" s="54" t="s">
        <v>2462</v>
      </c>
      <c r="R417" s="54" t="s">
        <v>6402</v>
      </c>
      <c r="S417" s="54" t="s">
        <v>692</v>
      </c>
      <c r="T417" s="55" t="str">
        <f t="shared" si="53"/>
        <v>Bancadas</v>
      </c>
      <c r="U417" s="55" t="str">
        <f t="shared" si="53"/>
        <v>Bancadas Apoio</v>
      </c>
      <c r="V417" s="55" t="str">
        <f t="shared" si="53"/>
        <v>Ban Laboratoriais</v>
      </c>
      <c r="W417" s="54" t="s">
        <v>7259</v>
      </c>
      <c r="X417" s="84" t="str">
        <f t="shared" si="51"/>
        <v>Key-COD-CT-417</v>
      </c>
      <c r="Y417" s="84" t="s">
        <v>5994</v>
      </c>
      <c r="Z417" s="84" t="s">
        <v>692</v>
      </c>
      <c r="AA417" s="84" t="s">
        <v>5705</v>
      </c>
      <c r="AB417" s="84" t="s">
        <v>692</v>
      </c>
      <c r="AC417" s="84" t="s">
        <v>692</v>
      </c>
      <c r="AD417" s="54" t="s">
        <v>692</v>
      </c>
    </row>
    <row r="418" spans="1:30" ht="6.75" customHeight="1" x14ac:dyDescent="0.25">
      <c r="A418" s="85">
        <v>418</v>
      </c>
      <c r="B418" s="59" t="s">
        <v>5419</v>
      </c>
      <c r="C418" s="60" t="s">
        <v>2447</v>
      </c>
      <c r="D418" s="59" t="s">
        <v>2448</v>
      </c>
      <c r="E418" s="61" t="s">
        <v>2459</v>
      </c>
      <c r="F418" s="61" t="s">
        <v>2463</v>
      </c>
      <c r="G418" s="81" t="s">
        <v>692</v>
      </c>
      <c r="H418" s="81" t="s">
        <v>692</v>
      </c>
      <c r="I418" s="81" t="s">
        <v>692</v>
      </c>
      <c r="J418" s="81" t="s">
        <v>692</v>
      </c>
      <c r="K418" s="81" t="s">
        <v>692</v>
      </c>
      <c r="L418" s="53" t="str">
        <f t="shared" si="52"/>
        <v>Bancadas</v>
      </c>
      <c r="M418" s="53" t="str">
        <f t="shared" si="52"/>
        <v>Bancadas.Apoio</v>
      </c>
      <c r="N418" s="53" t="str">
        <f t="shared" si="50"/>
        <v>Ban Laboratoriais</v>
      </c>
      <c r="O418" s="53" t="str">
        <f t="shared" si="50"/>
        <v>Bancada Química</v>
      </c>
      <c r="P418" s="54" t="s">
        <v>2464</v>
      </c>
      <c r="Q418" s="54" t="s">
        <v>2465</v>
      </c>
      <c r="R418" s="54" t="s">
        <v>6403</v>
      </c>
      <c r="S418" s="54" t="s">
        <v>692</v>
      </c>
      <c r="T418" s="55" t="str">
        <f t="shared" si="53"/>
        <v>Bancadas</v>
      </c>
      <c r="U418" s="55" t="str">
        <f t="shared" si="53"/>
        <v>Bancadas Apoio</v>
      </c>
      <c r="V418" s="55" t="str">
        <f t="shared" si="53"/>
        <v>Ban Laboratoriais</v>
      </c>
      <c r="W418" s="54" t="s">
        <v>7259</v>
      </c>
      <c r="X418" s="84" t="str">
        <f t="shared" si="51"/>
        <v>Key-COD-CT-418</v>
      </c>
      <c r="Y418" s="84" t="s">
        <v>5994</v>
      </c>
      <c r="Z418" s="84" t="s">
        <v>692</v>
      </c>
      <c r="AA418" s="84" t="s">
        <v>5705</v>
      </c>
      <c r="AB418" s="84" t="s">
        <v>692</v>
      </c>
      <c r="AC418" s="84" t="s">
        <v>692</v>
      </c>
      <c r="AD418" s="54" t="s">
        <v>692</v>
      </c>
    </row>
    <row r="419" spans="1:30" ht="6.75" customHeight="1" x14ac:dyDescent="0.25">
      <c r="A419" s="85">
        <v>419</v>
      </c>
      <c r="B419" s="59" t="s">
        <v>5419</v>
      </c>
      <c r="C419" s="60" t="s">
        <v>2447</v>
      </c>
      <c r="D419" s="59" t="s">
        <v>2448</v>
      </c>
      <c r="E419" s="61" t="s">
        <v>2459</v>
      </c>
      <c r="F419" s="61" t="s">
        <v>2466</v>
      </c>
      <c r="G419" s="81" t="s">
        <v>692</v>
      </c>
      <c r="H419" s="81" t="s">
        <v>692</v>
      </c>
      <c r="I419" s="81" t="s">
        <v>692</v>
      </c>
      <c r="J419" s="81" t="s">
        <v>692</v>
      </c>
      <c r="K419" s="81" t="s">
        <v>692</v>
      </c>
      <c r="L419" s="53" t="str">
        <f t="shared" si="52"/>
        <v>Bancadas</v>
      </c>
      <c r="M419" s="53" t="str">
        <f t="shared" si="52"/>
        <v>Bancadas.Apoio</v>
      </c>
      <c r="N419" s="53" t="str">
        <f t="shared" si="50"/>
        <v>Ban Laboratoriais</v>
      </c>
      <c r="O419" s="53" t="str">
        <f t="shared" si="50"/>
        <v>Bancada Biológica</v>
      </c>
      <c r="P419" s="54" t="s">
        <v>2467</v>
      </c>
      <c r="Q419" s="54" t="s">
        <v>2468</v>
      </c>
      <c r="R419" s="54" t="s">
        <v>6404</v>
      </c>
      <c r="S419" s="54" t="s">
        <v>692</v>
      </c>
      <c r="T419" s="55" t="str">
        <f t="shared" si="53"/>
        <v>Bancadas</v>
      </c>
      <c r="U419" s="55" t="str">
        <f t="shared" si="53"/>
        <v>Bancadas Apoio</v>
      </c>
      <c r="V419" s="55" t="str">
        <f t="shared" si="53"/>
        <v>Ban Laboratoriais</v>
      </c>
      <c r="W419" s="54" t="s">
        <v>7259</v>
      </c>
      <c r="X419" s="84" t="str">
        <f t="shared" si="51"/>
        <v>Key-COD-CT-419</v>
      </c>
      <c r="Y419" s="84" t="s">
        <v>5994</v>
      </c>
      <c r="Z419" s="84" t="s">
        <v>692</v>
      </c>
      <c r="AA419" s="84" t="s">
        <v>5705</v>
      </c>
      <c r="AB419" s="84" t="s">
        <v>692</v>
      </c>
      <c r="AC419" s="84" t="s">
        <v>692</v>
      </c>
      <c r="AD419" s="54" t="s">
        <v>692</v>
      </c>
    </row>
    <row r="420" spans="1:30" ht="6.75" customHeight="1" x14ac:dyDescent="0.25">
      <c r="A420" s="85">
        <v>420</v>
      </c>
      <c r="B420" s="59" t="s">
        <v>5419</v>
      </c>
      <c r="C420" s="60" t="s">
        <v>791</v>
      </c>
      <c r="D420" s="59" t="s">
        <v>2469</v>
      </c>
      <c r="E420" s="59" t="s">
        <v>2470</v>
      </c>
      <c r="F420" s="61" t="s">
        <v>2471</v>
      </c>
      <c r="G420" s="81" t="s">
        <v>692</v>
      </c>
      <c r="H420" s="81" t="s">
        <v>2472</v>
      </c>
      <c r="I420" s="81" t="s">
        <v>2473</v>
      </c>
      <c r="J420" s="81" t="s">
        <v>692</v>
      </c>
      <c r="K420" s="81" t="s">
        <v>692</v>
      </c>
      <c r="L420" s="53" t="str">
        <f t="shared" si="52"/>
        <v>Equipamentos</v>
      </c>
      <c r="M420" s="53" t="str">
        <f t="shared" si="52"/>
        <v>Eq.Sanitários</v>
      </c>
      <c r="N420" s="53" t="str">
        <f t="shared" si="50"/>
        <v>De Banheiros</v>
      </c>
      <c r="O420" s="53" t="str">
        <f t="shared" si="50"/>
        <v>Peça Sanitária</v>
      </c>
      <c r="P420" s="54" t="s">
        <v>2474</v>
      </c>
      <c r="Q420" s="54" t="s">
        <v>2475</v>
      </c>
      <c r="R420" s="54" t="s">
        <v>6405</v>
      </c>
      <c r="S420" s="54" t="s">
        <v>692</v>
      </c>
      <c r="T420" s="55" t="str">
        <f t="shared" si="53"/>
        <v>Equipamentos</v>
      </c>
      <c r="U420" s="55" t="str">
        <f t="shared" si="53"/>
        <v>Eq Sanitários</v>
      </c>
      <c r="V420" s="55" t="str">
        <f t="shared" si="53"/>
        <v>De Banheiros</v>
      </c>
      <c r="W420" s="54" t="s">
        <v>7259</v>
      </c>
      <c r="X420" s="84" t="str">
        <f t="shared" si="51"/>
        <v>Key-COD-CT-420</v>
      </c>
      <c r="Y420" s="84" t="s">
        <v>5994</v>
      </c>
      <c r="Z420" s="84" t="s">
        <v>692</v>
      </c>
      <c r="AA420" s="84" t="s">
        <v>5705</v>
      </c>
      <c r="AB420" s="84" t="s">
        <v>692</v>
      </c>
      <c r="AC420" s="84" t="s">
        <v>692</v>
      </c>
      <c r="AD420" s="54" t="s">
        <v>692</v>
      </c>
    </row>
    <row r="421" spans="1:30" ht="6.75" customHeight="1" x14ac:dyDescent="0.25">
      <c r="A421" s="85">
        <v>421</v>
      </c>
      <c r="B421" s="59" t="s">
        <v>5419</v>
      </c>
      <c r="C421" s="60" t="s">
        <v>791</v>
      </c>
      <c r="D421" s="59" t="s">
        <v>2469</v>
      </c>
      <c r="E421" s="59" t="s">
        <v>2470</v>
      </c>
      <c r="F421" s="61" t="s">
        <v>2476</v>
      </c>
      <c r="G421" s="81" t="s">
        <v>692</v>
      </c>
      <c r="H421" s="81" t="s">
        <v>692</v>
      </c>
      <c r="I421" s="81" t="s">
        <v>692</v>
      </c>
      <c r="J421" s="81" t="s">
        <v>692</v>
      </c>
      <c r="K421" s="81" t="s">
        <v>692</v>
      </c>
      <c r="L421" s="53" t="str">
        <f t="shared" si="52"/>
        <v>Equipamentos</v>
      </c>
      <c r="M421" s="53" t="str">
        <f t="shared" si="52"/>
        <v>Eq.Sanitários</v>
      </c>
      <c r="N421" s="53" t="str">
        <f t="shared" si="50"/>
        <v>De Banheiros</v>
      </c>
      <c r="O421" s="53" t="str">
        <f t="shared" si="50"/>
        <v>Banheira</v>
      </c>
      <c r="P421" s="54" t="s">
        <v>2477</v>
      </c>
      <c r="Q421" s="54" t="s">
        <v>2478</v>
      </c>
      <c r="R421" s="54" t="s">
        <v>6406</v>
      </c>
      <c r="S421" s="54" t="s">
        <v>692</v>
      </c>
      <c r="T421" s="55" t="str">
        <f t="shared" si="53"/>
        <v>Equipamentos</v>
      </c>
      <c r="U421" s="55" t="str">
        <f t="shared" si="53"/>
        <v>Eq Sanitários</v>
      </c>
      <c r="V421" s="55" t="str">
        <f t="shared" si="53"/>
        <v>De Banheiros</v>
      </c>
      <c r="W421" s="54" t="s">
        <v>7259</v>
      </c>
      <c r="X421" s="84" t="str">
        <f t="shared" si="51"/>
        <v>Key-COD-CT-421</v>
      </c>
      <c r="Y421" s="84" t="s">
        <v>5994</v>
      </c>
      <c r="Z421" s="84" t="s">
        <v>692</v>
      </c>
      <c r="AA421" s="84" t="s">
        <v>5706</v>
      </c>
      <c r="AB421" s="84" t="s">
        <v>692</v>
      </c>
      <c r="AC421" s="84" t="s">
        <v>692</v>
      </c>
      <c r="AD421" s="54" t="s">
        <v>692</v>
      </c>
    </row>
    <row r="422" spans="1:30" ht="6.75" customHeight="1" x14ac:dyDescent="0.25">
      <c r="A422" s="85">
        <v>422</v>
      </c>
      <c r="B422" s="59" t="s">
        <v>5419</v>
      </c>
      <c r="C422" s="60" t="s">
        <v>791</v>
      </c>
      <c r="D422" s="59" t="s">
        <v>2469</v>
      </c>
      <c r="E422" s="59" t="s">
        <v>2470</v>
      </c>
      <c r="F422" s="61" t="s">
        <v>2479</v>
      </c>
      <c r="G422" s="81" t="s">
        <v>692</v>
      </c>
      <c r="H422" s="81" t="s">
        <v>692</v>
      </c>
      <c r="I422" s="81" t="s">
        <v>692</v>
      </c>
      <c r="J422" s="81" t="s">
        <v>692</v>
      </c>
      <c r="K422" s="81" t="s">
        <v>692</v>
      </c>
      <c r="L422" s="53" t="str">
        <f t="shared" si="52"/>
        <v>Equipamentos</v>
      </c>
      <c r="M422" s="53" t="str">
        <f t="shared" si="52"/>
        <v>Eq.Sanitários</v>
      </c>
      <c r="N422" s="53" t="str">
        <f t="shared" si="50"/>
        <v>De Banheiros</v>
      </c>
      <c r="O422" s="53" t="str">
        <f t="shared" si="50"/>
        <v>Bebedouro</v>
      </c>
      <c r="P422" s="54" t="s">
        <v>2480</v>
      </c>
      <c r="Q422" s="54" t="s">
        <v>2481</v>
      </c>
      <c r="R422" s="54" t="s">
        <v>6407</v>
      </c>
      <c r="S422" s="54" t="s">
        <v>692</v>
      </c>
      <c r="T422" s="55" t="str">
        <f t="shared" si="53"/>
        <v>Equipamentos</v>
      </c>
      <c r="U422" s="55" t="str">
        <f t="shared" si="53"/>
        <v>Eq Sanitários</v>
      </c>
      <c r="V422" s="55" t="str">
        <f t="shared" si="53"/>
        <v>De Banheiros</v>
      </c>
      <c r="W422" s="54" t="s">
        <v>7259</v>
      </c>
      <c r="X422" s="84" t="str">
        <f t="shared" si="51"/>
        <v>Key-COD-CT-422</v>
      </c>
      <c r="Y422" s="84" t="s">
        <v>5994</v>
      </c>
      <c r="Z422" s="84" t="s">
        <v>692</v>
      </c>
      <c r="AA422" s="84" t="s">
        <v>5707</v>
      </c>
      <c r="AB422" s="84" t="s">
        <v>692</v>
      </c>
      <c r="AC422" s="84" t="s">
        <v>692</v>
      </c>
      <c r="AD422" s="54" t="s">
        <v>692</v>
      </c>
    </row>
    <row r="423" spans="1:30" ht="6.75" customHeight="1" x14ac:dyDescent="0.25">
      <c r="A423" s="85">
        <v>423</v>
      </c>
      <c r="B423" s="59" t="s">
        <v>5419</v>
      </c>
      <c r="C423" s="60" t="s">
        <v>791</v>
      </c>
      <c r="D423" s="59" t="s">
        <v>2469</v>
      </c>
      <c r="E423" s="59" t="s">
        <v>2470</v>
      </c>
      <c r="F423" s="61" t="s">
        <v>4</v>
      </c>
      <c r="G423" s="81" t="s">
        <v>692</v>
      </c>
      <c r="H423" s="81" t="s">
        <v>692</v>
      </c>
      <c r="I423" s="81" t="s">
        <v>692</v>
      </c>
      <c r="J423" s="81" t="s">
        <v>692</v>
      </c>
      <c r="K423" s="81" t="s">
        <v>692</v>
      </c>
      <c r="L423" s="53" t="str">
        <f t="shared" si="52"/>
        <v>Equipamentos</v>
      </c>
      <c r="M423" s="53" t="str">
        <f t="shared" si="52"/>
        <v>Eq.Sanitários</v>
      </c>
      <c r="N423" s="53" t="str">
        <f t="shared" si="50"/>
        <v>De Banheiros</v>
      </c>
      <c r="O423" s="53" t="str">
        <f t="shared" si="50"/>
        <v>Bidet</v>
      </c>
      <c r="P423" s="54" t="s">
        <v>2482</v>
      </c>
      <c r="Q423" s="54" t="s">
        <v>2483</v>
      </c>
      <c r="R423" s="54" t="s">
        <v>6408</v>
      </c>
      <c r="S423" s="54" t="s">
        <v>692</v>
      </c>
      <c r="T423" s="55" t="str">
        <f t="shared" si="53"/>
        <v>Equipamentos</v>
      </c>
      <c r="U423" s="55" t="str">
        <f t="shared" si="53"/>
        <v>Eq Sanitários</v>
      </c>
      <c r="V423" s="55" t="str">
        <f t="shared" si="53"/>
        <v>De Banheiros</v>
      </c>
      <c r="W423" s="54" t="s">
        <v>7259</v>
      </c>
      <c r="X423" s="84" t="str">
        <f t="shared" si="51"/>
        <v>Key-COD-CT-423</v>
      </c>
      <c r="Y423" s="84" t="s">
        <v>5994</v>
      </c>
      <c r="Z423" s="84" t="s">
        <v>692</v>
      </c>
      <c r="AA423" s="84" t="s">
        <v>5708</v>
      </c>
      <c r="AB423" s="84" t="s">
        <v>692</v>
      </c>
      <c r="AC423" s="84" t="s">
        <v>692</v>
      </c>
      <c r="AD423" s="54" t="s">
        <v>692</v>
      </c>
    </row>
    <row r="424" spans="1:30" ht="6.75" customHeight="1" x14ac:dyDescent="0.25">
      <c r="A424" s="85">
        <v>424</v>
      </c>
      <c r="B424" s="59" t="s">
        <v>5419</v>
      </c>
      <c r="C424" s="60" t="s">
        <v>791</v>
      </c>
      <c r="D424" s="59" t="s">
        <v>2469</v>
      </c>
      <c r="E424" s="59" t="s">
        <v>2470</v>
      </c>
      <c r="F424" s="61" t="s">
        <v>94</v>
      </c>
      <c r="G424" s="81" t="s">
        <v>692</v>
      </c>
      <c r="H424" s="81" t="s">
        <v>692</v>
      </c>
      <c r="I424" s="81" t="s">
        <v>692</v>
      </c>
      <c r="J424" s="81" t="s">
        <v>692</v>
      </c>
      <c r="K424" s="81" t="s">
        <v>692</v>
      </c>
      <c r="L424" s="53" t="str">
        <f t="shared" si="52"/>
        <v>Equipamentos</v>
      </c>
      <c r="M424" s="53" t="str">
        <f t="shared" si="52"/>
        <v>Eq.Sanitários</v>
      </c>
      <c r="N424" s="53" t="str">
        <f t="shared" si="50"/>
        <v>De Banheiros</v>
      </c>
      <c r="O424" s="53" t="str">
        <f t="shared" si="50"/>
        <v>Chuveiro</v>
      </c>
      <c r="P424" s="54" t="s">
        <v>2484</v>
      </c>
      <c r="Q424" s="54" t="s">
        <v>2485</v>
      </c>
      <c r="R424" s="54" t="s">
        <v>6409</v>
      </c>
      <c r="S424" s="54" t="s">
        <v>692</v>
      </c>
      <c r="T424" s="55" t="str">
        <f t="shared" si="53"/>
        <v>Equipamentos</v>
      </c>
      <c r="U424" s="55" t="str">
        <f t="shared" si="53"/>
        <v>Eq Sanitários</v>
      </c>
      <c r="V424" s="55" t="str">
        <f t="shared" si="53"/>
        <v>De Banheiros</v>
      </c>
      <c r="W424" s="54" t="s">
        <v>7259</v>
      </c>
      <c r="X424" s="84" t="str">
        <f t="shared" si="51"/>
        <v>Key-COD-CT-424</v>
      </c>
      <c r="Y424" s="84" t="s">
        <v>5994</v>
      </c>
      <c r="Z424" s="84" t="s">
        <v>692</v>
      </c>
      <c r="AA424" s="84" t="s">
        <v>5709</v>
      </c>
      <c r="AB424" s="84" t="s">
        <v>692</v>
      </c>
      <c r="AC424" s="84" t="s">
        <v>692</v>
      </c>
      <c r="AD424" s="54" t="s">
        <v>692</v>
      </c>
    </row>
    <row r="425" spans="1:30" ht="6.75" customHeight="1" x14ac:dyDescent="0.25">
      <c r="A425" s="85">
        <v>425</v>
      </c>
      <c r="B425" s="59" t="s">
        <v>5419</v>
      </c>
      <c r="C425" s="60" t="s">
        <v>791</v>
      </c>
      <c r="D425" s="59" t="s">
        <v>2469</v>
      </c>
      <c r="E425" s="59" t="s">
        <v>2470</v>
      </c>
      <c r="F425" s="61" t="s">
        <v>5</v>
      </c>
      <c r="G425" s="81" t="s">
        <v>692</v>
      </c>
      <c r="H425" s="81" t="s">
        <v>692</v>
      </c>
      <c r="I425" s="81" t="s">
        <v>692</v>
      </c>
      <c r="J425" s="81" t="s">
        <v>692</v>
      </c>
      <c r="K425" s="81" t="s">
        <v>692</v>
      </c>
      <c r="L425" s="53" t="str">
        <f t="shared" si="52"/>
        <v>Equipamentos</v>
      </c>
      <c r="M425" s="53" t="str">
        <f t="shared" si="52"/>
        <v>Eq.Sanitários</v>
      </c>
      <c r="N425" s="53" t="str">
        <f t="shared" si="50"/>
        <v>De Banheiros</v>
      </c>
      <c r="O425" s="53" t="str">
        <f t="shared" si="50"/>
        <v>Lavatório</v>
      </c>
      <c r="P425" s="54" t="s">
        <v>2486</v>
      </c>
      <c r="Q425" s="54" t="s">
        <v>2487</v>
      </c>
      <c r="R425" s="54" t="s">
        <v>6410</v>
      </c>
      <c r="S425" s="54" t="s">
        <v>692</v>
      </c>
      <c r="T425" s="55" t="str">
        <f t="shared" si="53"/>
        <v>Equipamentos</v>
      </c>
      <c r="U425" s="55" t="str">
        <f t="shared" si="53"/>
        <v>Eq Sanitários</v>
      </c>
      <c r="V425" s="55" t="str">
        <f t="shared" si="53"/>
        <v>De Banheiros</v>
      </c>
      <c r="W425" s="54" t="s">
        <v>7259</v>
      </c>
      <c r="X425" s="84" t="str">
        <f t="shared" si="51"/>
        <v>Key-COD-CT-425</v>
      </c>
      <c r="Y425" s="84" t="s">
        <v>5994</v>
      </c>
      <c r="Z425" s="84" t="s">
        <v>692</v>
      </c>
      <c r="AA425" s="84" t="s">
        <v>5710</v>
      </c>
      <c r="AB425" s="84" t="s">
        <v>692</v>
      </c>
      <c r="AC425" s="84" t="s">
        <v>692</v>
      </c>
      <c r="AD425" s="54" t="s">
        <v>692</v>
      </c>
    </row>
    <row r="426" spans="1:30" ht="6.75" customHeight="1" x14ac:dyDescent="0.25">
      <c r="A426" s="85">
        <v>426</v>
      </c>
      <c r="B426" s="59" t="s">
        <v>5419</v>
      </c>
      <c r="C426" s="60" t="s">
        <v>791</v>
      </c>
      <c r="D426" s="59" t="s">
        <v>2469</v>
      </c>
      <c r="E426" s="59" t="s">
        <v>2470</v>
      </c>
      <c r="F426" s="61" t="s">
        <v>3</v>
      </c>
      <c r="G426" s="81" t="s">
        <v>692</v>
      </c>
      <c r="H426" s="81" t="s">
        <v>692</v>
      </c>
      <c r="I426" s="81" t="s">
        <v>692</v>
      </c>
      <c r="J426" s="81" t="s">
        <v>692</v>
      </c>
      <c r="K426" s="81" t="s">
        <v>2488</v>
      </c>
      <c r="L426" s="53" t="str">
        <f t="shared" si="52"/>
        <v>Equipamentos</v>
      </c>
      <c r="M426" s="53" t="str">
        <f t="shared" si="52"/>
        <v>Eq.Sanitários</v>
      </c>
      <c r="N426" s="53" t="str">
        <f t="shared" si="50"/>
        <v>De Banheiros</v>
      </c>
      <c r="O426" s="53" t="str">
        <f t="shared" si="50"/>
        <v>Mictório</v>
      </c>
      <c r="P426" s="54" t="s">
        <v>2489</v>
      </c>
      <c r="Q426" s="54" t="s">
        <v>2490</v>
      </c>
      <c r="R426" s="54" t="s">
        <v>6411</v>
      </c>
      <c r="S426" s="54" t="s">
        <v>692</v>
      </c>
      <c r="T426" s="55" t="str">
        <f t="shared" si="53"/>
        <v>Equipamentos</v>
      </c>
      <c r="U426" s="55" t="str">
        <f t="shared" si="53"/>
        <v>Eq Sanitários</v>
      </c>
      <c r="V426" s="55" t="str">
        <f t="shared" si="53"/>
        <v>De Banheiros</v>
      </c>
      <c r="W426" s="54" t="s">
        <v>7259</v>
      </c>
      <c r="X426" s="84" t="str">
        <f t="shared" si="51"/>
        <v>Key-COD-CT-426</v>
      </c>
      <c r="Y426" s="84" t="s">
        <v>5994</v>
      </c>
      <c r="Z426" s="84" t="s">
        <v>692</v>
      </c>
      <c r="AA426" s="84" t="s">
        <v>5711</v>
      </c>
      <c r="AB426" s="84" t="s">
        <v>692</v>
      </c>
      <c r="AC426" s="84" t="s">
        <v>692</v>
      </c>
      <c r="AD426" s="54" t="s">
        <v>692</v>
      </c>
    </row>
    <row r="427" spans="1:30" ht="6.75" customHeight="1" x14ac:dyDescent="0.25">
      <c r="A427" s="85">
        <v>427</v>
      </c>
      <c r="B427" s="59" t="s">
        <v>5419</v>
      </c>
      <c r="C427" s="60" t="s">
        <v>791</v>
      </c>
      <c r="D427" s="59" t="s">
        <v>2469</v>
      </c>
      <c r="E427" s="59" t="s">
        <v>2470</v>
      </c>
      <c r="F427" s="61" t="s">
        <v>2491</v>
      </c>
      <c r="G427" s="81" t="s">
        <v>692</v>
      </c>
      <c r="H427" s="81" t="s">
        <v>692</v>
      </c>
      <c r="I427" s="81" t="s">
        <v>692</v>
      </c>
      <c r="J427" s="81" t="s">
        <v>692</v>
      </c>
      <c r="K427" s="81" t="s">
        <v>692</v>
      </c>
      <c r="L427" s="53" t="str">
        <f t="shared" si="52"/>
        <v>Equipamentos</v>
      </c>
      <c r="M427" s="53" t="str">
        <f t="shared" si="52"/>
        <v>Eq.Sanitários</v>
      </c>
      <c r="N427" s="53" t="str">
        <f t="shared" si="50"/>
        <v>De Banheiros</v>
      </c>
      <c r="O427" s="53" t="str">
        <f t="shared" si="50"/>
        <v>Pia</v>
      </c>
      <c r="P427" s="54" t="s">
        <v>2492</v>
      </c>
      <c r="Q427" s="54" t="s">
        <v>2493</v>
      </c>
      <c r="R427" s="54" t="s">
        <v>6412</v>
      </c>
      <c r="S427" s="54" t="s">
        <v>692</v>
      </c>
      <c r="T427" s="55" t="str">
        <f t="shared" si="53"/>
        <v>Equipamentos</v>
      </c>
      <c r="U427" s="55" t="str">
        <f t="shared" si="53"/>
        <v>Eq Sanitários</v>
      </c>
      <c r="V427" s="55" t="str">
        <f t="shared" si="53"/>
        <v>De Banheiros</v>
      </c>
      <c r="W427" s="54" t="s">
        <v>7259</v>
      </c>
      <c r="X427" s="84" t="str">
        <f t="shared" si="51"/>
        <v>Key-COD-CT-427</v>
      </c>
      <c r="Y427" s="84" t="s">
        <v>5994</v>
      </c>
      <c r="Z427" s="84" t="s">
        <v>692</v>
      </c>
      <c r="AA427" s="84" t="s">
        <v>5712</v>
      </c>
      <c r="AB427" s="84" t="s">
        <v>692</v>
      </c>
      <c r="AC427" s="84" t="s">
        <v>692</v>
      </c>
      <c r="AD427" s="54" t="s">
        <v>692</v>
      </c>
    </row>
    <row r="428" spans="1:30" ht="6.75" customHeight="1" x14ac:dyDescent="0.25">
      <c r="A428" s="85">
        <v>428</v>
      </c>
      <c r="B428" s="59" t="s">
        <v>5419</v>
      </c>
      <c r="C428" s="60" t="s">
        <v>791</v>
      </c>
      <c r="D428" s="59" t="s">
        <v>2469</v>
      </c>
      <c r="E428" s="59" t="s">
        <v>2470</v>
      </c>
      <c r="F428" s="61" t="s">
        <v>2494</v>
      </c>
      <c r="G428" s="81" t="s">
        <v>692</v>
      </c>
      <c r="H428" s="81" t="s">
        <v>692</v>
      </c>
      <c r="I428" s="81" t="s">
        <v>692</v>
      </c>
      <c r="J428" s="81" t="s">
        <v>692</v>
      </c>
      <c r="K428" s="81" t="s">
        <v>692</v>
      </c>
      <c r="L428" s="53" t="str">
        <f t="shared" si="52"/>
        <v>Equipamentos</v>
      </c>
      <c r="M428" s="53" t="str">
        <f t="shared" si="52"/>
        <v>Eq.Sanitários</v>
      </c>
      <c r="N428" s="53" t="str">
        <f t="shared" si="50"/>
        <v>De Banheiros</v>
      </c>
      <c r="O428" s="53" t="str">
        <f t="shared" si="50"/>
        <v>Vaso Sanitário</v>
      </c>
      <c r="P428" s="54" t="s">
        <v>2495</v>
      </c>
      <c r="Q428" s="54" t="s">
        <v>2496</v>
      </c>
      <c r="R428" s="54" t="s">
        <v>6413</v>
      </c>
      <c r="S428" s="54" t="s">
        <v>692</v>
      </c>
      <c r="T428" s="55" t="str">
        <f t="shared" si="53"/>
        <v>Equipamentos</v>
      </c>
      <c r="U428" s="55" t="str">
        <f t="shared" si="53"/>
        <v>Eq Sanitários</v>
      </c>
      <c r="V428" s="55" t="str">
        <f t="shared" si="53"/>
        <v>De Banheiros</v>
      </c>
      <c r="W428" s="54" t="s">
        <v>7259</v>
      </c>
      <c r="X428" s="84" t="str">
        <f t="shared" si="51"/>
        <v>Key-COD-CT-428</v>
      </c>
      <c r="Y428" s="84" t="s">
        <v>5994</v>
      </c>
      <c r="Z428" s="84" t="s">
        <v>692</v>
      </c>
      <c r="AA428" s="84" t="s">
        <v>5713</v>
      </c>
      <c r="AB428" s="84" t="s">
        <v>692</v>
      </c>
      <c r="AC428" s="84" t="s">
        <v>692</v>
      </c>
      <c r="AD428" s="54" t="s">
        <v>692</v>
      </c>
    </row>
    <row r="429" spans="1:30" ht="6.75" customHeight="1" x14ac:dyDescent="0.25">
      <c r="A429" s="85">
        <v>429</v>
      </c>
      <c r="B429" s="59" t="s">
        <v>5419</v>
      </c>
      <c r="C429" s="60" t="s">
        <v>791</v>
      </c>
      <c r="D429" s="59" t="s">
        <v>2469</v>
      </c>
      <c r="E429" s="59" t="s">
        <v>2470</v>
      </c>
      <c r="F429" s="61" t="s">
        <v>2497</v>
      </c>
      <c r="G429" s="81" t="s">
        <v>692</v>
      </c>
      <c r="H429" s="81" t="s">
        <v>692</v>
      </c>
      <c r="I429" s="81" t="s">
        <v>692</v>
      </c>
      <c r="J429" s="81" t="s">
        <v>692</v>
      </c>
      <c r="K429" s="81" t="s">
        <v>692</v>
      </c>
      <c r="L429" s="53" t="str">
        <f t="shared" si="52"/>
        <v>Equipamentos</v>
      </c>
      <c r="M429" s="53" t="str">
        <f t="shared" si="52"/>
        <v>Eq.Sanitários</v>
      </c>
      <c r="N429" s="53" t="str">
        <f t="shared" si="50"/>
        <v>De Banheiros</v>
      </c>
      <c r="O429" s="53" t="str">
        <f t="shared" si="50"/>
        <v>Vaso Sanitário Assento</v>
      </c>
      <c r="P429" s="54" t="s">
        <v>2498</v>
      </c>
      <c r="Q429" s="54" t="s">
        <v>2499</v>
      </c>
      <c r="R429" s="54" t="s">
        <v>6414</v>
      </c>
      <c r="S429" s="54" t="s">
        <v>692</v>
      </c>
      <c r="T429" s="55" t="str">
        <f t="shared" si="53"/>
        <v>Equipamentos</v>
      </c>
      <c r="U429" s="55" t="str">
        <f t="shared" si="53"/>
        <v>Eq Sanitários</v>
      </c>
      <c r="V429" s="55" t="str">
        <f t="shared" si="53"/>
        <v>De Banheiros</v>
      </c>
      <c r="W429" s="54" t="s">
        <v>7259</v>
      </c>
      <c r="X429" s="84" t="str">
        <f t="shared" si="51"/>
        <v>Key-COD-CT-429</v>
      </c>
      <c r="Y429" s="84" t="s">
        <v>5994</v>
      </c>
      <c r="Z429" s="84" t="s">
        <v>692</v>
      </c>
      <c r="AA429" s="84" t="s">
        <v>5714</v>
      </c>
      <c r="AB429" s="84" t="s">
        <v>692</v>
      </c>
      <c r="AC429" s="84" t="s">
        <v>692</v>
      </c>
      <c r="AD429" s="54" t="s">
        <v>692</v>
      </c>
    </row>
    <row r="430" spans="1:30" ht="6.75" customHeight="1" x14ac:dyDescent="0.25">
      <c r="A430" s="85">
        <v>430</v>
      </c>
      <c r="B430" s="59" t="s">
        <v>5419</v>
      </c>
      <c r="C430" s="60" t="s">
        <v>791</v>
      </c>
      <c r="D430" s="59" t="s">
        <v>2469</v>
      </c>
      <c r="E430" s="59" t="s">
        <v>2470</v>
      </c>
      <c r="F430" s="61" t="s">
        <v>2500</v>
      </c>
      <c r="G430" s="81" t="s">
        <v>692</v>
      </c>
      <c r="H430" s="81" t="s">
        <v>692</v>
      </c>
      <c r="I430" s="81" t="s">
        <v>692</v>
      </c>
      <c r="J430" s="81" t="s">
        <v>692</v>
      </c>
      <c r="K430" s="81" t="s">
        <v>692</v>
      </c>
      <c r="L430" s="53" t="str">
        <f t="shared" si="52"/>
        <v>Equipamentos</v>
      </c>
      <c r="M430" s="53" t="str">
        <f t="shared" si="52"/>
        <v>Eq.Sanitários</v>
      </c>
      <c r="N430" s="53" t="str">
        <f t="shared" si="50"/>
        <v>De Banheiros</v>
      </c>
      <c r="O430" s="53" t="str">
        <f t="shared" si="50"/>
        <v>Vaso Sanitário Caixa</v>
      </c>
      <c r="P430" s="54" t="s">
        <v>2501</v>
      </c>
      <c r="Q430" s="54" t="s">
        <v>2502</v>
      </c>
      <c r="R430" s="54" t="s">
        <v>6415</v>
      </c>
      <c r="S430" s="54" t="s">
        <v>692</v>
      </c>
      <c r="T430" s="55" t="str">
        <f t="shared" si="53"/>
        <v>Equipamentos</v>
      </c>
      <c r="U430" s="55" t="str">
        <f t="shared" si="53"/>
        <v>Eq Sanitários</v>
      </c>
      <c r="V430" s="55" t="str">
        <f t="shared" si="53"/>
        <v>De Banheiros</v>
      </c>
      <c r="W430" s="54" t="s">
        <v>7259</v>
      </c>
      <c r="X430" s="84" t="str">
        <f t="shared" si="51"/>
        <v>Key-COD-CT-430</v>
      </c>
      <c r="Y430" s="84" t="s">
        <v>5994</v>
      </c>
      <c r="Z430" s="84" t="s">
        <v>692</v>
      </c>
      <c r="AA430" s="84" t="s">
        <v>5715</v>
      </c>
      <c r="AB430" s="84" t="s">
        <v>692</v>
      </c>
      <c r="AC430" s="84" t="s">
        <v>692</v>
      </c>
      <c r="AD430" s="54" t="s">
        <v>692</v>
      </c>
    </row>
    <row r="431" spans="1:30" ht="6.75" customHeight="1" x14ac:dyDescent="0.25">
      <c r="A431" s="85">
        <v>431</v>
      </c>
      <c r="B431" s="59" t="s">
        <v>5419</v>
      </c>
      <c r="C431" s="60" t="s">
        <v>791</v>
      </c>
      <c r="D431" s="59" t="s">
        <v>2503</v>
      </c>
      <c r="E431" s="59" t="s">
        <v>2504</v>
      </c>
      <c r="F431" s="61" t="s">
        <v>2505</v>
      </c>
      <c r="G431" s="81" t="s">
        <v>692</v>
      </c>
      <c r="H431" s="81" t="s">
        <v>692</v>
      </c>
      <c r="I431" s="81" t="s">
        <v>692</v>
      </c>
      <c r="J431" s="81" t="s">
        <v>692</v>
      </c>
      <c r="K431" s="81" t="s">
        <v>692</v>
      </c>
      <c r="L431" s="53" t="str">
        <f t="shared" si="52"/>
        <v>Equipamentos</v>
      </c>
      <c r="M431" s="53" t="str">
        <f t="shared" si="52"/>
        <v>Eq.Climatização</v>
      </c>
      <c r="N431" s="53" t="str">
        <f t="shared" si="50"/>
        <v>Aquecedores</v>
      </c>
      <c r="O431" s="53" t="str">
        <f t="shared" si="50"/>
        <v>Aquecedor de Ambiente</v>
      </c>
      <c r="P431" s="54" t="s">
        <v>2506</v>
      </c>
      <c r="Q431" s="54" t="s">
        <v>2507</v>
      </c>
      <c r="R431" s="54" t="s">
        <v>6416</v>
      </c>
      <c r="S431" s="54" t="s">
        <v>692</v>
      </c>
      <c r="T431" s="55" t="str">
        <f t="shared" si="53"/>
        <v>Equipamentos</v>
      </c>
      <c r="U431" s="55" t="str">
        <f t="shared" si="53"/>
        <v>Eq Climatização</v>
      </c>
      <c r="V431" s="55" t="str">
        <f t="shared" si="53"/>
        <v>Aquecedores</v>
      </c>
      <c r="W431" s="54" t="s">
        <v>7259</v>
      </c>
      <c r="X431" s="84" t="str">
        <f t="shared" si="51"/>
        <v>Key-COD-CT-431</v>
      </c>
      <c r="Y431" s="84" t="s">
        <v>5459</v>
      </c>
      <c r="Z431" s="84" t="s">
        <v>692</v>
      </c>
      <c r="AA431" s="84" t="s">
        <v>5716</v>
      </c>
      <c r="AB431" s="84" t="s">
        <v>692</v>
      </c>
      <c r="AC431" s="84" t="s">
        <v>692</v>
      </c>
      <c r="AD431" s="54" t="s">
        <v>692</v>
      </c>
    </row>
    <row r="432" spans="1:30" ht="6.75" customHeight="1" x14ac:dyDescent="0.25">
      <c r="A432" s="85">
        <v>432</v>
      </c>
      <c r="B432" s="59" t="s">
        <v>5419</v>
      </c>
      <c r="C432" s="60" t="s">
        <v>791</v>
      </c>
      <c r="D432" s="59" t="s">
        <v>2503</v>
      </c>
      <c r="E432" s="59" t="s">
        <v>2504</v>
      </c>
      <c r="F432" s="61" t="s">
        <v>2508</v>
      </c>
      <c r="G432" s="81" t="s">
        <v>692</v>
      </c>
      <c r="H432" s="81" t="s">
        <v>692</v>
      </c>
      <c r="I432" s="81" t="s">
        <v>692</v>
      </c>
      <c r="J432" s="81" t="s">
        <v>692</v>
      </c>
      <c r="K432" s="81" t="s">
        <v>692</v>
      </c>
      <c r="L432" s="53" t="str">
        <f t="shared" si="52"/>
        <v>Equipamentos</v>
      </c>
      <c r="M432" s="53" t="str">
        <f t="shared" si="52"/>
        <v>Eq.Climatização</v>
      </c>
      <c r="N432" s="53" t="str">
        <f t="shared" si="50"/>
        <v>Aquecedores</v>
      </c>
      <c r="O432" s="53" t="str">
        <f t="shared" si="50"/>
        <v>Aquecedor Convector</v>
      </c>
      <c r="P432" s="54" t="s">
        <v>2509</v>
      </c>
      <c r="Q432" s="54" t="s">
        <v>2510</v>
      </c>
      <c r="R432" s="54" t="s">
        <v>6417</v>
      </c>
      <c r="S432" s="54" t="s">
        <v>692</v>
      </c>
      <c r="T432" s="55" t="str">
        <f t="shared" si="53"/>
        <v>Equipamentos</v>
      </c>
      <c r="U432" s="55" t="str">
        <f t="shared" si="53"/>
        <v>Eq Climatização</v>
      </c>
      <c r="V432" s="55" t="str">
        <f t="shared" si="53"/>
        <v>Aquecedores</v>
      </c>
      <c r="W432" s="54" t="s">
        <v>7259</v>
      </c>
      <c r="X432" s="84" t="str">
        <f t="shared" si="51"/>
        <v>Key-COD-CT-432</v>
      </c>
      <c r="Y432" s="84" t="s">
        <v>5459</v>
      </c>
      <c r="Z432" s="84" t="s">
        <v>692</v>
      </c>
      <c r="AA432" s="84" t="s">
        <v>5717</v>
      </c>
      <c r="AB432" s="84" t="s">
        <v>692</v>
      </c>
      <c r="AC432" s="84" t="s">
        <v>692</v>
      </c>
      <c r="AD432" s="54" t="s">
        <v>692</v>
      </c>
    </row>
    <row r="433" spans="1:30" ht="6.75" customHeight="1" x14ac:dyDescent="0.25">
      <c r="A433" s="85">
        <v>433</v>
      </c>
      <c r="B433" s="59" t="s">
        <v>5419</v>
      </c>
      <c r="C433" s="60" t="s">
        <v>791</v>
      </c>
      <c r="D433" s="59" t="s">
        <v>2503</v>
      </c>
      <c r="E433" s="59" t="s">
        <v>2504</v>
      </c>
      <c r="F433" s="61" t="s">
        <v>2511</v>
      </c>
      <c r="G433" s="81" t="s">
        <v>692</v>
      </c>
      <c r="H433" s="81" t="s">
        <v>692</v>
      </c>
      <c r="I433" s="81" t="s">
        <v>692</v>
      </c>
      <c r="J433" s="81" t="s">
        <v>692</v>
      </c>
      <c r="K433" s="81" t="s">
        <v>692</v>
      </c>
      <c r="L433" s="53" t="str">
        <f t="shared" si="52"/>
        <v>Equipamentos</v>
      </c>
      <c r="M433" s="53" t="str">
        <f t="shared" si="52"/>
        <v>Eq.Climatização</v>
      </c>
      <c r="N433" s="53" t="str">
        <f t="shared" si="50"/>
        <v>Aquecedores</v>
      </c>
      <c r="O433" s="53" t="str">
        <f t="shared" si="50"/>
        <v>Aquecedor Radiação</v>
      </c>
      <c r="P433" s="54" t="s">
        <v>2512</v>
      </c>
      <c r="Q433" s="54" t="s">
        <v>2513</v>
      </c>
      <c r="R433" s="54" t="s">
        <v>6418</v>
      </c>
      <c r="S433" s="54" t="s">
        <v>692</v>
      </c>
      <c r="T433" s="55" t="str">
        <f t="shared" si="53"/>
        <v>Equipamentos</v>
      </c>
      <c r="U433" s="55" t="str">
        <f t="shared" si="53"/>
        <v>Eq Climatização</v>
      </c>
      <c r="V433" s="55" t="str">
        <f t="shared" si="53"/>
        <v>Aquecedores</v>
      </c>
      <c r="W433" s="54" t="s">
        <v>7259</v>
      </c>
      <c r="X433" s="84" t="str">
        <f t="shared" si="51"/>
        <v>Key-COD-CT-433</v>
      </c>
      <c r="Y433" s="84" t="s">
        <v>5459</v>
      </c>
      <c r="Z433" s="84" t="s">
        <v>692</v>
      </c>
      <c r="AA433" s="84" t="s">
        <v>5718</v>
      </c>
      <c r="AB433" s="84" t="s">
        <v>692</v>
      </c>
      <c r="AC433" s="84" t="s">
        <v>692</v>
      </c>
      <c r="AD433" s="54" t="s">
        <v>692</v>
      </c>
    </row>
    <row r="434" spans="1:30" ht="6.75" customHeight="1" x14ac:dyDescent="0.25">
      <c r="A434" s="85">
        <v>434</v>
      </c>
      <c r="B434" s="59" t="s">
        <v>5419</v>
      </c>
      <c r="C434" s="60" t="s">
        <v>791</v>
      </c>
      <c r="D434" s="59" t="s">
        <v>2514</v>
      </c>
      <c r="E434" s="59" t="s">
        <v>2515</v>
      </c>
      <c r="F434" s="61" t="s">
        <v>2516</v>
      </c>
      <c r="G434" s="81" t="s">
        <v>692</v>
      </c>
      <c r="H434" s="81" t="s">
        <v>692</v>
      </c>
      <c r="I434" s="81" t="s">
        <v>692</v>
      </c>
      <c r="J434" s="81" t="s">
        <v>692</v>
      </c>
      <c r="K434" s="81" t="s">
        <v>692</v>
      </c>
      <c r="L434" s="53" t="str">
        <f t="shared" si="52"/>
        <v>Equipamentos</v>
      </c>
      <c r="M434" s="53" t="str">
        <f t="shared" si="52"/>
        <v>Eq.Elétricos</v>
      </c>
      <c r="N434" s="53" t="str">
        <f t="shared" si="50"/>
        <v>Eq Geral</v>
      </c>
      <c r="O434" s="53" t="str">
        <f t="shared" si="50"/>
        <v>Aparelho Elétrico</v>
      </c>
      <c r="P434" s="54" t="s">
        <v>2517</v>
      </c>
      <c r="Q434" s="54" t="s">
        <v>2518</v>
      </c>
      <c r="R434" s="54" t="s">
        <v>6419</v>
      </c>
      <c r="S434" s="54" t="s">
        <v>692</v>
      </c>
      <c r="T434" s="55" t="str">
        <f t="shared" si="53"/>
        <v>Equipamentos</v>
      </c>
      <c r="U434" s="55" t="str">
        <f t="shared" si="53"/>
        <v>Eq Elétricos</v>
      </c>
      <c r="V434" s="55" t="str">
        <f t="shared" si="53"/>
        <v>Eq Geral</v>
      </c>
      <c r="W434" s="54" t="s">
        <v>7259</v>
      </c>
      <c r="X434" s="84" t="str">
        <f t="shared" si="51"/>
        <v>Key-COD-CT-434</v>
      </c>
      <c r="Y434" s="84" t="s">
        <v>5559</v>
      </c>
      <c r="Z434" s="84" t="s">
        <v>692</v>
      </c>
      <c r="AA434" s="84" t="s">
        <v>5719</v>
      </c>
      <c r="AB434" s="84" t="s">
        <v>692</v>
      </c>
      <c r="AC434" s="84" t="s">
        <v>692</v>
      </c>
      <c r="AD434" s="54" t="s">
        <v>692</v>
      </c>
    </row>
    <row r="435" spans="1:30" ht="6.75" customHeight="1" x14ac:dyDescent="0.25">
      <c r="A435" s="85">
        <v>435</v>
      </c>
      <c r="B435" s="59" t="s">
        <v>5419</v>
      </c>
      <c r="C435" s="60" t="s">
        <v>791</v>
      </c>
      <c r="D435" s="59" t="s">
        <v>2514</v>
      </c>
      <c r="E435" s="59" t="s">
        <v>2515</v>
      </c>
      <c r="F435" s="61" t="s">
        <v>2519</v>
      </c>
      <c r="G435" s="81" t="s">
        <v>692</v>
      </c>
      <c r="H435" s="81" t="s">
        <v>692</v>
      </c>
      <c r="I435" s="81" t="s">
        <v>692</v>
      </c>
      <c r="J435" s="81" t="s">
        <v>692</v>
      </c>
      <c r="K435" s="81" t="s">
        <v>692</v>
      </c>
      <c r="L435" s="53" t="str">
        <f t="shared" si="52"/>
        <v>Equipamentos</v>
      </c>
      <c r="M435" s="53" t="str">
        <f t="shared" si="52"/>
        <v>Eq.Elétricos</v>
      </c>
      <c r="N435" s="53" t="str">
        <f t="shared" si="50"/>
        <v>Eq Geral</v>
      </c>
      <c r="O435" s="53" t="str">
        <f t="shared" si="50"/>
        <v>Aquecedor Agua Portátil</v>
      </c>
      <c r="P435" s="54" t="s">
        <v>2520</v>
      </c>
      <c r="Q435" s="54" t="s">
        <v>2521</v>
      </c>
      <c r="R435" s="54" t="s">
        <v>6420</v>
      </c>
      <c r="S435" s="54" t="s">
        <v>692</v>
      </c>
      <c r="T435" s="55" t="str">
        <f t="shared" si="53"/>
        <v>Equipamentos</v>
      </c>
      <c r="U435" s="55" t="str">
        <f t="shared" si="53"/>
        <v>Eq Elétricos</v>
      </c>
      <c r="V435" s="55" t="str">
        <f t="shared" si="53"/>
        <v>Eq Geral</v>
      </c>
      <c r="W435" s="54" t="s">
        <v>7259</v>
      </c>
      <c r="X435" s="84" t="str">
        <f t="shared" si="51"/>
        <v>Key-COD-CT-435</v>
      </c>
      <c r="Y435" s="84" t="s">
        <v>5559</v>
      </c>
      <c r="Z435" s="84" t="s">
        <v>692</v>
      </c>
      <c r="AA435" s="84" t="s">
        <v>5720</v>
      </c>
      <c r="AB435" s="84" t="s">
        <v>692</v>
      </c>
      <c r="AC435" s="84" t="s">
        <v>692</v>
      </c>
      <c r="AD435" s="54" t="s">
        <v>692</v>
      </c>
    </row>
    <row r="436" spans="1:30" ht="6.75" customHeight="1" x14ac:dyDescent="0.25">
      <c r="A436" s="85">
        <v>436</v>
      </c>
      <c r="B436" s="59" t="s">
        <v>5419</v>
      </c>
      <c r="C436" s="60" t="s">
        <v>791</v>
      </c>
      <c r="D436" s="59" t="s">
        <v>2514</v>
      </c>
      <c r="E436" s="59" t="s">
        <v>2515</v>
      </c>
      <c r="F436" s="61" t="s">
        <v>2522</v>
      </c>
      <c r="G436" s="81" t="s">
        <v>692</v>
      </c>
      <c r="H436" s="81" t="s">
        <v>692</v>
      </c>
      <c r="I436" s="81" t="s">
        <v>692</v>
      </c>
      <c r="J436" s="81" t="s">
        <v>692</v>
      </c>
      <c r="K436" s="81" t="s">
        <v>692</v>
      </c>
      <c r="L436" s="53" t="str">
        <f t="shared" si="52"/>
        <v>Equipamentos</v>
      </c>
      <c r="M436" s="53" t="str">
        <f t="shared" si="52"/>
        <v>Eq.Elétricos</v>
      </c>
      <c r="N436" s="53" t="str">
        <f t="shared" si="50"/>
        <v>Eq Geral</v>
      </c>
      <c r="O436" s="53" t="str">
        <f t="shared" si="50"/>
        <v>Aquecedor Portátil</v>
      </c>
      <c r="P436" s="54" t="s">
        <v>2523</v>
      </c>
      <c r="Q436" s="54" t="s">
        <v>2524</v>
      </c>
      <c r="R436" s="54" t="s">
        <v>6421</v>
      </c>
      <c r="S436" s="54" t="s">
        <v>692</v>
      </c>
      <c r="T436" s="55" t="str">
        <f t="shared" si="53"/>
        <v>Equipamentos</v>
      </c>
      <c r="U436" s="55" t="str">
        <f t="shared" si="53"/>
        <v>Eq Elétricos</v>
      </c>
      <c r="V436" s="55" t="str">
        <f t="shared" si="53"/>
        <v>Eq Geral</v>
      </c>
      <c r="W436" s="54" t="s">
        <v>7259</v>
      </c>
      <c r="X436" s="84" t="str">
        <f t="shared" si="51"/>
        <v>Key-COD-CT-436</v>
      </c>
      <c r="Y436" s="84" t="s">
        <v>5559</v>
      </c>
      <c r="Z436" s="84" t="s">
        <v>692</v>
      </c>
      <c r="AA436" s="84" t="s">
        <v>5721</v>
      </c>
      <c r="AB436" s="84" t="s">
        <v>692</v>
      </c>
      <c r="AC436" s="84" t="s">
        <v>692</v>
      </c>
      <c r="AD436" s="54" t="s">
        <v>692</v>
      </c>
    </row>
    <row r="437" spans="1:30" ht="6.75" customHeight="1" x14ac:dyDescent="0.25">
      <c r="A437" s="85">
        <v>437</v>
      </c>
      <c r="B437" s="59" t="s">
        <v>5419</v>
      </c>
      <c r="C437" s="60" t="s">
        <v>791</v>
      </c>
      <c r="D437" s="59" t="s">
        <v>2514</v>
      </c>
      <c r="E437" s="59" t="s">
        <v>2515</v>
      </c>
      <c r="F437" s="61" t="s">
        <v>2525</v>
      </c>
      <c r="G437" s="81" t="s">
        <v>692</v>
      </c>
      <c r="H437" s="81" t="s">
        <v>692</v>
      </c>
      <c r="I437" s="81" t="s">
        <v>692</v>
      </c>
      <c r="J437" s="81" t="s">
        <v>692</v>
      </c>
      <c r="K437" s="81" t="s">
        <v>692</v>
      </c>
      <c r="L437" s="53" t="str">
        <f t="shared" si="52"/>
        <v>Equipamentos</v>
      </c>
      <c r="M437" s="53" t="str">
        <f t="shared" si="52"/>
        <v>Eq.Elétricos</v>
      </c>
      <c r="N437" s="53" t="str">
        <f t="shared" si="50"/>
        <v>Eq Geral</v>
      </c>
      <c r="O437" s="53" t="str">
        <f t="shared" si="50"/>
        <v>Bebedouro Portátil</v>
      </c>
      <c r="P437" s="54" t="s">
        <v>2526</v>
      </c>
      <c r="Q437" s="54" t="s">
        <v>2527</v>
      </c>
      <c r="R437" s="54" t="s">
        <v>6422</v>
      </c>
      <c r="S437" s="54" t="s">
        <v>692</v>
      </c>
      <c r="T437" s="55" t="str">
        <f t="shared" si="53"/>
        <v>Equipamentos</v>
      </c>
      <c r="U437" s="55" t="str">
        <f t="shared" si="53"/>
        <v>Eq Elétricos</v>
      </c>
      <c r="V437" s="55" t="str">
        <f t="shared" si="53"/>
        <v>Eq Geral</v>
      </c>
      <c r="W437" s="54" t="s">
        <v>7259</v>
      </c>
      <c r="X437" s="84" t="str">
        <f t="shared" si="51"/>
        <v>Key-COD-CT-437</v>
      </c>
      <c r="Y437" s="84" t="s">
        <v>5559</v>
      </c>
      <c r="Z437" s="84" t="s">
        <v>692</v>
      </c>
      <c r="AA437" s="84" t="s">
        <v>5722</v>
      </c>
      <c r="AB437" s="84" t="s">
        <v>692</v>
      </c>
      <c r="AC437" s="84" t="s">
        <v>692</v>
      </c>
      <c r="AD437" s="54" t="s">
        <v>692</v>
      </c>
    </row>
    <row r="438" spans="1:30" ht="6.75" customHeight="1" x14ac:dyDescent="0.25">
      <c r="A438" s="85">
        <v>438</v>
      </c>
      <c r="B438" s="59" t="s">
        <v>5419</v>
      </c>
      <c r="C438" s="60" t="s">
        <v>791</v>
      </c>
      <c r="D438" s="59" t="s">
        <v>2514</v>
      </c>
      <c r="E438" s="59" t="s">
        <v>2515</v>
      </c>
      <c r="F438" s="61" t="s">
        <v>2528</v>
      </c>
      <c r="G438" s="81" t="s">
        <v>692</v>
      </c>
      <c r="H438" s="81" t="s">
        <v>692</v>
      </c>
      <c r="I438" s="81" t="s">
        <v>692</v>
      </c>
      <c r="J438" s="81" t="s">
        <v>692</v>
      </c>
      <c r="K438" s="81" t="s">
        <v>692</v>
      </c>
      <c r="L438" s="53" t="str">
        <f t="shared" si="52"/>
        <v>Equipamentos</v>
      </c>
      <c r="M438" s="53" t="str">
        <f t="shared" si="52"/>
        <v>Eq.Elétricos</v>
      </c>
      <c r="N438" s="53" t="str">
        <f t="shared" si="50"/>
        <v>Eq Geral</v>
      </c>
      <c r="O438" s="53" t="str">
        <f t="shared" si="50"/>
        <v>Ventilador Portátil</v>
      </c>
      <c r="P438" s="54" t="s">
        <v>2529</v>
      </c>
      <c r="Q438" s="54" t="s">
        <v>2530</v>
      </c>
      <c r="R438" s="54" t="s">
        <v>6423</v>
      </c>
      <c r="S438" s="54" t="s">
        <v>692</v>
      </c>
      <c r="T438" s="55" t="str">
        <f t="shared" si="53"/>
        <v>Equipamentos</v>
      </c>
      <c r="U438" s="55" t="str">
        <f t="shared" si="53"/>
        <v>Eq Elétricos</v>
      </c>
      <c r="V438" s="55" t="str">
        <f t="shared" si="53"/>
        <v>Eq Geral</v>
      </c>
      <c r="W438" s="54" t="s">
        <v>7259</v>
      </c>
      <c r="X438" s="84" t="str">
        <f t="shared" si="51"/>
        <v>Key-COD-CT-438</v>
      </c>
      <c r="Y438" s="84" t="s">
        <v>5559</v>
      </c>
      <c r="Z438" s="84" t="s">
        <v>692</v>
      </c>
      <c r="AA438" s="84" t="s">
        <v>5723</v>
      </c>
      <c r="AB438" s="84" t="s">
        <v>692</v>
      </c>
      <c r="AC438" s="84" t="s">
        <v>692</v>
      </c>
      <c r="AD438" s="54" t="s">
        <v>692</v>
      </c>
    </row>
    <row r="439" spans="1:30" ht="6.75" customHeight="1" x14ac:dyDescent="0.25">
      <c r="A439" s="85">
        <v>439</v>
      </c>
      <c r="B439" s="59" t="s">
        <v>5419</v>
      </c>
      <c r="C439" s="60" t="s">
        <v>791</v>
      </c>
      <c r="D439" s="59" t="s">
        <v>2514</v>
      </c>
      <c r="E439" s="59" t="s">
        <v>2515</v>
      </c>
      <c r="F439" s="61" t="s">
        <v>2531</v>
      </c>
      <c r="G439" s="81" t="s">
        <v>692</v>
      </c>
      <c r="H439" s="81" t="s">
        <v>692</v>
      </c>
      <c r="I439" s="81" t="s">
        <v>692</v>
      </c>
      <c r="J439" s="81" t="s">
        <v>692</v>
      </c>
      <c r="K439" s="81" t="s">
        <v>2473</v>
      </c>
      <c r="L439" s="53" t="str">
        <f t="shared" si="52"/>
        <v>Equipamentos</v>
      </c>
      <c r="M439" s="53" t="str">
        <f t="shared" si="52"/>
        <v>Eq.Elétricos</v>
      </c>
      <c r="N439" s="53" t="str">
        <f t="shared" si="50"/>
        <v>Eq Geral</v>
      </c>
      <c r="O439" s="53" t="str">
        <f t="shared" si="50"/>
        <v>Seca Mãos</v>
      </c>
      <c r="P439" s="54" t="s">
        <v>2532</v>
      </c>
      <c r="Q439" s="54" t="s">
        <v>2533</v>
      </c>
      <c r="R439" s="54" t="s">
        <v>6424</v>
      </c>
      <c r="S439" s="54" t="s">
        <v>692</v>
      </c>
      <c r="T439" s="55" t="str">
        <f t="shared" si="53"/>
        <v>Equipamentos</v>
      </c>
      <c r="U439" s="55" t="str">
        <f t="shared" si="53"/>
        <v>Eq Elétricos</v>
      </c>
      <c r="V439" s="55" t="str">
        <f t="shared" si="53"/>
        <v>Eq Geral</v>
      </c>
      <c r="W439" s="54" t="s">
        <v>7259</v>
      </c>
      <c r="X439" s="84" t="str">
        <f t="shared" si="51"/>
        <v>Key-COD-CT-439</v>
      </c>
      <c r="Y439" s="84" t="s">
        <v>5559</v>
      </c>
      <c r="Z439" s="84" t="s">
        <v>692</v>
      </c>
      <c r="AA439" s="84" t="s">
        <v>5724</v>
      </c>
      <c r="AB439" s="84" t="s">
        <v>692</v>
      </c>
      <c r="AC439" s="84" t="s">
        <v>692</v>
      </c>
      <c r="AD439" s="54" t="s">
        <v>692</v>
      </c>
    </row>
    <row r="440" spans="1:30" ht="6.75" customHeight="1" x14ac:dyDescent="0.25">
      <c r="A440" s="85">
        <v>440</v>
      </c>
      <c r="B440" s="59" t="s">
        <v>5419</v>
      </c>
      <c r="C440" s="60" t="s">
        <v>791</v>
      </c>
      <c r="D440" s="59" t="s">
        <v>2514</v>
      </c>
      <c r="E440" s="59" t="s">
        <v>2534</v>
      </c>
      <c r="F440" s="61" t="s">
        <v>2535</v>
      </c>
      <c r="G440" s="81" t="s">
        <v>692</v>
      </c>
      <c r="H440" s="81" t="s">
        <v>692</v>
      </c>
      <c r="I440" s="81" t="s">
        <v>692</v>
      </c>
      <c r="J440" s="81" t="s">
        <v>692</v>
      </c>
      <c r="K440" s="81" t="s">
        <v>692</v>
      </c>
      <c r="L440" s="53" t="str">
        <f t="shared" si="52"/>
        <v>Equipamentos</v>
      </c>
      <c r="M440" s="53" t="str">
        <f t="shared" si="52"/>
        <v>Eq.Elétricos</v>
      </c>
      <c r="N440" s="53" t="str">
        <f t="shared" si="50"/>
        <v>Eq Cozinha</v>
      </c>
      <c r="O440" s="53" t="str">
        <f t="shared" si="50"/>
        <v>Fogão Elétrico</v>
      </c>
      <c r="P440" s="54" t="s">
        <v>2536</v>
      </c>
      <c r="Q440" s="54" t="s">
        <v>2537</v>
      </c>
      <c r="R440" s="54" t="s">
        <v>6425</v>
      </c>
      <c r="S440" s="54" t="s">
        <v>692</v>
      </c>
      <c r="T440" s="55" t="str">
        <f t="shared" si="53"/>
        <v>Equipamentos</v>
      </c>
      <c r="U440" s="55" t="str">
        <f t="shared" si="53"/>
        <v>Eq Elétricos</v>
      </c>
      <c r="V440" s="55" t="str">
        <f t="shared" si="53"/>
        <v>Eq Cozinha</v>
      </c>
      <c r="W440" s="54" t="s">
        <v>7259</v>
      </c>
      <c r="X440" s="84" t="str">
        <f t="shared" si="51"/>
        <v>Key-COD-CT-440</v>
      </c>
      <c r="Y440" s="84" t="s">
        <v>5559</v>
      </c>
      <c r="Z440" s="84" t="s">
        <v>692</v>
      </c>
      <c r="AA440" s="84" t="s">
        <v>5725</v>
      </c>
      <c r="AB440" s="84" t="s">
        <v>692</v>
      </c>
      <c r="AC440" s="84" t="s">
        <v>692</v>
      </c>
      <c r="AD440" s="54" t="s">
        <v>692</v>
      </c>
    </row>
    <row r="441" spans="1:30" ht="6.75" customHeight="1" x14ac:dyDescent="0.25">
      <c r="A441" s="85">
        <v>441</v>
      </c>
      <c r="B441" s="59" t="s">
        <v>5419</v>
      </c>
      <c r="C441" s="60" t="s">
        <v>791</v>
      </c>
      <c r="D441" s="59" t="s">
        <v>2514</v>
      </c>
      <c r="E441" s="59" t="s">
        <v>2534</v>
      </c>
      <c r="F441" s="61" t="s">
        <v>2538</v>
      </c>
      <c r="G441" s="81" t="s">
        <v>692</v>
      </c>
      <c r="H441" s="81" t="s">
        <v>692</v>
      </c>
      <c r="I441" s="81" t="s">
        <v>692</v>
      </c>
      <c r="J441" s="81" t="s">
        <v>692</v>
      </c>
      <c r="K441" s="81" t="s">
        <v>692</v>
      </c>
      <c r="L441" s="53" t="str">
        <f t="shared" si="52"/>
        <v>Equipamentos</v>
      </c>
      <c r="M441" s="53" t="str">
        <f t="shared" si="52"/>
        <v>Eq.Elétricos</v>
      </c>
      <c r="N441" s="53" t="str">
        <f t="shared" si="50"/>
        <v>Eq Cozinha</v>
      </c>
      <c r="O441" s="53" t="str">
        <f t="shared" si="50"/>
        <v>Forno Microondas</v>
      </c>
      <c r="P441" s="54" t="s">
        <v>2539</v>
      </c>
      <c r="Q441" s="54" t="s">
        <v>2540</v>
      </c>
      <c r="R441" s="54" t="s">
        <v>6426</v>
      </c>
      <c r="S441" s="54" t="s">
        <v>692</v>
      </c>
      <c r="T441" s="55" t="str">
        <f t="shared" si="53"/>
        <v>Equipamentos</v>
      </c>
      <c r="U441" s="55" t="str">
        <f t="shared" si="53"/>
        <v>Eq Elétricos</v>
      </c>
      <c r="V441" s="55" t="str">
        <f t="shared" si="53"/>
        <v>Eq Cozinha</v>
      </c>
      <c r="W441" s="54" t="s">
        <v>7259</v>
      </c>
      <c r="X441" s="84" t="str">
        <f t="shared" si="51"/>
        <v>Key-COD-CT-441</v>
      </c>
      <c r="Y441" s="84" t="s">
        <v>5559</v>
      </c>
      <c r="Z441" s="84" t="s">
        <v>692</v>
      </c>
      <c r="AA441" s="84" t="s">
        <v>5726</v>
      </c>
      <c r="AB441" s="84" t="s">
        <v>692</v>
      </c>
      <c r="AC441" s="84" t="s">
        <v>692</v>
      </c>
      <c r="AD441" s="54" t="s">
        <v>692</v>
      </c>
    </row>
    <row r="442" spans="1:30" ht="6.75" customHeight="1" x14ac:dyDescent="0.25">
      <c r="A442" s="85">
        <v>442</v>
      </c>
      <c r="B442" s="59" t="s">
        <v>5419</v>
      </c>
      <c r="C442" s="60" t="s">
        <v>791</v>
      </c>
      <c r="D442" s="59" t="s">
        <v>2514</v>
      </c>
      <c r="E442" s="59" t="s">
        <v>2534</v>
      </c>
      <c r="F442" s="61" t="s">
        <v>2541</v>
      </c>
      <c r="G442" s="81" t="s">
        <v>692</v>
      </c>
      <c r="H442" s="81" t="s">
        <v>692</v>
      </c>
      <c r="I442" s="81" t="s">
        <v>692</v>
      </c>
      <c r="J442" s="81" t="s">
        <v>692</v>
      </c>
      <c r="K442" s="81" t="s">
        <v>692</v>
      </c>
      <c r="L442" s="53" t="str">
        <f t="shared" si="52"/>
        <v>Equipamentos</v>
      </c>
      <c r="M442" s="53" t="str">
        <f t="shared" si="52"/>
        <v>Eq.Elétricos</v>
      </c>
      <c r="N442" s="53" t="str">
        <f t="shared" si="50"/>
        <v>Eq Cozinha</v>
      </c>
      <c r="O442" s="53" t="str">
        <f t="shared" si="50"/>
        <v>Freezer</v>
      </c>
      <c r="P442" s="54" t="s">
        <v>2542</v>
      </c>
      <c r="Q442" s="54" t="s">
        <v>2543</v>
      </c>
      <c r="R442" s="54" t="s">
        <v>6427</v>
      </c>
      <c r="S442" s="54" t="s">
        <v>692</v>
      </c>
      <c r="T442" s="55" t="str">
        <f t="shared" si="53"/>
        <v>Equipamentos</v>
      </c>
      <c r="U442" s="55" t="str">
        <f t="shared" si="53"/>
        <v>Eq Elétricos</v>
      </c>
      <c r="V442" s="55" t="str">
        <f t="shared" si="53"/>
        <v>Eq Cozinha</v>
      </c>
      <c r="W442" s="54" t="s">
        <v>7259</v>
      </c>
      <c r="X442" s="84" t="str">
        <f t="shared" si="51"/>
        <v>Key-COD-CT-442</v>
      </c>
      <c r="Y442" s="84" t="s">
        <v>5559</v>
      </c>
      <c r="Z442" s="84" t="s">
        <v>692</v>
      </c>
      <c r="AA442" s="84" t="s">
        <v>5727</v>
      </c>
      <c r="AB442" s="84" t="s">
        <v>692</v>
      </c>
      <c r="AC442" s="84" t="s">
        <v>692</v>
      </c>
      <c r="AD442" s="54" t="s">
        <v>692</v>
      </c>
    </row>
    <row r="443" spans="1:30" ht="6.75" customHeight="1" x14ac:dyDescent="0.25">
      <c r="A443" s="85">
        <v>443</v>
      </c>
      <c r="B443" s="59" t="s">
        <v>5419</v>
      </c>
      <c r="C443" s="60" t="s">
        <v>791</v>
      </c>
      <c r="D443" s="59" t="s">
        <v>2514</v>
      </c>
      <c r="E443" s="59" t="s">
        <v>2534</v>
      </c>
      <c r="F443" s="61" t="s">
        <v>2544</v>
      </c>
      <c r="G443" s="81" t="s">
        <v>692</v>
      </c>
      <c r="H443" s="81" t="s">
        <v>692</v>
      </c>
      <c r="I443" s="81" t="s">
        <v>692</v>
      </c>
      <c r="J443" s="81" t="s">
        <v>692</v>
      </c>
      <c r="K443" s="81" t="s">
        <v>692</v>
      </c>
      <c r="L443" s="53" t="str">
        <f t="shared" si="52"/>
        <v>Equipamentos</v>
      </c>
      <c r="M443" s="53" t="str">
        <f t="shared" si="52"/>
        <v>Eq.Elétricos</v>
      </c>
      <c r="N443" s="53" t="str">
        <f t="shared" ref="N443:O506" si="54">(SUBSTITUTE(SUBSTITUTE(CONCATENATE("",E443),"."," ")," De "," de "))</f>
        <v>Eq Cozinha</v>
      </c>
      <c r="O443" s="53" t="str">
        <f t="shared" si="54"/>
        <v>Geladeira</v>
      </c>
      <c r="P443" s="54" t="s">
        <v>2545</v>
      </c>
      <c r="Q443" s="54" t="s">
        <v>2546</v>
      </c>
      <c r="R443" s="54" t="s">
        <v>6428</v>
      </c>
      <c r="S443" s="54" t="s">
        <v>692</v>
      </c>
      <c r="T443" s="55" t="str">
        <f t="shared" si="53"/>
        <v>Equipamentos</v>
      </c>
      <c r="U443" s="55" t="str">
        <f t="shared" si="53"/>
        <v>Eq Elétricos</v>
      </c>
      <c r="V443" s="55" t="str">
        <f t="shared" si="53"/>
        <v>Eq Cozinha</v>
      </c>
      <c r="W443" s="54" t="s">
        <v>7259</v>
      </c>
      <c r="X443" s="84" t="str">
        <f t="shared" si="51"/>
        <v>Key-COD-CT-443</v>
      </c>
      <c r="Y443" s="84" t="s">
        <v>5559</v>
      </c>
      <c r="Z443" s="84" t="s">
        <v>692</v>
      </c>
      <c r="AA443" s="84" t="s">
        <v>5728</v>
      </c>
      <c r="AB443" s="84" t="s">
        <v>692</v>
      </c>
      <c r="AC443" s="84" t="s">
        <v>692</v>
      </c>
      <c r="AD443" s="54" t="s">
        <v>692</v>
      </c>
    </row>
    <row r="444" spans="1:30" ht="6.75" customHeight="1" x14ac:dyDescent="0.25">
      <c r="A444" s="85">
        <v>444</v>
      </c>
      <c r="B444" s="59" t="s">
        <v>5419</v>
      </c>
      <c r="C444" s="60" t="s">
        <v>791</v>
      </c>
      <c r="D444" s="59" t="s">
        <v>2514</v>
      </c>
      <c r="E444" s="59" t="s">
        <v>2534</v>
      </c>
      <c r="F444" s="61" t="s">
        <v>2547</v>
      </c>
      <c r="G444" s="81" t="s">
        <v>692</v>
      </c>
      <c r="H444" s="81" t="s">
        <v>692</v>
      </c>
      <c r="I444" s="81" t="s">
        <v>692</v>
      </c>
      <c r="J444" s="81" t="s">
        <v>692</v>
      </c>
      <c r="K444" s="81" t="s">
        <v>692</v>
      </c>
      <c r="L444" s="53" t="str">
        <f t="shared" si="52"/>
        <v>Equipamentos</v>
      </c>
      <c r="M444" s="53" t="str">
        <f t="shared" si="52"/>
        <v>Eq.Elétricos</v>
      </c>
      <c r="N444" s="53" t="str">
        <f t="shared" si="54"/>
        <v>Eq Cozinha</v>
      </c>
      <c r="O444" s="53" t="str">
        <f t="shared" si="54"/>
        <v>LavaLouça</v>
      </c>
      <c r="P444" s="54" t="s">
        <v>2548</v>
      </c>
      <c r="Q444" s="54" t="s">
        <v>2549</v>
      </c>
      <c r="R444" s="54" t="s">
        <v>6429</v>
      </c>
      <c r="S444" s="54" t="s">
        <v>692</v>
      </c>
      <c r="T444" s="55" t="str">
        <f t="shared" si="53"/>
        <v>Equipamentos</v>
      </c>
      <c r="U444" s="55" t="str">
        <f t="shared" si="53"/>
        <v>Eq Elétricos</v>
      </c>
      <c r="V444" s="55" t="str">
        <f t="shared" si="53"/>
        <v>Eq Cozinha</v>
      </c>
      <c r="W444" s="54" t="s">
        <v>7259</v>
      </c>
      <c r="X444" s="84" t="str">
        <f t="shared" si="51"/>
        <v>Key-COD-CT-444</v>
      </c>
      <c r="Y444" s="84" t="s">
        <v>5559</v>
      </c>
      <c r="Z444" s="84" t="s">
        <v>692</v>
      </c>
      <c r="AA444" s="84" t="s">
        <v>5729</v>
      </c>
      <c r="AB444" s="84" t="s">
        <v>692</v>
      </c>
      <c r="AC444" s="84" t="s">
        <v>692</v>
      </c>
      <c r="AD444" s="54" t="s">
        <v>692</v>
      </c>
    </row>
    <row r="445" spans="1:30" ht="6.75" customHeight="1" x14ac:dyDescent="0.25">
      <c r="A445" s="85">
        <v>445</v>
      </c>
      <c r="B445" s="59" t="s">
        <v>5419</v>
      </c>
      <c r="C445" s="60" t="s">
        <v>791</v>
      </c>
      <c r="D445" s="59" t="s">
        <v>2514</v>
      </c>
      <c r="E445" s="59" t="s">
        <v>2534</v>
      </c>
      <c r="F445" s="61" t="s">
        <v>2550</v>
      </c>
      <c r="G445" s="81" t="s">
        <v>692</v>
      </c>
      <c r="H445" s="81" t="s">
        <v>692</v>
      </c>
      <c r="I445" s="81" t="s">
        <v>692</v>
      </c>
      <c r="J445" s="81" t="s">
        <v>692</v>
      </c>
      <c r="K445" s="81" t="s">
        <v>692</v>
      </c>
      <c r="L445" s="53" t="str">
        <f t="shared" si="52"/>
        <v>Equipamentos</v>
      </c>
      <c r="M445" s="53" t="str">
        <f t="shared" si="52"/>
        <v>Eq.Elétricos</v>
      </c>
      <c r="N445" s="53" t="str">
        <f t="shared" si="54"/>
        <v>Eq Cozinha</v>
      </c>
      <c r="O445" s="53" t="str">
        <f t="shared" si="54"/>
        <v>Processador Alimentos</v>
      </c>
      <c r="P445" s="54" t="s">
        <v>2551</v>
      </c>
      <c r="Q445" s="54" t="s">
        <v>2552</v>
      </c>
      <c r="R445" s="54" t="s">
        <v>6430</v>
      </c>
      <c r="S445" s="54" t="s">
        <v>692</v>
      </c>
      <c r="T445" s="55" t="str">
        <f t="shared" si="53"/>
        <v>Equipamentos</v>
      </c>
      <c r="U445" s="55" t="str">
        <f t="shared" si="53"/>
        <v>Eq Elétricos</v>
      </c>
      <c r="V445" s="55" t="str">
        <f t="shared" si="53"/>
        <v>Eq Cozinha</v>
      </c>
      <c r="W445" s="54" t="s">
        <v>7259</v>
      </c>
      <c r="X445" s="84" t="str">
        <f t="shared" si="51"/>
        <v>Key-COD-CT-445</v>
      </c>
      <c r="Y445" s="84" t="s">
        <v>5559</v>
      </c>
      <c r="Z445" s="84" t="s">
        <v>692</v>
      </c>
      <c r="AA445" s="84" t="s">
        <v>5730</v>
      </c>
      <c r="AB445" s="84" t="s">
        <v>692</v>
      </c>
      <c r="AC445" s="84" t="s">
        <v>692</v>
      </c>
      <c r="AD445" s="54" t="s">
        <v>692</v>
      </c>
    </row>
    <row r="446" spans="1:30" ht="6.75" customHeight="1" x14ac:dyDescent="0.25">
      <c r="A446" s="85">
        <v>446</v>
      </c>
      <c r="B446" s="59" t="s">
        <v>5419</v>
      </c>
      <c r="C446" s="60" t="s">
        <v>791</v>
      </c>
      <c r="D446" s="59" t="s">
        <v>2514</v>
      </c>
      <c r="E446" s="59" t="s">
        <v>2534</v>
      </c>
      <c r="F446" s="61" t="s">
        <v>2553</v>
      </c>
      <c r="G446" s="81" t="s">
        <v>692</v>
      </c>
      <c r="H446" s="81" t="s">
        <v>692</v>
      </c>
      <c r="I446" s="81" t="s">
        <v>692</v>
      </c>
      <c r="J446" s="81" t="s">
        <v>692</v>
      </c>
      <c r="K446" s="81" t="s">
        <v>692</v>
      </c>
      <c r="L446" s="53" t="str">
        <f t="shared" si="52"/>
        <v>Equipamentos</v>
      </c>
      <c r="M446" s="53" t="str">
        <f t="shared" si="52"/>
        <v>Eq.Elétricos</v>
      </c>
      <c r="N446" s="53" t="str">
        <f t="shared" si="54"/>
        <v>Eq Cozinha</v>
      </c>
      <c r="O446" s="53" t="str">
        <f t="shared" si="54"/>
        <v>Refrigerador</v>
      </c>
      <c r="P446" s="54" t="s">
        <v>2554</v>
      </c>
      <c r="Q446" s="54" t="s">
        <v>2555</v>
      </c>
      <c r="R446" s="54" t="s">
        <v>6431</v>
      </c>
      <c r="S446" s="54" t="s">
        <v>692</v>
      </c>
      <c r="T446" s="55" t="str">
        <f t="shared" si="53"/>
        <v>Equipamentos</v>
      </c>
      <c r="U446" s="55" t="str">
        <f t="shared" si="53"/>
        <v>Eq Elétricos</v>
      </c>
      <c r="V446" s="55" t="str">
        <f t="shared" si="53"/>
        <v>Eq Cozinha</v>
      </c>
      <c r="W446" s="54" t="s">
        <v>7259</v>
      </c>
      <c r="X446" s="84" t="str">
        <f t="shared" si="51"/>
        <v>Key-COD-CT-446</v>
      </c>
      <c r="Y446" s="84" t="s">
        <v>5559</v>
      </c>
      <c r="Z446" s="84" t="s">
        <v>692</v>
      </c>
      <c r="AA446" s="84" t="s">
        <v>5731</v>
      </c>
      <c r="AB446" s="84" t="s">
        <v>692</v>
      </c>
      <c r="AC446" s="84" t="s">
        <v>692</v>
      </c>
      <c r="AD446" s="54" t="s">
        <v>692</v>
      </c>
    </row>
    <row r="447" spans="1:30" ht="6.75" customHeight="1" x14ac:dyDescent="0.25">
      <c r="A447" s="85">
        <v>447</v>
      </c>
      <c r="B447" s="59" t="s">
        <v>5419</v>
      </c>
      <c r="C447" s="60" t="s">
        <v>791</v>
      </c>
      <c r="D447" s="59" t="s">
        <v>2514</v>
      </c>
      <c r="E447" s="59" t="s">
        <v>2556</v>
      </c>
      <c r="F447" s="61" t="s">
        <v>2557</v>
      </c>
      <c r="G447" s="81" t="s">
        <v>692</v>
      </c>
      <c r="H447" s="81" t="s">
        <v>692</v>
      </c>
      <c r="I447" s="81" t="s">
        <v>692</v>
      </c>
      <c r="J447" s="81" t="s">
        <v>692</v>
      </c>
      <c r="K447" s="81" t="s">
        <v>692</v>
      </c>
      <c r="L447" s="53" t="str">
        <f t="shared" si="52"/>
        <v>Equipamentos</v>
      </c>
      <c r="M447" s="53" t="str">
        <f t="shared" si="52"/>
        <v>Eq.Elétricos</v>
      </c>
      <c r="N447" s="53" t="str">
        <f t="shared" si="54"/>
        <v>Eq Serviço</v>
      </c>
      <c r="O447" s="53" t="str">
        <f t="shared" si="54"/>
        <v>Lava Roupa</v>
      </c>
      <c r="P447" s="54" t="s">
        <v>2558</v>
      </c>
      <c r="Q447" s="54" t="s">
        <v>2559</v>
      </c>
      <c r="R447" s="54" t="s">
        <v>6432</v>
      </c>
      <c r="S447" s="54" t="s">
        <v>692</v>
      </c>
      <c r="T447" s="55" t="str">
        <f t="shared" si="53"/>
        <v>Equipamentos</v>
      </c>
      <c r="U447" s="55" t="str">
        <f t="shared" si="53"/>
        <v>Eq Elétricos</v>
      </c>
      <c r="V447" s="55" t="str">
        <f t="shared" si="53"/>
        <v>Eq Serviço</v>
      </c>
      <c r="W447" s="54" t="s">
        <v>7259</v>
      </c>
      <c r="X447" s="84" t="str">
        <f t="shared" si="51"/>
        <v>Key-COD-CT-447</v>
      </c>
      <c r="Y447" s="84" t="s">
        <v>5559</v>
      </c>
      <c r="Z447" s="84" t="s">
        <v>692</v>
      </c>
      <c r="AA447" s="84" t="s">
        <v>5732</v>
      </c>
      <c r="AB447" s="84" t="s">
        <v>692</v>
      </c>
      <c r="AC447" s="84" t="s">
        <v>692</v>
      </c>
      <c r="AD447" s="54" t="s">
        <v>692</v>
      </c>
    </row>
    <row r="448" spans="1:30" ht="6.75" customHeight="1" x14ac:dyDescent="0.25">
      <c r="A448" s="85">
        <v>448</v>
      </c>
      <c r="B448" s="59" t="s">
        <v>5419</v>
      </c>
      <c r="C448" s="60" t="s">
        <v>791</v>
      </c>
      <c r="D448" s="59" t="s">
        <v>2514</v>
      </c>
      <c r="E448" s="59" t="s">
        <v>2556</v>
      </c>
      <c r="F448" s="61" t="s">
        <v>2560</v>
      </c>
      <c r="G448" s="81" t="s">
        <v>692</v>
      </c>
      <c r="H448" s="81" t="s">
        <v>692</v>
      </c>
      <c r="I448" s="81" t="s">
        <v>692</v>
      </c>
      <c r="J448" s="81" t="s">
        <v>692</v>
      </c>
      <c r="K448" s="81" t="s">
        <v>692</v>
      </c>
      <c r="L448" s="53" t="str">
        <f t="shared" si="52"/>
        <v>Equipamentos</v>
      </c>
      <c r="M448" s="53" t="str">
        <f t="shared" si="52"/>
        <v>Eq.Elétricos</v>
      </c>
      <c r="N448" s="53" t="str">
        <f t="shared" si="54"/>
        <v>Eq Serviço</v>
      </c>
      <c r="O448" s="53" t="str">
        <f t="shared" si="54"/>
        <v>Seca Roupa</v>
      </c>
      <c r="P448" s="54" t="s">
        <v>2561</v>
      </c>
      <c r="Q448" s="54" t="s">
        <v>2562</v>
      </c>
      <c r="R448" s="54" t="s">
        <v>6433</v>
      </c>
      <c r="S448" s="54" t="s">
        <v>692</v>
      </c>
      <c r="T448" s="55" t="str">
        <f t="shared" si="53"/>
        <v>Equipamentos</v>
      </c>
      <c r="U448" s="55" t="str">
        <f t="shared" si="53"/>
        <v>Eq Elétricos</v>
      </c>
      <c r="V448" s="55" t="str">
        <f t="shared" si="53"/>
        <v>Eq Serviço</v>
      </c>
      <c r="W448" s="54" t="s">
        <v>7259</v>
      </c>
      <c r="X448" s="84" t="str">
        <f t="shared" si="51"/>
        <v>Key-COD-CT-448</v>
      </c>
      <c r="Y448" s="84" t="s">
        <v>5559</v>
      </c>
      <c r="Z448" s="84" t="s">
        <v>692</v>
      </c>
      <c r="AA448" s="84" t="s">
        <v>5733</v>
      </c>
      <c r="AB448" s="84" t="s">
        <v>692</v>
      </c>
      <c r="AC448" s="84" t="s">
        <v>692</v>
      </c>
      <c r="AD448" s="54" t="s">
        <v>692</v>
      </c>
    </row>
    <row r="449" spans="1:30" ht="6.75" customHeight="1" x14ac:dyDescent="0.25">
      <c r="A449" s="85">
        <v>449</v>
      </c>
      <c r="B449" s="59" t="s">
        <v>5419</v>
      </c>
      <c r="C449" s="60" t="s">
        <v>791</v>
      </c>
      <c r="D449" s="59" t="s">
        <v>2514</v>
      </c>
      <c r="E449" s="59" t="s">
        <v>2563</v>
      </c>
      <c r="F449" s="61" t="s">
        <v>2564</v>
      </c>
      <c r="G449" s="81" t="s">
        <v>692</v>
      </c>
      <c r="H449" s="81" t="s">
        <v>692</v>
      </c>
      <c r="I449" s="81" t="s">
        <v>692</v>
      </c>
      <c r="J449" s="81" t="s">
        <v>692</v>
      </c>
      <c r="K449" s="81" t="s">
        <v>692</v>
      </c>
      <c r="L449" s="53" t="str">
        <f t="shared" si="52"/>
        <v>Equipamentos</v>
      </c>
      <c r="M449" s="53" t="str">
        <f t="shared" si="52"/>
        <v>Eq.Elétricos</v>
      </c>
      <c r="N449" s="53" t="str">
        <f t="shared" si="54"/>
        <v>Eq Escritório</v>
      </c>
      <c r="O449" s="53" t="str">
        <f t="shared" si="54"/>
        <v>Fotocopiadora</v>
      </c>
      <c r="P449" s="54" t="s">
        <v>2565</v>
      </c>
      <c r="Q449" s="54" t="s">
        <v>2566</v>
      </c>
      <c r="R449" s="54" t="s">
        <v>6434</v>
      </c>
      <c r="S449" s="54" t="s">
        <v>692</v>
      </c>
      <c r="T449" s="55" t="str">
        <f t="shared" si="53"/>
        <v>Equipamentos</v>
      </c>
      <c r="U449" s="55" t="str">
        <f t="shared" si="53"/>
        <v>Eq Elétricos</v>
      </c>
      <c r="V449" s="55" t="str">
        <f t="shared" si="53"/>
        <v>Eq Escritório</v>
      </c>
      <c r="W449" s="54" t="s">
        <v>7259</v>
      </c>
      <c r="X449" s="84" t="str">
        <f t="shared" si="51"/>
        <v>Key-COD-CT-449</v>
      </c>
      <c r="Y449" s="84" t="s">
        <v>5559</v>
      </c>
      <c r="Z449" s="84" t="s">
        <v>692</v>
      </c>
      <c r="AA449" s="84" t="s">
        <v>5734</v>
      </c>
      <c r="AB449" s="84" t="s">
        <v>692</v>
      </c>
      <c r="AC449" s="84" t="s">
        <v>692</v>
      </c>
      <c r="AD449" s="54" t="s">
        <v>692</v>
      </c>
    </row>
    <row r="450" spans="1:30" ht="6.75" customHeight="1" x14ac:dyDescent="0.25">
      <c r="A450" s="85">
        <v>450</v>
      </c>
      <c r="B450" s="59" t="s">
        <v>5419</v>
      </c>
      <c r="C450" s="60" t="s">
        <v>791</v>
      </c>
      <c r="D450" s="59" t="s">
        <v>2514</v>
      </c>
      <c r="E450" s="59" t="s">
        <v>2563</v>
      </c>
      <c r="F450" s="61" t="s">
        <v>2567</v>
      </c>
      <c r="G450" s="81" t="s">
        <v>692</v>
      </c>
      <c r="H450" s="81" t="s">
        <v>692</v>
      </c>
      <c r="I450" s="81" t="s">
        <v>692</v>
      </c>
      <c r="J450" s="81" t="s">
        <v>692</v>
      </c>
      <c r="K450" s="81" t="s">
        <v>692</v>
      </c>
      <c r="L450" s="53" t="str">
        <f t="shared" si="52"/>
        <v>Equipamentos</v>
      </c>
      <c r="M450" s="53" t="str">
        <f t="shared" si="52"/>
        <v>Eq.Elétricos</v>
      </c>
      <c r="N450" s="53" t="str">
        <f t="shared" si="54"/>
        <v>Eq Escritório</v>
      </c>
      <c r="O450" s="53" t="str">
        <f t="shared" si="54"/>
        <v>Máquina Venda</v>
      </c>
      <c r="P450" s="54" t="s">
        <v>2568</v>
      </c>
      <c r="Q450" s="54" t="s">
        <v>2569</v>
      </c>
      <c r="R450" s="54" t="s">
        <v>6435</v>
      </c>
      <c r="S450" s="54" t="s">
        <v>692</v>
      </c>
      <c r="T450" s="55" t="str">
        <f t="shared" si="53"/>
        <v>Equipamentos</v>
      </c>
      <c r="U450" s="55" t="str">
        <f t="shared" si="53"/>
        <v>Eq Elétricos</v>
      </c>
      <c r="V450" s="55" t="str">
        <f t="shared" si="53"/>
        <v>Eq Escritório</v>
      </c>
      <c r="W450" s="54" t="s">
        <v>7259</v>
      </c>
      <c r="X450" s="84" t="str">
        <f t="shared" si="51"/>
        <v>Key-COD-CT-450</v>
      </c>
      <c r="Y450" s="84" t="s">
        <v>5559</v>
      </c>
      <c r="Z450" s="84" t="s">
        <v>692</v>
      </c>
      <c r="AA450" s="84" t="s">
        <v>5735</v>
      </c>
      <c r="AB450" s="84" t="s">
        <v>692</v>
      </c>
      <c r="AC450" s="84" t="s">
        <v>692</v>
      </c>
      <c r="AD450" s="54" t="s">
        <v>692</v>
      </c>
    </row>
    <row r="451" spans="1:30" ht="6.75" customHeight="1" x14ac:dyDescent="0.25">
      <c r="A451" s="85">
        <v>451</v>
      </c>
      <c r="B451" s="59" t="s">
        <v>5419</v>
      </c>
      <c r="C451" s="60" t="s">
        <v>791</v>
      </c>
      <c r="D451" s="59" t="s">
        <v>2570</v>
      </c>
      <c r="E451" s="59" t="s">
        <v>2571</v>
      </c>
      <c r="F451" s="61" t="s">
        <v>2572</v>
      </c>
      <c r="G451" s="81" t="s">
        <v>692</v>
      </c>
      <c r="H451" s="81" t="s">
        <v>692</v>
      </c>
      <c r="I451" s="81" t="s">
        <v>692</v>
      </c>
      <c r="J451" s="81" t="s">
        <v>2573</v>
      </c>
      <c r="K451" s="81" t="s">
        <v>692</v>
      </c>
      <c r="L451" s="53" t="str">
        <f t="shared" si="52"/>
        <v>Equipamentos</v>
      </c>
      <c r="M451" s="53" t="str">
        <f t="shared" si="52"/>
        <v>Eq.AudioVisuais</v>
      </c>
      <c r="N451" s="53" t="str">
        <f t="shared" si="54"/>
        <v>Aparelho Avi</v>
      </c>
      <c r="O451" s="53" t="str">
        <f t="shared" si="54"/>
        <v>Aparelho AudioVisual</v>
      </c>
      <c r="P451" s="54" t="s">
        <v>2574</v>
      </c>
      <c r="Q451" s="54" t="s">
        <v>2575</v>
      </c>
      <c r="R451" s="54" t="s">
        <v>6436</v>
      </c>
      <c r="S451" s="54" t="s">
        <v>692</v>
      </c>
      <c r="T451" s="55" t="str">
        <f t="shared" si="53"/>
        <v>Equipamentos</v>
      </c>
      <c r="U451" s="55" t="str">
        <f t="shared" si="53"/>
        <v>Eq AudioVisuais</v>
      </c>
      <c r="V451" s="55" t="str">
        <f t="shared" si="53"/>
        <v>Aparelho Avi</v>
      </c>
      <c r="W451" s="54" t="s">
        <v>7259</v>
      </c>
      <c r="X451" s="84" t="str">
        <f t="shared" ref="X451:X514" si="55">CONCATENATE("Key-COD-CT-",A451)</f>
        <v>Key-COD-CT-451</v>
      </c>
      <c r="Y451" s="84" t="s">
        <v>5560</v>
      </c>
      <c r="Z451" s="84" t="s">
        <v>692</v>
      </c>
      <c r="AA451" s="84" t="s">
        <v>5736</v>
      </c>
      <c r="AB451" s="84" t="s">
        <v>692</v>
      </c>
      <c r="AC451" s="84" t="s">
        <v>692</v>
      </c>
      <c r="AD451" s="54" t="s">
        <v>692</v>
      </c>
    </row>
    <row r="452" spans="1:30" ht="6.75" customHeight="1" x14ac:dyDescent="0.25">
      <c r="A452" s="85">
        <v>452</v>
      </c>
      <c r="B452" s="59" t="s">
        <v>5419</v>
      </c>
      <c r="C452" s="60" t="s">
        <v>791</v>
      </c>
      <c r="D452" s="59" t="s">
        <v>2570</v>
      </c>
      <c r="E452" s="59" t="s">
        <v>2571</v>
      </c>
      <c r="F452" s="61" t="s">
        <v>2576</v>
      </c>
      <c r="G452" s="81" t="s">
        <v>692</v>
      </c>
      <c r="H452" s="81" t="s">
        <v>692</v>
      </c>
      <c r="I452" s="81" t="s">
        <v>692</v>
      </c>
      <c r="J452" s="81" t="s">
        <v>692</v>
      </c>
      <c r="K452" s="81" t="s">
        <v>692</v>
      </c>
      <c r="L452" s="53" t="str">
        <f t="shared" si="52"/>
        <v>Equipamentos</v>
      </c>
      <c r="M452" s="53" t="str">
        <f t="shared" si="52"/>
        <v>Eq.AudioVisuais</v>
      </c>
      <c r="N452" s="53" t="str">
        <f t="shared" si="54"/>
        <v>Aparelho Avi</v>
      </c>
      <c r="O452" s="53" t="str">
        <f t="shared" si="54"/>
        <v>Amplificador</v>
      </c>
      <c r="P452" s="54" t="s">
        <v>2577</v>
      </c>
      <c r="Q452" s="54" t="s">
        <v>2578</v>
      </c>
      <c r="R452" s="54" t="s">
        <v>6437</v>
      </c>
      <c r="S452" s="54" t="s">
        <v>692</v>
      </c>
      <c r="T452" s="55" t="str">
        <f t="shared" si="53"/>
        <v>Equipamentos</v>
      </c>
      <c r="U452" s="55" t="str">
        <f t="shared" si="53"/>
        <v>Eq AudioVisuais</v>
      </c>
      <c r="V452" s="55" t="str">
        <f t="shared" si="53"/>
        <v>Aparelho Avi</v>
      </c>
      <c r="W452" s="54" t="s">
        <v>7259</v>
      </c>
      <c r="X452" s="84" t="str">
        <f t="shared" si="55"/>
        <v>Key-COD-CT-452</v>
      </c>
      <c r="Y452" s="84" t="s">
        <v>5560</v>
      </c>
      <c r="Z452" s="84" t="s">
        <v>692</v>
      </c>
      <c r="AA452" s="84" t="s">
        <v>5737</v>
      </c>
      <c r="AB452" s="84" t="s">
        <v>692</v>
      </c>
      <c r="AC452" s="84" t="s">
        <v>692</v>
      </c>
      <c r="AD452" s="54" t="s">
        <v>692</v>
      </c>
    </row>
    <row r="453" spans="1:30" ht="6.75" customHeight="1" x14ac:dyDescent="0.25">
      <c r="A453" s="85">
        <v>453</v>
      </c>
      <c r="B453" s="59" t="s">
        <v>5419</v>
      </c>
      <c r="C453" s="60" t="s">
        <v>791</v>
      </c>
      <c r="D453" s="59" t="s">
        <v>2570</v>
      </c>
      <c r="E453" s="59" t="s">
        <v>2571</v>
      </c>
      <c r="F453" s="61" t="s">
        <v>2579</v>
      </c>
      <c r="G453" s="81" t="s">
        <v>692</v>
      </c>
      <c r="H453" s="81" t="s">
        <v>692</v>
      </c>
      <c r="I453" s="81" t="s">
        <v>692</v>
      </c>
      <c r="J453" s="81" t="s">
        <v>692</v>
      </c>
      <c r="K453" s="81" t="s">
        <v>692</v>
      </c>
      <c r="L453" s="53" t="str">
        <f t="shared" si="52"/>
        <v>Equipamentos</v>
      </c>
      <c r="M453" s="53" t="str">
        <f t="shared" si="52"/>
        <v>Eq.AudioVisuais</v>
      </c>
      <c r="N453" s="53" t="str">
        <f t="shared" si="54"/>
        <v>Aparelho Avi</v>
      </c>
      <c r="O453" s="53" t="str">
        <f t="shared" si="54"/>
        <v>Câmera</v>
      </c>
      <c r="P453" s="54" t="s">
        <v>2580</v>
      </c>
      <c r="Q453" s="54" t="s">
        <v>2581</v>
      </c>
      <c r="R453" s="54" t="s">
        <v>6438</v>
      </c>
      <c r="S453" s="54" t="s">
        <v>692</v>
      </c>
      <c r="T453" s="55" t="str">
        <f t="shared" si="53"/>
        <v>Equipamentos</v>
      </c>
      <c r="U453" s="55" t="str">
        <f t="shared" si="53"/>
        <v>Eq AudioVisuais</v>
      </c>
      <c r="V453" s="55" t="str">
        <f t="shared" si="53"/>
        <v>Aparelho Avi</v>
      </c>
      <c r="W453" s="54" t="s">
        <v>7259</v>
      </c>
      <c r="X453" s="84" t="str">
        <f t="shared" si="55"/>
        <v>Key-COD-CT-453</v>
      </c>
      <c r="Y453" s="84" t="s">
        <v>5560</v>
      </c>
      <c r="Z453" s="84" t="s">
        <v>692</v>
      </c>
      <c r="AA453" s="84" t="s">
        <v>5738</v>
      </c>
      <c r="AB453" s="84" t="s">
        <v>692</v>
      </c>
      <c r="AC453" s="84" t="s">
        <v>692</v>
      </c>
      <c r="AD453" s="54" t="s">
        <v>692</v>
      </c>
    </row>
    <row r="454" spans="1:30" ht="6.75" customHeight="1" x14ac:dyDescent="0.25">
      <c r="A454" s="85">
        <v>454</v>
      </c>
      <c r="B454" s="59" t="s">
        <v>5419</v>
      </c>
      <c r="C454" s="60" t="s">
        <v>791</v>
      </c>
      <c r="D454" s="59" t="s">
        <v>2570</v>
      </c>
      <c r="E454" s="59" t="s">
        <v>2571</v>
      </c>
      <c r="F454" s="61" t="s">
        <v>2582</v>
      </c>
      <c r="G454" s="81" t="s">
        <v>692</v>
      </c>
      <c r="H454" s="81" t="s">
        <v>692</v>
      </c>
      <c r="I454" s="81" t="s">
        <v>692</v>
      </c>
      <c r="J454" s="81" t="s">
        <v>692</v>
      </c>
      <c r="K454" s="81" t="s">
        <v>692</v>
      </c>
      <c r="L454" s="53" t="str">
        <f t="shared" si="52"/>
        <v>Equipamentos</v>
      </c>
      <c r="M454" s="53" t="str">
        <f t="shared" si="52"/>
        <v>Eq.AudioVisuais</v>
      </c>
      <c r="N454" s="53" t="str">
        <f t="shared" si="54"/>
        <v>Aparelho Avi</v>
      </c>
      <c r="O454" s="53" t="str">
        <f t="shared" si="54"/>
        <v>Terminal de Comunicação</v>
      </c>
      <c r="P454" s="54" t="s">
        <v>2583</v>
      </c>
      <c r="Q454" s="54" t="s">
        <v>2584</v>
      </c>
      <c r="R454" s="54" t="s">
        <v>6439</v>
      </c>
      <c r="S454" s="54" t="s">
        <v>692</v>
      </c>
      <c r="T454" s="55" t="str">
        <f t="shared" si="53"/>
        <v>Equipamentos</v>
      </c>
      <c r="U454" s="55" t="str">
        <f t="shared" si="53"/>
        <v>Eq AudioVisuais</v>
      </c>
      <c r="V454" s="55" t="str">
        <f t="shared" si="53"/>
        <v>Aparelho Avi</v>
      </c>
      <c r="W454" s="54" t="s">
        <v>7259</v>
      </c>
      <c r="X454" s="84" t="str">
        <f t="shared" si="55"/>
        <v>Key-COD-CT-454</v>
      </c>
      <c r="Y454" s="84" t="s">
        <v>5560</v>
      </c>
      <c r="Z454" s="84" t="s">
        <v>692</v>
      </c>
      <c r="AA454" s="84" t="s">
        <v>5739</v>
      </c>
      <c r="AB454" s="84" t="s">
        <v>692</v>
      </c>
      <c r="AC454" s="84" t="s">
        <v>692</v>
      </c>
      <c r="AD454" s="54" t="s">
        <v>692</v>
      </c>
    </row>
    <row r="455" spans="1:30" ht="6.75" customHeight="1" x14ac:dyDescent="0.25">
      <c r="A455" s="85">
        <v>455</v>
      </c>
      <c r="B455" s="59" t="s">
        <v>5419</v>
      </c>
      <c r="C455" s="60" t="s">
        <v>791</v>
      </c>
      <c r="D455" s="59" t="s">
        <v>2570</v>
      </c>
      <c r="E455" s="59" t="s">
        <v>2571</v>
      </c>
      <c r="F455" s="61" t="s">
        <v>2585</v>
      </c>
      <c r="G455" s="81" t="s">
        <v>692</v>
      </c>
      <c r="H455" s="81" t="s">
        <v>692</v>
      </c>
      <c r="I455" s="81" t="s">
        <v>692</v>
      </c>
      <c r="J455" s="81" t="s">
        <v>692</v>
      </c>
      <c r="K455" s="81" t="s">
        <v>692</v>
      </c>
      <c r="L455" s="53" t="str">
        <f t="shared" ref="L455:M518" si="56">CONCATENATE("", C455)</f>
        <v>Equipamentos</v>
      </c>
      <c r="M455" s="53" t="str">
        <f t="shared" si="56"/>
        <v>Eq.AudioVisuais</v>
      </c>
      <c r="N455" s="53" t="str">
        <f t="shared" si="54"/>
        <v>Aparelho Avi</v>
      </c>
      <c r="O455" s="53" t="str">
        <f t="shared" si="54"/>
        <v>Monitor</v>
      </c>
      <c r="P455" s="54" t="s">
        <v>2586</v>
      </c>
      <c r="Q455" s="54" t="s">
        <v>2587</v>
      </c>
      <c r="R455" s="54" t="s">
        <v>6440</v>
      </c>
      <c r="S455" s="54" t="s">
        <v>692</v>
      </c>
      <c r="T455" s="55" t="str">
        <f t="shared" si="53"/>
        <v>Equipamentos</v>
      </c>
      <c r="U455" s="55" t="str">
        <f t="shared" si="53"/>
        <v>Eq AudioVisuais</v>
      </c>
      <c r="V455" s="55" t="str">
        <f t="shared" si="53"/>
        <v>Aparelho Avi</v>
      </c>
      <c r="W455" s="54" t="s">
        <v>7259</v>
      </c>
      <c r="X455" s="84" t="str">
        <f t="shared" si="55"/>
        <v>Key-COD-CT-455</v>
      </c>
      <c r="Y455" s="84" t="s">
        <v>5560</v>
      </c>
      <c r="Z455" s="84" t="s">
        <v>692</v>
      </c>
      <c r="AA455" s="84" t="s">
        <v>5740</v>
      </c>
      <c r="AB455" s="84" t="s">
        <v>692</v>
      </c>
      <c r="AC455" s="84" t="s">
        <v>692</v>
      </c>
      <c r="AD455" s="54" t="s">
        <v>692</v>
      </c>
    </row>
    <row r="456" spans="1:30" ht="6.75" customHeight="1" x14ac:dyDescent="0.25">
      <c r="A456" s="85">
        <v>456</v>
      </c>
      <c r="B456" s="59" t="s">
        <v>5419</v>
      </c>
      <c r="C456" s="60" t="s">
        <v>791</v>
      </c>
      <c r="D456" s="59" t="s">
        <v>2570</v>
      </c>
      <c r="E456" s="59" t="s">
        <v>2571</v>
      </c>
      <c r="F456" s="61" t="s">
        <v>2588</v>
      </c>
      <c r="G456" s="81" t="s">
        <v>692</v>
      </c>
      <c r="H456" s="81" t="s">
        <v>692</v>
      </c>
      <c r="I456" s="81" t="s">
        <v>692</v>
      </c>
      <c r="J456" s="81" t="s">
        <v>692</v>
      </c>
      <c r="K456" s="81" t="s">
        <v>692</v>
      </c>
      <c r="L456" s="53" t="str">
        <f t="shared" si="56"/>
        <v>Equipamentos</v>
      </c>
      <c r="M456" s="53" t="str">
        <f t="shared" si="56"/>
        <v>Eq.AudioVisuais</v>
      </c>
      <c r="N456" s="53" t="str">
        <f t="shared" si="54"/>
        <v>Aparelho Avi</v>
      </c>
      <c r="O456" s="53" t="str">
        <f t="shared" si="54"/>
        <v>Microfone</v>
      </c>
      <c r="P456" s="54" t="s">
        <v>2589</v>
      </c>
      <c r="Q456" s="54" t="s">
        <v>2590</v>
      </c>
      <c r="R456" s="54" t="s">
        <v>6441</v>
      </c>
      <c r="S456" s="54" t="s">
        <v>692</v>
      </c>
      <c r="T456" s="55" t="str">
        <f t="shared" si="53"/>
        <v>Equipamentos</v>
      </c>
      <c r="U456" s="55" t="str">
        <f t="shared" si="53"/>
        <v>Eq AudioVisuais</v>
      </c>
      <c r="V456" s="55" t="str">
        <f t="shared" si="53"/>
        <v>Aparelho Avi</v>
      </c>
      <c r="W456" s="54" t="s">
        <v>7259</v>
      </c>
      <c r="X456" s="84" t="str">
        <f t="shared" si="55"/>
        <v>Key-COD-CT-456</v>
      </c>
      <c r="Y456" s="84" t="s">
        <v>5560</v>
      </c>
      <c r="Z456" s="84" t="s">
        <v>692</v>
      </c>
      <c r="AA456" s="84" t="s">
        <v>5741</v>
      </c>
      <c r="AB456" s="84" t="s">
        <v>692</v>
      </c>
      <c r="AC456" s="84" t="s">
        <v>692</v>
      </c>
      <c r="AD456" s="54" t="s">
        <v>692</v>
      </c>
    </row>
    <row r="457" spans="1:30" ht="6.75" customHeight="1" x14ac:dyDescent="0.25">
      <c r="A457" s="85">
        <v>457</v>
      </c>
      <c r="B457" s="59" t="s">
        <v>5419</v>
      </c>
      <c r="C457" s="60" t="s">
        <v>791</v>
      </c>
      <c r="D457" s="59" t="s">
        <v>2570</v>
      </c>
      <c r="E457" s="59" t="s">
        <v>2571</v>
      </c>
      <c r="F457" s="61" t="s">
        <v>2591</v>
      </c>
      <c r="G457" s="81" t="s">
        <v>692</v>
      </c>
      <c r="H457" s="81" t="s">
        <v>692</v>
      </c>
      <c r="I457" s="81" t="s">
        <v>692</v>
      </c>
      <c r="J457" s="81" t="s">
        <v>692</v>
      </c>
      <c r="K457" s="81" t="s">
        <v>692</v>
      </c>
      <c r="L457" s="53" t="str">
        <f t="shared" si="56"/>
        <v>Equipamentos</v>
      </c>
      <c r="M457" s="53" t="str">
        <f t="shared" si="56"/>
        <v>Eq.AudioVisuais</v>
      </c>
      <c r="N457" s="53" t="str">
        <f t="shared" si="54"/>
        <v>Aparelho Avi</v>
      </c>
      <c r="O457" s="53" t="str">
        <f t="shared" si="54"/>
        <v>Reprodutor</v>
      </c>
      <c r="P457" s="54" t="s">
        <v>2592</v>
      </c>
      <c r="Q457" s="54" t="s">
        <v>2593</v>
      </c>
      <c r="R457" s="54" t="s">
        <v>6442</v>
      </c>
      <c r="S457" s="54" t="s">
        <v>692</v>
      </c>
      <c r="T457" s="55" t="str">
        <f t="shared" si="53"/>
        <v>Equipamentos</v>
      </c>
      <c r="U457" s="55" t="str">
        <f t="shared" si="53"/>
        <v>Eq AudioVisuais</v>
      </c>
      <c r="V457" s="55" t="str">
        <f t="shared" si="53"/>
        <v>Aparelho Avi</v>
      </c>
      <c r="W457" s="54" t="s">
        <v>7259</v>
      </c>
      <c r="X457" s="84" t="str">
        <f t="shared" si="55"/>
        <v>Key-COD-CT-457</v>
      </c>
      <c r="Y457" s="84" t="s">
        <v>5560</v>
      </c>
      <c r="Z457" s="84" t="s">
        <v>692</v>
      </c>
      <c r="AA457" s="84" t="s">
        <v>5742</v>
      </c>
      <c r="AB457" s="84" t="s">
        <v>692</v>
      </c>
      <c r="AC457" s="84" t="s">
        <v>692</v>
      </c>
      <c r="AD457" s="54" t="s">
        <v>692</v>
      </c>
    </row>
    <row r="458" spans="1:30" ht="6.75" customHeight="1" x14ac:dyDescent="0.25">
      <c r="A458" s="85">
        <v>458</v>
      </c>
      <c r="B458" s="59" t="s">
        <v>5419</v>
      </c>
      <c r="C458" s="60" t="s">
        <v>791</v>
      </c>
      <c r="D458" s="59" t="s">
        <v>2570</v>
      </c>
      <c r="E458" s="59" t="s">
        <v>2571</v>
      </c>
      <c r="F458" s="61" t="s">
        <v>2594</v>
      </c>
      <c r="G458" s="81" t="s">
        <v>692</v>
      </c>
      <c r="H458" s="81" t="s">
        <v>692</v>
      </c>
      <c r="I458" s="81" t="s">
        <v>692</v>
      </c>
      <c r="J458" s="81" t="s">
        <v>692</v>
      </c>
      <c r="K458" s="81" t="s">
        <v>692</v>
      </c>
      <c r="L458" s="53" t="str">
        <f t="shared" si="56"/>
        <v>Equipamentos</v>
      </c>
      <c r="M458" s="53" t="str">
        <f t="shared" si="56"/>
        <v>Eq.AudioVisuais</v>
      </c>
      <c r="N458" s="53" t="str">
        <f t="shared" si="54"/>
        <v>Aparelho Avi</v>
      </c>
      <c r="O458" s="53" t="str">
        <f t="shared" si="54"/>
        <v>Projetor</v>
      </c>
      <c r="P458" s="54" t="s">
        <v>2595</v>
      </c>
      <c r="Q458" s="54" t="s">
        <v>2596</v>
      </c>
      <c r="R458" s="54" t="s">
        <v>6443</v>
      </c>
      <c r="S458" s="54" t="s">
        <v>692</v>
      </c>
      <c r="T458" s="55" t="str">
        <f t="shared" si="53"/>
        <v>Equipamentos</v>
      </c>
      <c r="U458" s="55" t="str">
        <f t="shared" si="53"/>
        <v>Eq AudioVisuais</v>
      </c>
      <c r="V458" s="55" t="str">
        <f t="shared" si="53"/>
        <v>Aparelho Avi</v>
      </c>
      <c r="W458" s="54" t="s">
        <v>7259</v>
      </c>
      <c r="X458" s="84" t="str">
        <f t="shared" si="55"/>
        <v>Key-COD-CT-458</v>
      </c>
      <c r="Y458" s="84" t="s">
        <v>5560</v>
      </c>
      <c r="Z458" s="84" t="s">
        <v>692</v>
      </c>
      <c r="AA458" s="84" t="s">
        <v>5743</v>
      </c>
      <c r="AB458" s="84" t="s">
        <v>692</v>
      </c>
      <c r="AC458" s="84" t="s">
        <v>692</v>
      </c>
      <c r="AD458" s="54" t="s">
        <v>692</v>
      </c>
    </row>
    <row r="459" spans="1:30" ht="6.75" customHeight="1" x14ac:dyDescent="0.25">
      <c r="A459" s="85">
        <v>459</v>
      </c>
      <c r="B459" s="59" t="s">
        <v>5419</v>
      </c>
      <c r="C459" s="60" t="s">
        <v>791</v>
      </c>
      <c r="D459" s="59" t="s">
        <v>2570</v>
      </c>
      <c r="E459" s="59" t="s">
        <v>2571</v>
      </c>
      <c r="F459" s="61" t="s">
        <v>2597</v>
      </c>
      <c r="G459" s="81" t="s">
        <v>692</v>
      </c>
      <c r="H459" s="81" t="s">
        <v>692</v>
      </c>
      <c r="I459" s="81" t="s">
        <v>692</v>
      </c>
      <c r="J459" s="81" t="s">
        <v>692</v>
      </c>
      <c r="K459" s="81" t="s">
        <v>692</v>
      </c>
      <c r="L459" s="53" t="str">
        <f t="shared" si="56"/>
        <v>Equipamentos</v>
      </c>
      <c r="M459" s="53" t="str">
        <f t="shared" si="56"/>
        <v>Eq.AudioVisuais</v>
      </c>
      <c r="N459" s="53" t="str">
        <f t="shared" si="54"/>
        <v>Aparelho Avi</v>
      </c>
      <c r="O459" s="53" t="str">
        <f t="shared" si="54"/>
        <v>Receptor</v>
      </c>
      <c r="P459" s="54" t="s">
        <v>2598</v>
      </c>
      <c r="Q459" s="54" t="s">
        <v>2599</v>
      </c>
      <c r="R459" s="54" t="s">
        <v>6444</v>
      </c>
      <c r="S459" s="54" t="s">
        <v>692</v>
      </c>
      <c r="T459" s="55" t="str">
        <f t="shared" si="53"/>
        <v>Equipamentos</v>
      </c>
      <c r="U459" s="55" t="str">
        <f t="shared" si="53"/>
        <v>Eq AudioVisuais</v>
      </c>
      <c r="V459" s="55" t="str">
        <f t="shared" si="53"/>
        <v>Aparelho Avi</v>
      </c>
      <c r="W459" s="54" t="s">
        <v>7259</v>
      </c>
      <c r="X459" s="84" t="str">
        <f t="shared" si="55"/>
        <v>Key-COD-CT-459</v>
      </c>
      <c r="Y459" s="84" t="s">
        <v>5560</v>
      </c>
      <c r="Z459" s="84" t="s">
        <v>692</v>
      </c>
      <c r="AA459" s="84" t="s">
        <v>5744</v>
      </c>
      <c r="AB459" s="84" t="s">
        <v>692</v>
      </c>
      <c r="AC459" s="84" t="s">
        <v>692</v>
      </c>
      <c r="AD459" s="54" t="s">
        <v>692</v>
      </c>
    </row>
    <row r="460" spans="1:30" ht="6.75" customHeight="1" x14ac:dyDescent="0.25">
      <c r="A460" s="85">
        <v>460</v>
      </c>
      <c r="B460" s="59" t="s">
        <v>5419</v>
      </c>
      <c r="C460" s="60" t="s">
        <v>791</v>
      </c>
      <c r="D460" s="59" t="s">
        <v>2570</v>
      </c>
      <c r="E460" s="59" t="s">
        <v>2571</v>
      </c>
      <c r="F460" s="61" t="s">
        <v>2600</v>
      </c>
      <c r="G460" s="81" t="s">
        <v>692</v>
      </c>
      <c r="H460" s="81" t="s">
        <v>692</v>
      </c>
      <c r="I460" s="81" t="s">
        <v>692</v>
      </c>
      <c r="J460" s="81" t="s">
        <v>692</v>
      </c>
      <c r="K460" s="81" t="s">
        <v>692</v>
      </c>
      <c r="L460" s="53" t="str">
        <f t="shared" si="56"/>
        <v>Equipamentos</v>
      </c>
      <c r="M460" s="53" t="str">
        <f t="shared" si="56"/>
        <v>Eq.AudioVisuais</v>
      </c>
      <c r="N460" s="53" t="str">
        <f t="shared" si="54"/>
        <v>Aparelho Avi</v>
      </c>
      <c r="O460" s="53" t="str">
        <f t="shared" si="54"/>
        <v>Equipo de Gravação</v>
      </c>
      <c r="P460" s="54" t="s">
        <v>2601</v>
      </c>
      <c r="Q460" s="54" t="s">
        <v>2602</v>
      </c>
      <c r="R460" s="54" t="s">
        <v>6445</v>
      </c>
      <c r="S460" s="54" t="s">
        <v>692</v>
      </c>
      <c r="T460" s="55" t="str">
        <f t="shared" si="53"/>
        <v>Equipamentos</v>
      </c>
      <c r="U460" s="55" t="str">
        <f t="shared" si="53"/>
        <v>Eq AudioVisuais</v>
      </c>
      <c r="V460" s="55" t="str">
        <f t="shared" si="53"/>
        <v>Aparelho Avi</v>
      </c>
      <c r="W460" s="54" t="s">
        <v>7259</v>
      </c>
      <c r="X460" s="84" t="str">
        <f t="shared" si="55"/>
        <v>Key-COD-CT-460</v>
      </c>
      <c r="Y460" s="84" t="s">
        <v>5560</v>
      </c>
      <c r="Z460" s="84" t="s">
        <v>692</v>
      </c>
      <c r="AA460" s="84" t="s">
        <v>5745</v>
      </c>
      <c r="AB460" s="84" t="s">
        <v>692</v>
      </c>
      <c r="AC460" s="84" t="s">
        <v>692</v>
      </c>
      <c r="AD460" s="54" t="s">
        <v>692</v>
      </c>
    </row>
    <row r="461" spans="1:30" ht="6.75" customHeight="1" x14ac:dyDescent="0.25">
      <c r="A461" s="85">
        <v>461</v>
      </c>
      <c r="B461" s="59" t="s">
        <v>5419</v>
      </c>
      <c r="C461" s="60" t="s">
        <v>791</v>
      </c>
      <c r="D461" s="59" t="s">
        <v>2570</v>
      </c>
      <c r="E461" s="59" t="s">
        <v>2571</v>
      </c>
      <c r="F461" s="61" t="s">
        <v>2603</v>
      </c>
      <c r="G461" s="81" t="s">
        <v>692</v>
      </c>
      <c r="H461" s="81" t="s">
        <v>692</v>
      </c>
      <c r="I461" s="81" t="s">
        <v>692</v>
      </c>
      <c r="J461" s="81" t="s">
        <v>692</v>
      </c>
      <c r="K461" s="81" t="s">
        <v>692</v>
      </c>
      <c r="L461" s="53" t="str">
        <f t="shared" si="56"/>
        <v>Equipamentos</v>
      </c>
      <c r="M461" s="53" t="str">
        <f t="shared" si="56"/>
        <v>Eq.AudioVisuais</v>
      </c>
      <c r="N461" s="53" t="str">
        <f t="shared" si="54"/>
        <v>Aparelho Avi</v>
      </c>
      <c r="O461" s="53" t="str">
        <f t="shared" si="54"/>
        <v>Alto-falante</v>
      </c>
      <c r="P461" s="54" t="s">
        <v>2604</v>
      </c>
      <c r="Q461" s="54" t="s">
        <v>2605</v>
      </c>
      <c r="R461" s="54" t="s">
        <v>6446</v>
      </c>
      <c r="S461" s="54" t="s">
        <v>692</v>
      </c>
      <c r="T461" s="55" t="str">
        <f t="shared" si="53"/>
        <v>Equipamentos</v>
      </c>
      <c r="U461" s="55" t="str">
        <f t="shared" si="53"/>
        <v>Eq AudioVisuais</v>
      </c>
      <c r="V461" s="55" t="str">
        <f t="shared" si="53"/>
        <v>Aparelho Avi</v>
      </c>
      <c r="W461" s="54" t="s">
        <v>7259</v>
      </c>
      <c r="X461" s="84" t="str">
        <f t="shared" si="55"/>
        <v>Key-COD-CT-461</v>
      </c>
      <c r="Y461" s="84" t="s">
        <v>5560</v>
      </c>
      <c r="Z461" s="84" t="s">
        <v>692</v>
      </c>
      <c r="AA461" s="84" t="s">
        <v>5746</v>
      </c>
      <c r="AB461" s="84" t="s">
        <v>692</v>
      </c>
      <c r="AC461" s="84" t="s">
        <v>692</v>
      </c>
      <c r="AD461" s="54" t="s">
        <v>692</v>
      </c>
    </row>
    <row r="462" spans="1:30" ht="6.75" customHeight="1" x14ac:dyDescent="0.25">
      <c r="A462" s="85">
        <v>462</v>
      </c>
      <c r="B462" s="59" t="s">
        <v>5419</v>
      </c>
      <c r="C462" s="60" t="s">
        <v>791</v>
      </c>
      <c r="D462" s="59" t="s">
        <v>2570</v>
      </c>
      <c r="E462" s="59" t="s">
        <v>2571</v>
      </c>
      <c r="F462" s="61" t="s">
        <v>2606</v>
      </c>
      <c r="G462" s="81" t="s">
        <v>692</v>
      </c>
      <c r="H462" s="81" t="s">
        <v>692</v>
      </c>
      <c r="I462" s="81" t="s">
        <v>692</v>
      </c>
      <c r="J462" s="81" t="s">
        <v>692</v>
      </c>
      <c r="K462" s="81" t="s">
        <v>692</v>
      </c>
      <c r="L462" s="53" t="str">
        <f t="shared" si="56"/>
        <v>Equipamentos</v>
      </c>
      <c r="M462" s="53" t="str">
        <f t="shared" si="56"/>
        <v>Eq.AudioVisuais</v>
      </c>
      <c r="N462" s="53" t="str">
        <f t="shared" si="54"/>
        <v>Aparelho Avi</v>
      </c>
      <c r="O462" s="53" t="str">
        <f t="shared" si="54"/>
        <v>Comutador</v>
      </c>
      <c r="P462" s="54" t="s">
        <v>2607</v>
      </c>
      <c r="Q462" s="54" t="s">
        <v>2608</v>
      </c>
      <c r="R462" s="54" t="s">
        <v>6447</v>
      </c>
      <c r="S462" s="54" t="s">
        <v>692</v>
      </c>
      <c r="T462" s="55" t="str">
        <f t="shared" si="53"/>
        <v>Equipamentos</v>
      </c>
      <c r="U462" s="55" t="str">
        <f t="shared" si="53"/>
        <v>Eq AudioVisuais</v>
      </c>
      <c r="V462" s="55" t="str">
        <f t="shared" si="53"/>
        <v>Aparelho Avi</v>
      </c>
      <c r="W462" s="54" t="s">
        <v>7259</v>
      </c>
      <c r="X462" s="84" t="str">
        <f t="shared" si="55"/>
        <v>Key-COD-CT-462</v>
      </c>
      <c r="Y462" s="84" t="s">
        <v>5560</v>
      </c>
      <c r="Z462" s="84" t="s">
        <v>692</v>
      </c>
      <c r="AA462" s="84" t="s">
        <v>5747</v>
      </c>
      <c r="AB462" s="84" t="s">
        <v>692</v>
      </c>
      <c r="AC462" s="84" t="s">
        <v>692</v>
      </c>
      <c r="AD462" s="54" t="s">
        <v>692</v>
      </c>
    </row>
    <row r="463" spans="1:30" ht="6.75" customHeight="1" x14ac:dyDescent="0.25">
      <c r="A463" s="85">
        <v>463</v>
      </c>
      <c r="B463" s="59" t="s">
        <v>5419</v>
      </c>
      <c r="C463" s="60" t="s">
        <v>791</v>
      </c>
      <c r="D463" s="59" t="s">
        <v>2570</v>
      </c>
      <c r="E463" s="59" t="s">
        <v>2571</v>
      </c>
      <c r="F463" s="61" t="s">
        <v>2609</v>
      </c>
      <c r="G463" s="81" t="s">
        <v>692</v>
      </c>
      <c r="H463" s="81" t="s">
        <v>692</v>
      </c>
      <c r="I463" s="81" t="s">
        <v>692</v>
      </c>
      <c r="J463" s="81" t="s">
        <v>692</v>
      </c>
      <c r="K463" s="81" t="s">
        <v>692</v>
      </c>
      <c r="L463" s="53" t="str">
        <f t="shared" si="56"/>
        <v>Equipamentos</v>
      </c>
      <c r="M463" s="53" t="str">
        <f t="shared" si="56"/>
        <v>Eq.AudioVisuais</v>
      </c>
      <c r="N463" s="53" t="str">
        <f t="shared" si="54"/>
        <v>Aparelho Avi</v>
      </c>
      <c r="O463" s="53" t="str">
        <f t="shared" si="54"/>
        <v>Telefone</v>
      </c>
      <c r="P463" s="54" t="s">
        <v>2610</v>
      </c>
      <c r="Q463" s="54" t="s">
        <v>2611</v>
      </c>
      <c r="R463" s="54" t="s">
        <v>6448</v>
      </c>
      <c r="S463" s="54" t="s">
        <v>692</v>
      </c>
      <c r="T463" s="55" t="str">
        <f t="shared" si="53"/>
        <v>Equipamentos</v>
      </c>
      <c r="U463" s="55" t="str">
        <f t="shared" si="53"/>
        <v>Eq AudioVisuais</v>
      </c>
      <c r="V463" s="55" t="str">
        <f t="shared" si="53"/>
        <v>Aparelho Avi</v>
      </c>
      <c r="W463" s="54" t="s">
        <v>7259</v>
      </c>
      <c r="X463" s="84" t="str">
        <f t="shared" si="55"/>
        <v>Key-COD-CT-463</v>
      </c>
      <c r="Y463" s="84" t="s">
        <v>5560</v>
      </c>
      <c r="Z463" s="84" t="s">
        <v>692</v>
      </c>
      <c r="AA463" s="84" t="s">
        <v>5748</v>
      </c>
      <c r="AB463" s="84" t="s">
        <v>692</v>
      </c>
      <c r="AC463" s="84" t="s">
        <v>692</v>
      </c>
      <c r="AD463" s="54" t="s">
        <v>692</v>
      </c>
    </row>
    <row r="464" spans="1:30" ht="6.75" customHeight="1" x14ac:dyDescent="0.25">
      <c r="A464" s="85">
        <v>464</v>
      </c>
      <c r="B464" s="59" t="s">
        <v>5419</v>
      </c>
      <c r="C464" s="60" t="s">
        <v>791</v>
      </c>
      <c r="D464" s="59" t="s">
        <v>2570</v>
      </c>
      <c r="E464" s="59" t="s">
        <v>2571</v>
      </c>
      <c r="F464" s="61" t="s">
        <v>2612</v>
      </c>
      <c r="G464" s="81" t="s">
        <v>692</v>
      </c>
      <c r="H464" s="81" t="s">
        <v>692</v>
      </c>
      <c r="I464" s="81" t="s">
        <v>692</v>
      </c>
      <c r="J464" s="81" t="s">
        <v>692</v>
      </c>
      <c r="K464" s="81" t="s">
        <v>692</v>
      </c>
      <c r="L464" s="53" t="str">
        <f t="shared" si="56"/>
        <v>Equipamentos</v>
      </c>
      <c r="M464" s="53" t="str">
        <f t="shared" si="56"/>
        <v>Eq.AudioVisuais</v>
      </c>
      <c r="N464" s="53" t="str">
        <f t="shared" si="54"/>
        <v>Aparelho Avi</v>
      </c>
      <c r="O464" s="53" t="str">
        <f t="shared" si="54"/>
        <v>Sintonizador</v>
      </c>
      <c r="P464" s="54" t="s">
        <v>2613</v>
      </c>
      <c r="Q464" s="54" t="s">
        <v>2614</v>
      </c>
      <c r="R464" s="54" t="s">
        <v>6449</v>
      </c>
      <c r="S464" s="54" t="s">
        <v>692</v>
      </c>
      <c r="T464" s="55" t="str">
        <f t="shared" si="53"/>
        <v>Equipamentos</v>
      </c>
      <c r="U464" s="55" t="str">
        <f t="shared" si="53"/>
        <v>Eq AudioVisuais</v>
      </c>
      <c r="V464" s="55" t="str">
        <f t="shared" si="53"/>
        <v>Aparelho Avi</v>
      </c>
      <c r="W464" s="54" t="s">
        <v>7259</v>
      </c>
      <c r="X464" s="84" t="str">
        <f t="shared" si="55"/>
        <v>Key-COD-CT-464</v>
      </c>
      <c r="Y464" s="84" t="s">
        <v>5560</v>
      </c>
      <c r="Z464" s="84" t="s">
        <v>692</v>
      </c>
      <c r="AA464" s="84" t="s">
        <v>5749</v>
      </c>
      <c r="AB464" s="84" t="s">
        <v>692</v>
      </c>
      <c r="AC464" s="84" t="s">
        <v>692</v>
      </c>
      <c r="AD464" s="54" t="s">
        <v>692</v>
      </c>
    </row>
    <row r="465" spans="1:30" ht="6.75" customHeight="1" x14ac:dyDescent="0.25">
      <c r="A465" s="85">
        <v>465</v>
      </c>
      <c r="B465" s="59" t="s">
        <v>5419</v>
      </c>
      <c r="C465" s="60" t="s">
        <v>791</v>
      </c>
      <c r="D465" s="59" t="s">
        <v>2615</v>
      </c>
      <c r="E465" s="59" t="s">
        <v>2616</v>
      </c>
      <c r="F465" s="61" t="s">
        <v>2617</v>
      </c>
      <c r="G465" s="81" t="s">
        <v>692</v>
      </c>
      <c r="H465" s="81" t="s">
        <v>692</v>
      </c>
      <c r="I465" s="81" t="s">
        <v>2618</v>
      </c>
      <c r="J465" s="81" t="s">
        <v>692</v>
      </c>
      <c r="K465" s="81" t="s">
        <v>692</v>
      </c>
      <c r="L465" s="53" t="str">
        <f t="shared" si="56"/>
        <v>Equipamentos</v>
      </c>
      <c r="M465" s="53" t="str">
        <f t="shared" si="56"/>
        <v>Eq.Hospitalares</v>
      </c>
      <c r="N465" s="53" t="str">
        <f t="shared" si="54"/>
        <v>Aparelho Saúde</v>
      </c>
      <c r="O465" s="53" t="str">
        <f t="shared" si="54"/>
        <v>Dispositivo Médico</v>
      </c>
      <c r="P465" s="54" t="s">
        <v>2619</v>
      </c>
      <c r="Q465" s="54" t="s">
        <v>2620</v>
      </c>
      <c r="R465" s="54" t="s">
        <v>6450</v>
      </c>
      <c r="S465" s="54" t="s">
        <v>692</v>
      </c>
      <c r="T465" s="55" t="str">
        <f t="shared" si="53"/>
        <v>Equipamentos</v>
      </c>
      <c r="U465" s="55" t="str">
        <f t="shared" si="53"/>
        <v>Eq Hospitalares</v>
      </c>
      <c r="V465" s="55" t="str">
        <f t="shared" si="53"/>
        <v>Aparelho Saúde</v>
      </c>
      <c r="W465" s="54" t="s">
        <v>7259</v>
      </c>
      <c r="X465" s="84" t="str">
        <f t="shared" si="55"/>
        <v>Key-COD-CT-465</v>
      </c>
      <c r="Y465" s="84" t="s">
        <v>5561</v>
      </c>
      <c r="Z465" s="84" t="s">
        <v>692</v>
      </c>
      <c r="AA465" s="84" t="s">
        <v>5750</v>
      </c>
      <c r="AB465" s="84" t="s">
        <v>692</v>
      </c>
      <c r="AC465" s="84" t="s">
        <v>692</v>
      </c>
      <c r="AD465" s="54" t="s">
        <v>692</v>
      </c>
    </row>
    <row r="466" spans="1:30" ht="6.75" customHeight="1" x14ac:dyDescent="0.25">
      <c r="A466" s="85">
        <v>466</v>
      </c>
      <c r="B466" s="59" t="s">
        <v>5419</v>
      </c>
      <c r="C466" s="60" t="s">
        <v>791</v>
      </c>
      <c r="D466" s="59" t="s">
        <v>2615</v>
      </c>
      <c r="E466" s="59" t="s">
        <v>2616</v>
      </c>
      <c r="F466" s="61" t="s">
        <v>2621</v>
      </c>
      <c r="G466" s="81" t="s">
        <v>692</v>
      </c>
      <c r="H466" s="81" t="s">
        <v>692</v>
      </c>
      <c r="I466" s="81" t="s">
        <v>692</v>
      </c>
      <c r="J466" s="81" t="s">
        <v>692</v>
      </c>
      <c r="K466" s="81" t="s">
        <v>692</v>
      </c>
      <c r="L466" s="53" t="str">
        <f t="shared" si="56"/>
        <v>Equipamentos</v>
      </c>
      <c r="M466" s="53" t="str">
        <f t="shared" si="56"/>
        <v>Eq.Hospitalares</v>
      </c>
      <c r="N466" s="53" t="str">
        <f t="shared" si="54"/>
        <v>Aparelho Saúde</v>
      </c>
      <c r="O466" s="53" t="str">
        <f t="shared" si="54"/>
        <v>Ar Medicinal Estação</v>
      </c>
      <c r="P466" s="54" t="s">
        <v>2622</v>
      </c>
      <c r="Q466" s="54" t="s">
        <v>2623</v>
      </c>
      <c r="R466" s="54" t="s">
        <v>6451</v>
      </c>
      <c r="S466" s="54" t="s">
        <v>692</v>
      </c>
      <c r="T466" s="55" t="str">
        <f t="shared" si="53"/>
        <v>Equipamentos</v>
      </c>
      <c r="U466" s="55" t="str">
        <f t="shared" si="53"/>
        <v>Eq Hospitalares</v>
      </c>
      <c r="V466" s="55" t="str">
        <f t="shared" si="53"/>
        <v>Aparelho Saúde</v>
      </c>
      <c r="W466" s="54" t="s">
        <v>7259</v>
      </c>
      <c r="X466" s="84" t="str">
        <f t="shared" si="55"/>
        <v>Key-COD-CT-466</v>
      </c>
      <c r="Y466" s="84" t="s">
        <v>5561</v>
      </c>
      <c r="Z466" s="84" t="s">
        <v>692</v>
      </c>
      <c r="AA466" s="84" t="s">
        <v>5751</v>
      </c>
      <c r="AB466" s="84" t="s">
        <v>692</v>
      </c>
      <c r="AC466" s="84" t="s">
        <v>692</v>
      </c>
      <c r="AD466" s="54" t="s">
        <v>692</v>
      </c>
    </row>
    <row r="467" spans="1:30" ht="6.75" customHeight="1" x14ac:dyDescent="0.25">
      <c r="A467" s="85">
        <v>467</v>
      </c>
      <c r="B467" s="59" t="s">
        <v>5419</v>
      </c>
      <c r="C467" s="60" t="s">
        <v>791</v>
      </c>
      <c r="D467" s="59" t="s">
        <v>2615</v>
      </c>
      <c r="E467" s="59" t="s">
        <v>2616</v>
      </c>
      <c r="F467" s="61" t="s">
        <v>2624</v>
      </c>
      <c r="G467" s="81" t="s">
        <v>692</v>
      </c>
      <c r="H467" s="81" t="s">
        <v>692</v>
      </c>
      <c r="I467" s="81" t="s">
        <v>692</v>
      </c>
      <c r="J467" s="81" t="s">
        <v>692</v>
      </c>
      <c r="K467" s="81" t="s">
        <v>692</v>
      </c>
      <c r="L467" s="53" t="str">
        <f t="shared" si="56"/>
        <v>Equipamentos</v>
      </c>
      <c r="M467" s="53" t="str">
        <f t="shared" si="56"/>
        <v>Eq.Hospitalares</v>
      </c>
      <c r="N467" s="53" t="str">
        <f t="shared" si="54"/>
        <v>Aparelho Saúde</v>
      </c>
      <c r="O467" s="53" t="str">
        <f t="shared" si="54"/>
        <v>Ar Medicinal Alimentador</v>
      </c>
      <c r="P467" s="54" t="s">
        <v>2625</v>
      </c>
      <c r="Q467" s="54" t="s">
        <v>2626</v>
      </c>
      <c r="R467" s="54" t="s">
        <v>6452</v>
      </c>
      <c r="S467" s="54" t="s">
        <v>692</v>
      </c>
      <c r="T467" s="55" t="str">
        <f t="shared" si="53"/>
        <v>Equipamentos</v>
      </c>
      <c r="U467" s="55" t="str">
        <f t="shared" si="53"/>
        <v>Eq Hospitalares</v>
      </c>
      <c r="V467" s="55" t="str">
        <f t="shared" si="53"/>
        <v>Aparelho Saúde</v>
      </c>
      <c r="W467" s="54" t="s">
        <v>7259</v>
      </c>
      <c r="X467" s="84" t="str">
        <f t="shared" si="55"/>
        <v>Key-COD-CT-467</v>
      </c>
      <c r="Y467" s="84" t="s">
        <v>5561</v>
      </c>
      <c r="Z467" s="84" t="s">
        <v>692</v>
      </c>
      <c r="AA467" s="84" t="s">
        <v>5752</v>
      </c>
      <c r="AB467" s="84" t="s">
        <v>692</v>
      </c>
      <c r="AC467" s="84" t="s">
        <v>692</v>
      </c>
      <c r="AD467" s="54" t="s">
        <v>692</v>
      </c>
    </row>
    <row r="468" spans="1:30" ht="6.75" customHeight="1" x14ac:dyDescent="0.25">
      <c r="A468" s="85">
        <v>468</v>
      </c>
      <c r="B468" s="59" t="s">
        <v>5419</v>
      </c>
      <c r="C468" s="60" t="s">
        <v>791</v>
      </c>
      <c r="D468" s="59" t="s">
        <v>2615</v>
      </c>
      <c r="E468" s="59" t="s">
        <v>2616</v>
      </c>
      <c r="F468" s="61" t="s">
        <v>2627</v>
      </c>
      <c r="G468" s="81" t="s">
        <v>692</v>
      </c>
      <c r="H468" s="81" t="s">
        <v>692</v>
      </c>
      <c r="I468" s="81" t="s">
        <v>692</v>
      </c>
      <c r="J468" s="81" t="s">
        <v>692</v>
      </c>
      <c r="K468" s="81" t="s">
        <v>692</v>
      </c>
      <c r="L468" s="53" t="str">
        <f t="shared" si="56"/>
        <v>Equipamentos</v>
      </c>
      <c r="M468" s="53" t="str">
        <f t="shared" si="56"/>
        <v>Eq.Hospitalares</v>
      </c>
      <c r="N468" s="53" t="str">
        <f t="shared" si="54"/>
        <v>Aparelho Saúde</v>
      </c>
      <c r="O468" s="53" t="str">
        <f t="shared" si="54"/>
        <v>Vácuo Medicinal Estação</v>
      </c>
      <c r="P468" s="54" t="s">
        <v>2628</v>
      </c>
      <c r="Q468" s="54" t="s">
        <v>2629</v>
      </c>
      <c r="R468" s="54" t="s">
        <v>6453</v>
      </c>
      <c r="S468" s="54" t="s">
        <v>692</v>
      </c>
      <c r="T468" s="55" t="str">
        <f t="shared" si="53"/>
        <v>Equipamentos</v>
      </c>
      <c r="U468" s="55" t="str">
        <f t="shared" si="53"/>
        <v>Eq Hospitalares</v>
      </c>
      <c r="V468" s="55" t="str">
        <f t="shared" si="53"/>
        <v>Aparelho Saúde</v>
      </c>
      <c r="W468" s="54" t="s">
        <v>7259</v>
      </c>
      <c r="X468" s="84" t="str">
        <f t="shared" si="55"/>
        <v>Key-COD-CT-468</v>
      </c>
      <c r="Y468" s="84" t="s">
        <v>5561</v>
      </c>
      <c r="Z468" s="84" t="s">
        <v>692</v>
      </c>
      <c r="AA468" s="84" t="s">
        <v>5753</v>
      </c>
      <c r="AB468" s="84" t="s">
        <v>692</v>
      </c>
      <c r="AC468" s="84" t="s">
        <v>692</v>
      </c>
      <c r="AD468" s="54" t="s">
        <v>692</v>
      </c>
    </row>
    <row r="469" spans="1:30" ht="6.75" customHeight="1" x14ac:dyDescent="0.25">
      <c r="A469" s="85">
        <v>469</v>
      </c>
      <c r="B469" s="59" t="s">
        <v>5419</v>
      </c>
      <c r="C469" s="60" t="s">
        <v>791</v>
      </c>
      <c r="D469" s="59" t="s">
        <v>2615</v>
      </c>
      <c r="E469" s="59" t="s">
        <v>2616</v>
      </c>
      <c r="F469" s="61" t="s">
        <v>2630</v>
      </c>
      <c r="G469" s="81" t="s">
        <v>692</v>
      </c>
      <c r="H469" s="81" t="s">
        <v>692</v>
      </c>
      <c r="I469" s="81" t="s">
        <v>692</v>
      </c>
      <c r="J469" s="81" t="s">
        <v>692</v>
      </c>
      <c r="K469" s="81" t="s">
        <v>692</v>
      </c>
      <c r="L469" s="53" t="str">
        <f t="shared" si="56"/>
        <v>Equipamentos</v>
      </c>
      <c r="M469" s="53" t="str">
        <f t="shared" si="56"/>
        <v>Eq.Hospitalares</v>
      </c>
      <c r="N469" s="53" t="str">
        <f t="shared" si="54"/>
        <v>Aparelho Saúde</v>
      </c>
      <c r="O469" s="53" t="str">
        <f t="shared" si="54"/>
        <v>Oxigênio Gerador</v>
      </c>
      <c r="P469" s="54" t="s">
        <v>2631</v>
      </c>
      <c r="Q469" s="54" t="s">
        <v>2632</v>
      </c>
      <c r="R469" s="54" t="s">
        <v>6454</v>
      </c>
      <c r="S469" s="54" t="s">
        <v>692</v>
      </c>
      <c r="T469" s="55" t="str">
        <f t="shared" si="53"/>
        <v>Equipamentos</v>
      </c>
      <c r="U469" s="55" t="str">
        <f t="shared" si="53"/>
        <v>Eq Hospitalares</v>
      </c>
      <c r="V469" s="55" t="str">
        <f t="shared" si="53"/>
        <v>Aparelho Saúde</v>
      </c>
      <c r="W469" s="54" t="s">
        <v>7259</v>
      </c>
      <c r="X469" s="84" t="str">
        <f t="shared" si="55"/>
        <v>Key-COD-CT-469</v>
      </c>
      <c r="Y469" s="84" t="s">
        <v>5561</v>
      </c>
      <c r="Z469" s="84" t="s">
        <v>692</v>
      </c>
      <c r="AA469" s="84" t="s">
        <v>5754</v>
      </c>
      <c r="AB469" s="84" t="s">
        <v>692</v>
      </c>
      <c r="AC469" s="84" t="s">
        <v>692</v>
      </c>
      <c r="AD469" s="54" t="s">
        <v>692</v>
      </c>
    </row>
    <row r="470" spans="1:30" ht="6.75" customHeight="1" x14ac:dyDescent="0.25">
      <c r="A470" s="85">
        <v>470</v>
      </c>
      <c r="B470" s="59" t="s">
        <v>5419</v>
      </c>
      <c r="C470" s="60" t="s">
        <v>791</v>
      </c>
      <c r="D470" s="59" t="s">
        <v>2615</v>
      </c>
      <c r="E470" s="59" t="s">
        <v>2616</v>
      </c>
      <c r="F470" s="61" t="s">
        <v>2633</v>
      </c>
      <c r="G470" s="81" t="s">
        <v>692</v>
      </c>
      <c r="H470" s="81" t="s">
        <v>692</v>
      </c>
      <c r="I470" s="81" t="s">
        <v>692</v>
      </c>
      <c r="J470" s="81" t="s">
        <v>692</v>
      </c>
      <c r="K470" s="81" t="s">
        <v>692</v>
      </c>
      <c r="L470" s="53" t="str">
        <f t="shared" si="56"/>
        <v>Equipamentos</v>
      </c>
      <c r="M470" s="53" t="str">
        <f t="shared" si="56"/>
        <v>Eq.Hospitalares</v>
      </c>
      <c r="N470" s="53" t="str">
        <f t="shared" si="54"/>
        <v>Aparelho Saúde</v>
      </c>
      <c r="O470" s="53" t="str">
        <f t="shared" si="54"/>
        <v>Oxigênio Usina</v>
      </c>
      <c r="P470" s="54" t="s">
        <v>2634</v>
      </c>
      <c r="Q470" s="54" t="s">
        <v>2635</v>
      </c>
      <c r="R470" s="54" t="s">
        <v>6455</v>
      </c>
      <c r="S470" s="54" t="s">
        <v>692</v>
      </c>
      <c r="T470" s="55" t="str">
        <f t="shared" si="53"/>
        <v>Equipamentos</v>
      </c>
      <c r="U470" s="55" t="str">
        <f t="shared" si="53"/>
        <v>Eq Hospitalares</v>
      </c>
      <c r="V470" s="55" t="str">
        <f t="shared" si="53"/>
        <v>Aparelho Saúde</v>
      </c>
      <c r="W470" s="54" t="s">
        <v>7259</v>
      </c>
      <c r="X470" s="84" t="str">
        <f t="shared" si="55"/>
        <v>Key-COD-CT-470</v>
      </c>
      <c r="Y470" s="84" t="s">
        <v>5561</v>
      </c>
      <c r="Z470" s="84" t="s">
        <v>692</v>
      </c>
      <c r="AA470" s="84" t="s">
        <v>5755</v>
      </c>
      <c r="AB470" s="84" t="s">
        <v>692</v>
      </c>
      <c r="AC470" s="84" t="s">
        <v>692</v>
      </c>
      <c r="AD470" s="54" t="s">
        <v>692</v>
      </c>
    </row>
    <row r="471" spans="1:30" ht="6.75" customHeight="1" x14ac:dyDescent="0.25">
      <c r="A471" s="85">
        <v>471</v>
      </c>
      <c r="B471" s="59" t="s">
        <v>5419</v>
      </c>
      <c r="C471" s="60" t="s">
        <v>791</v>
      </c>
      <c r="D471" s="59" t="s">
        <v>2615</v>
      </c>
      <c r="E471" s="59" t="s">
        <v>2616</v>
      </c>
      <c r="F471" s="59" t="s">
        <v>2636</v>
      </c>
      <c r="G471" s="81" t="s">
        <v>692</v>
      </c>
      <c r="H471" s="81" t="s">
        <v>692</v>
      </c>
      <c r="I471" s="81" t="s">
        <v>692</v>
      </c>
      <c r="J471" s="81" t="s">
        <v>692</v>
      </c>
      <c r="K471" s="81" t="s">
        <v>692</v>
      </c>
      <c r="L471" s="53" t="str">
        <f t="shared" si="56"/>
        <v>Equipamentos</v>
      </c>
      <c r="M471" s="53" t="str">
        <f t="shared" si="56"/>
        <v>Eq.Hospitalares</v>
      </c>
      <c r="N471" s="53" t="str">
        <f t="shared" si="54"/>
        <v>Aparelho Saúde</v>
      </c>
      <c r="O471" s="53" t="str">
        <f t="shared" si="54"/>
        <v>Chamada Enfermagem</v>
      </c>
      <c r="P471" s="54" t="s">
        <v>2637</v>
      </c>
      <c r="Q471" s="54" t="s">
        <v>2638</v>
      </c>
      <c r="R471" s="54" t="s">
        <v>6456</v>
      </c>
      <c r="S471" s="54" t="s">
        <v>692</v>
      </c>
      <c r="T471" s="55" t="str">
        <f t="shared" si="53"/>
        <v>Equipamentos</v>
      </c>
      <c r="U471" s="55" t="str">
        <f t="shared" si="53"/>
        <v>Eq Hospitalares</v>
      </c>
      <c r="V471" s="55" t="str">
        <f t="shared" si="53"/>
        <v>Aparelho Saúde</v>
      </c>
      <c r="W471" s="54" t="s">
        <v>7259</v>
      </c>
      <c r="X471" s="84" t="str">
        <f t="shared" si="55"/>
        <v>Key-COD-CT-471</v>
      </c>
      <c r="Y471" s="84" t="s">
        <v>5562</v>
      </c>
      <c r="Z471" s="84" t="s">
        <v>692</v>
      </c>
      <c r="AA471" s="84" t="s">
        <v>5486</v>
      </c>
      <c r="AB471" s="84" t="s">
        <v>692</v>
      </c>
      <c r="AC471" s="84" t="s">
        <v>692</v>
      </c>
      <c r="AD471" s="54" t="s">
        <v>692</v>
      </c>
    </row>
    <row r="472" spans="1:30" ht="6.75" customHeight="1" x14ac:dyDescent="0.25">
      <c r="A472" s="85">
        <v>472</v>
      </c>
      <c r="B472" s="59" t="s">
        <v>5419</v>
      </c>
      <c r="C472" s="60" t="s">
        <v>791</v>
      </c>
      <c r="D472" s="59" t="s">
        <v>2639</v>
      </c>
      <c r="E472" s="59" t="s">
        <v>2640</v>
      </c>
      <c r="F472" s="61" t="s">
        <v>2641</v>
      </c>
      <c r="G472" s="81" t="s">
        <v>692</v>
      </c>
      <c r="H472" s="81" t="s">
        <v>692</v>
      </c>
      <c r="I472" s="81" t="s">
        <v>692</v>
      </c>
      <c r="J472" s="81" t="s">
        <v>692</v>
      </c>
      <c r="K472" s="81" t="s">
        <v>692</v>
      </c>
      <c r="L472" s="53" t="str">
        <f t="shared" si="56"/>
        <v>Equipamentos</v>
      </c>
      <c r="M472" s="53" t="str">
        <f t="shared" si="56"/>
        <v>Eq.Telecom</v>
      </c>
      <c r="N472" s="53" t="str">
        <f t="shared" si="54"/>
        <v>Aparelho Fixo</v>
      </c>
      <c r="O472" s="53" t="str">
        <f t="shared" si="54"/>
        <v>Dispositivo Comunicação</v>
      </c>
      <c r="P472" s="54" t="s">
        <v>2642</v>
      </c>
      <c r="Q472" s="54" t="s">
        <v>2643</v>
      </c>
      <c r="R472" s="54" t="s">
        <v>6457</v>
      </c>
      <c r="S472" s="54" t="s">
        <v>692</v>
      </c>
      <c r="T472" s="55" t="str">
        <f t="shared" si="53"/>
        <v>Equipamentos</v>
      </c>
      <c r="U472" s="55" t="str">
        <f t="shared" si="53"/>
        <v>Eq Telecom</v>
      </c>
      <c r="V472" s="55" t="str">
        <f t="shared" si="53"/>
        <v>Aparelho Fixo</v>
      </c>
      <c r="W472" s="54" t="s">
        <v>7259</v>
      </c>
      <c r="X472" s="84" t="str">
        <f t="shared" si="55"/>
        <v>Key-COD-CT-472</v>
      </c>
      <c r="Y472" s="84" t="s">
        <v>5995</v>
      </c>
      <c r="Z472" s="84" t="s">
        <v>692</v>
      </c>
      <c r="AA472" s="84" t="s">
        <v>5756</v>
      </c>
      <c r="AB472" s="84" t="s">
        <v>692</v>
      </c>
      <c r="AC472" s="84" t="s">
        <v>692</v>
      </c>
      <c r="AD472" s="54" t="s">
        <v>692</v>
      </c>
    </row>
    <row r="473" spans="1:30" ht="6.75" customHeight="1" x14ac:dyDescent="0.25">
      <c r="A473" s="85">
        <v>473</v>
      </c>
      <c r="B473" s="59" t="s">
        <v>5419</v>
      </c>
      <c r="C473" s="60" t="s">
        <v>791</v>
      </c>
      <c r="D473" s="59" t="s">
        <v>2639</v>
      </c>
      <c r="E473" s="59" t="s">
        <v>2640</v>
      </c>
      <c r="F473" s="61" t="s">
        <v>2644</v>
      </c>
      <c r="G473" s="81" t="s">
        <v>692</v>
      </c>
      <c r="H473" s="81" t="s">
        <v>692</v>
      </c>
      <c r="I473" s="81" t="s">
        <v>692</v>
      </c>
      <c r="J473" s="81" t="s">
        <v>692</v>
      </c>
      <c r="K473" s="81" t="s">
        <v>692</v>
      </c>
      <c r="L473" s="53" t="str">
        <f t="shared" si="56"/>
        <v>Equipamentos</v>
      </c>
      <c r="M473" s="53" t="str">
        <f t="shared" si="56"/>
        <v>Eq.Telecom</v>
      </c>
      <c r="N473" s="53" t="str">
        <f t="shared" si="54"/>
        <v>Aparelho Fixo</v>
      </c>
      <c r="O473" s="53" t="str">
        <f t="shared" si="54"/>
        <v>Antena</v>
      </c>
      <c r="P473" s="54" t="s">
        <v>2645</v>
      </c>
      <c r="Q473" s="54" t="s">
        <v>2646</v>
      </c>
      <c r="R473" s="54" t="s">
        <v>6458</v>
      </c>
      <c r="S473" s="54" t="s">
        <v>692</v>
      </c>
      <c r="T473" s="55" t="str">
        <f t="shared" si="53"/>
        <v>Equipamentos</v>
      </c>
      <c r="U473" s="55" t="str">
        <f t="shared" si="53"/>
        <v>Eq Telecom</v>
      </c>
      <c r="V473" s="55" t="str">
        <f t="shared" si="53"/>
        <v>Aparelho Fixo</v>
      </c>
      <c r="W473" s="54" t="s">
        <v>7259</v>
      </c>
      <c r="X473" s="84" t="str">
        <f t="shared" si="55"/>
        <v>Key-COD-CT-473</v>
      </c>
      <c r="Y473" s="84" t="s">
        <v>5995</v>
      </c>
      <c r="Z473" s="84" t="s">
        <v>692</v>
      </c>
      <c r="AA473" s="84" t="s">
        <v>5757</v>
      </c>
      <c r="AB473" s="84" t="s">
        <v>692</v>
      </c>
      <c r="AC473" s="84" t="s">
        <v>692</v>
      </c>
      <c r="AD473" s="54" t="s">
        <v>692</v>
      </c>
    </row>
    <row r="474" spans="1:30" ht="6.75" customHeight="1" x14ac:dyDescent="0.25">
      <c r="A474" s="85">
        <v>474</v>
      </c>
      <c r="B474" s="59" t="s">
        <v>5419</v>
      </c>
      <c r="C474" s="60" t="s">
        <v>791</v>
      </c>
      <c r="D474" s="59" t="s">
        <v>2639</v>
      </c>
      <c r="E474" s="59" t="s">
        <v>2640</v>
      </c>
      <c r="F474" s="61" t="s">
        <v>2647</v>
      </c>
      <c r="G474" s="81" t="s">
        <v>692</v>
      </c>
      <c r="H474" s="81" t="s">
        <v>692</v>
      </c>
      <c r="I474" s="81" t="s">
        <v>692</v>
      </c>
      <c r="J474" s="81" t="s">
        <v>692</v>
      </c>
      <c r="K474" s="81" t="s">
        <v>692</v>
      </c>
      <c r="L474" s="53" t="str">
        <f t="shared" si="56"/>
        <v>Equipamentos</v>
      </c>
      <c r="M474" s="53" t="str">
        <f t="shared" si="56"/>
        <v>Eq.Telecom</v>
      </c>
      <c r="N474" s="53" t="str">
        <f t="shared" si="54"/>
        <v>Aparelho Fixo</v>
      </c>
      <c r="O474" s="53" t="str">
        <f t="shared" si="54"/>
        <v>Autômato</v>
      </c>
      <c r="P474" s="54" t="s">
        <v>2648</v>
      </c>
      <c r="Q474" s="54" t="s">
        <v>2649</v>
      </c>
      <c r="R474" s="54" t="s">
        <v>6459</v>
      </c>
      <c r="S474" s="54" t="s">
        <v>692</v>
      </c>
      <c r="T474" s="55" t="str">
        <f t="shared" si="53"/>
        <v>Equipamentos</v>
      </c>
      <c r="U474" s="55" t="str">
        <f t="shared" si="53"/>
        <v>Eq Telecom</v>
      </c>
      <c r="V474" s="55" t="str">
        <f t="shared" si="53"/>
        <v>Aparelho Fixo</v>
      </c>
      <c r="W474" s="54" t="s">
        <v>7259</v>
      </c>
      <c r="X474" s="84" t="str">
        <f t="shared" si="55"/>
        <v>Key-COD-CT-474</v>
      </c>
      <c r="Y474" s="84" t="s">
        <v>5995</v>
      </c>
      <c r="Z474" s="84" t="s">
        <v>692</v>
      </c>
      <c r="AA474" s="84" t="s">
        <v>5758</v>
      </c>
      <c r="AB474" s="84" t="s">
        <v>692</v>
      </c>
      <c r="AC474" s="84" t="s">
        <v>692</v>
      </c>
      <c r="AD474" s="54" t="s">
        <v>692</v>
      </c>
    </row>
    <row r="475" spans="1:30" ht="6.75" customHeight="1" x14ac:dyDescent="0.25">
      <c r="A475" s="85">
        <v>475</v>
      </c>
      <c r="B475" s="59" t="s">
        <v>5419</v>
      </c>
      <c r="C475" s="60" t="s">
        <v>791</v>
      </c>
      <c r="D475" s="59" t="s">
        <v>2639</v>
      </c>
      <c r="E475" s="59" t="s">
        <v>2640</v>
      </c>
      <c r="F475" s="61" t="s">
        <v>2650</v>
      </c>
      <c r="G475" s="81" t="s">
        <v>692</v>
      </c>
      <c r="H475" s="81" t="s">
        <v>692</v>
      </c>
      <c r="I475" s="81" t="s">
        <v>692</v>
      </c>
      <c r="J475" s="81" t="s">
        <v>692</v>
      </c>
      <c r="K475" s="81" t="s">
        <v>692</v>
      </c>
      <c r="L475" s="53" t="str">
        <f t="shared" si="56"/>
        <v>Equipamentos</v>
      </c>
      <c r="M475" s="53" t="str">
        <f t="shared" si="56"/>
        <v>Eq.Telecom</v>
      </c>
      <c r="N475" s="53" t="str">
        <f t="shared" si="54"/>
        <v>Aparelho Fixo</v>
      </c>
      <c r="O475" s="53" t="str">
        <f t="shared" si="54"/>
        <v>Computador</v>
      </c>
      <c r="P475" s="54" t="s">
        <v>2651</v>
      </c>
      <c r="Q475" s="54" t="s">
        <v>2652</v>
      </c>
      <c r="R475" s="54" t="s">
        <v>6460</v>
      </c>
      <c r="S475" s="54" t="s">
        <v>692</v>
      </c>
      <c r="T475" s="55" t="str">
        <f t="shared" si="53"/>
        <v>Equipamentos</v>
      </c>
      <c r="U475" s="55" t="str">
        <f t="shared" si="53"/>
        <v>Eq Telecom</v>
      </c>
      <c r="V475" s="55" t="str">
        <f t="shared" si="53"/>
        <v>Aparelho Fixo</v>
      </c>
      <c r="W475" s="54" t="s">
        <v>7259</v>
      </c>
      <c r="X475" s="84" t="str">
        <f t="shared" si="55"/>
        <v>Key-COD-CT-475</v>
      </c>
      <c r="Y475" s="84" t="s">
        <v>5995</v>
      </c>
      <c r="Z475" s="84" t="s">
        <v>692</v>
      </c>
      <c r="AA475" s="84" t="s">
        <v>5759</v>
      </c>
      <c r="AB475" s="84" t="s">
        <v>692</v>
      </c>
      <c r="AC475" s="84" t="s">
        <v>692</v>
      </c>
      <c r="AD475" s="54" t="s">
        <v>692</v>
      </c>
    </row>
    <row r="476" spans="1:30" ht="6.75" customHeight="1" x14ac:dyDescent="0.25">
      <c r="A476" s="85">
        <v>476</v>
      </c>
      <c r="B476" s="59" t="s">
        <v>5419</v>
      </c>
      <c r="C476" s="60" t="s">
        <v>791</v>
      </c>
      <c r="D476" s="59" t="s">
        <v>2639</v>
      </c>
      <c r="E476" s="59" t="s">
        <v>2640</v>
      </c>
      <c r="F476" s="61" t="s">
        <v>2653</v>
      </c>
      <c r="G476" s="81" t="s">
        <v>692</v>
      </c>
      <c r="H476" s="81" t="s">
        <v>692</v>
      </c>
      <c r="I476" s="81" t="s">
        <v>692</v>
      </c>
      <c r="J476" s="81" t="s">
        <v>692</v>
      </c>
      <c r="K476" s="81" t="s">
        <v>692</v>
      </c>
      <c r="L476" s="53" t="str">
        <f t="shared" si="56"/>
        <v>Equipamentos</v>
      </c>
      <c r="M476" s="53" t="str">
        <f t="shared" si="56"/>
        <v>Eq.Telecom</v>
      </c>
      <c r="N476" s="53" t="str">
        <f t="shared" si="54"/>
        <v>Aparelho Fixo</v>
      </c>
      <c r="O476" s="53" t="str">
        <f t="shared" si="54"/>
        <v>Fax</v>
      </c>
      <c r="P476" s="54" t="s">
        <v>2654</v>
      </c>
      <c r="Q476" s="54" t="s">
        <v>2655</v>
      </c>
      <c r="R476" s="54" t="s">
        <v>6461</v>
      </c>
      <c r="S476" s="54" t="s">
        <v>692</v>
      </c>
      <c r="T476" s="55" t="str">
        <f t="shared" si="53"/>
        <v>Equipamentos</v>
      </c>
      <c r="U476" s="55" t="str">
        <f t="shared" si="53"/>
        <v>Eq Telecom</v>
      </c>
      <c r="V476" s="55" t="str">
        <f t="shared" si="53"/>
        <v>Aparelho Fixo</v>
      </c>
      <c r="W476" s="54" t="s">
        <v>7259</v>
      </c>
      <c r="X476" s="84" t="str">
        <f t="shared" si="55"/>
        <v>Key-COD-CT-476</v>
      </c>
      <c r="Y476" s="84" t="s">
        <v>5995</v>
      </c>
      <c r="Z476" s="84" t="s">
        <v>692</v>
      </c>
      <c r="AA476" s="84" t="s">
        <v>5760</v>
      </c>
      <c r="AB476" s="84" t="s">
        <v>692</v>
      </c>
      <c r="AC476" s="84" t="s">
        <v>692</v>
      </c>
      <c r="AD476" s="54" t="s">
        <v>692</v>
      </c>
    </row>
    <row r="477" spans="1:30" ht="6.75" customHeight="1" x14ac:dyDescent="0.25">
      <c r="A477" s="85">
        <v>477</v>
      </c>
      <c r="B477" s="59" t="s">
        <v>5419</v>
      </c>
      <c r="C477" s="60" t="s">
        <v>791</v>
      </c>
      <c r="D477" s="59" t="s">
        <v>2639</v>
      </c>
      <c r="E477" s="59" t="s">
        <v>2640</v>
      </c>
      <c r="F477" s="61" t="s">
        <v>2656</v>
      </c>
      <c r="G477" s="81" t="s">
        <v>692</v>
      </c>
      <c r="H477" s="81" t="s">
        <v>692</v>
      </c>
      <c r="I477" s="81" t="s">
        <v>692</v>
      </c>
      <c r="J477" s="81" t="s">
        <v>692</v>
      </c>
      <c r="K477" s="81" t="s">
        <v>692</v>
      </c>
      <c r="L477" s="53" t="str">
        <f t="shared" si="56"/>
        <v>Equipamentos</v>
      </c>
      <c r="M477" s="53" t="str">
        <f t="shared" si="56"/>
        <v>Eq.Telecom</v>
      </c>
      <c r="N477" s="53" t="str">
        <f t="shared" si="54"/>
        <v>Aparelho Fixo</v>
      </c>
      <c r="O477" s="53" t="str">
        <f t="shared" si="54"/>
        <v>Portal de Rede</v>
      </c>
      <c r="P477" s="54" t="s">
        <v>2657</v>
      </c>
      <c r="Q477" s="54" t="s">
        <v>2658</v>
      </c>
      <c r="R477" s="54" t="s">
        <v>6462</v>
      </c>
      <c r="S477" s="54" t="s">
        <v>692</v>
      </c>
      <c r="T477" s="55" t="str">
        <f t="shared" si="53"/>
        <v>Equipamentos</v>
      </c>
      <c r="U477" s="55" t="str">
        <f t="shared" si="53"/>
        <v>Eq Telecom</v>
      </c>
      <c r="V477" s="55" t="str">
        <f t="shared" si="53"/>
        <v>Aparelho Fixo</v>
      </c>
      <c r="W477" s="54" t="s">
        <v>7259</v>
      </c>
      <c r="X477" s="84" t="str">
        <f t="shared" si="55"/>
        <v>Key-COD-CT-477</v>
      </c>
      <c r="Y477" s="84" t="s">
        <v>5995</v>
      </c>
      <c r="Z477" s="84" t="s">
        <v>692</v>
      </c>
      <c r="AA477" s="84" t="s">
        <v>5761</v>
      </c>
      <c r="AB477" s="84" t="s">
        <v>692</v>
      </c>
      <c r="AC477" s="84" t="s">
        <v>692</v>
      </c>
      <c r="AD477" s="54" t="s">
        <v>692</v>
      </c>
    </row>
    <row r="478" spans="1:30" ht="6.75" customHeight="1" x14ac:dyDescent="0.25">
      <c r="A478" s="85">
        <v>478</v>
      </c>
      <c r="B478" s="59" t="s">
        <v>5419</v>
      </c>
      <c r="C478" s="60" t="s">
        <v>791</v>
      </c>
      <c r="D478" s="59" t="s">
        <v>2639</v>
      </c>
      <c r="E478" s="59" t="s">
        <v>2640</v>
      </c>
      <c r="F478" s="61" t="s">
        <v>2659</v>
      </c>
      <c r="G478" s="81" t="s">
        <v>692</v>
      </c>
      <c r="H478" s="81" t="s">
        <v>692</v>
      </c>
      <c r="I478" s="81" t="s">
        <v>692</v>
      </c>
      <c r="J478" s="81" t="s">
        <v>692</v>
      </c>
      <c r="K478" s="81" t="s">
        <v>692</v>
      </c>
      <c r="L478" s="53" t="str">
        <f t="shared" si="56"/>
        <v>Equipamentos</v>
      </c>
      <c r="M478" s="53" t="str">
        <f t="shared" si="56"/>
        <v>Eq.Telecom</v>
      </c>
      <c r="N478" s="53" t="str">
        <f t="shared" si="54"/>
        <v>Aparelho Fixo</v>
      </c>
      <c r="O478" s="53" t="str">
        <f t="shared" si="54"/>
        <v>Periférico Inteligente</v>
      </c>
      <c r="P478" s="54" t="s">
        <v>2660</v>
      </c>
      <c r="Q478" s="54" t="s">
        <v>2661</v>
      </c>
      <c r="R478" s="54" t="s">
        <v>6463</v>
      </c>
      <c r="S478" s="54" t="s">
        <v>692</v>
      </c>
      <c r="T478" s="55" t="str">
        <f t="shared" si="53"/>
        <v>Equipamentos</v>
      </c>
      <c r="U478" s="55" t="str">
        <f t="shared" si="53"/>
        <v>Eq Telecom</v>
      </c>
      <c r="V478" s="55" t="str">
        <f t="shared" si="53"/>
        <v>Aparelho Fixo</v>
      </c>
      <c r="W478" s="54" t="s">
        <v>7259</v>
      </c>
      <c r="X478" s="84" t="str">
        <f t="shared" si="55"/>
        <v>Key-COD-CT-478</v>
      </c>
      <c r="Y478" s="84" t="s">
        <v>5995</v>
      </c>
      <c r="Z478" s="84" t="s">
        <v>692</v>
      </c>
      <c r="AA478" s="84" t="s">
        <v>5762</v>
      </c>
      <c r="AB478" s="84" t="s">
        <v>692</v>
      </c>
      <c r="AC478" s="84" t="s">
        <v>692</v>
      </c>
      <c r="AD478" s="54" t="s">
        <v>692</v>
      </c>
    </row>
    <row r="479" spans="1:30" ht="6.75" customHeight="1" x14ac:dyDescent="0.25">
      <c r="A479" s="85">
        <v>479</v>
      </c>
      <c r="B479" s="59" t="s">
        <v>5419</v>
      </c>
      <c r="C479" s="60" t="s">
        <v>791</v>
      </c>
      <c r="D479" s="59" t="s">
        <v>2639</v>
      </c>
      <c r="E479" s="59" t="s">
        <v>2640</v>
      </c>
      <c r="F479" s="61" t="s">
        <v>2662</v>
      </c>
      <c r="G479" s="81" t="s">
        <v>692</v>
      </c>
      <c r="H479" s="81" t="s">
        <v>692</v>
      </c>
      <c r="I479" s="81" t="s">
        <v>692</v>
      </c>
      <c r="J479" s="81" t="s">
        <v>692</v>
      </c>
      <c r="K479" s="81" t="s">
        <v>692</v>
      </c>
      <c r="L479" s="53" t="str">
        <f t="shared" si="56"/>
        <v>Equipamentos</v>
      </c>
      <c r="M479" s="53" t="str">
        <f t="shared" si="56"/>
        <v>Eq.Telecom</v>
      </c>
      <c r="N479" s="53" t="str">
        <f t="shared" si="54"/>
        <v>Aparelho Fixo</v>
      </c>
      <c r="O479" s="53" t="str">
        <f t="shared" si="54"/>
        <v>Equipamento Rede IP</v>
      </c>
      <c r="P479" s="54" t="s">
        <v>2663</v>
      </c>
      <c r="Q479" s="54" t="s">
        <v>2664</v>
      </c>
      <c r="R479" s="54" t="s">
        <v>6464</v>
      </c>
      <c r="S479" s="54" t="s">
        <v>692</v>
      </c>
      <c r="T479" s="55" t="str">
        <f t="shared" ref="T479:V542" si="57">SUBSTITUTE(C479, ".", " ")</f>
        <v>Equipamentos</v>
      </c>
      <c r="U479" s="55" t="str">
        <f t="shared" si="57"/>
        <v>Eq Telecom</v>
      </c>
      <c r="V479" s="55" t="str">
        <f t="shared" si="57"/>
        <v>Aparelho Fixo</v>
      </c>
      <c r="W479" s="54" t="s">
        <v>7259</v>
      </c>
      <c r="X479" s="84" t="str">
        <f t="shared" si="55"/>
        <v>Key-COD-CT-479</v>
      </c>
      <c r="Y479" s="84" t="s">
        <v>5995</v>
      </c>
      <c r="Z479" s="84" t="s">
        <v>692</v>
      </c>
      <c r="AA479" s="84" t="s">
        <v>5763</v>
      </c>
      <c r="AB479" s="84" t="s">
        <v>692</v>
      </c>
      <c r="AC479" s="84" t="s">
        <v>692</v>
      </c>
      <c r="AD479" s="54" t="s">
        <v>692</v>
      </c>
    </row>
    <row r="480" spans="1:30" ht="6.75" customHeight="1" x14ac:dyDescent="0.25">
      <c r="A480" s="85">
        <v>480</v>
      </c>
      <c r="B480" s="59" t="s">
        <v>5419</v>
      </c>
      <c r="C480" s="60" t="s">
        <v>791</v>
      </c>
      <c r="D480" s="59" t="s">
        <v>2639</v>
      </c>
      <c r="E480" s="59" t="s">
        <v>2640</v>
      </c>
      <c r="F480" s="61" t="s">
        <v>2665</v>
      </c>
      <c r="G480" s="81" t="s">
        <v>692</v>
      </c>
      <c r="H480" s="81" t="s">
        <v>692</v>
      </c>
      <c r="I480" s="81" t="s">
        <v>692</v>
      </c>
      <c r="J480" s="81" t="s">
        <v>692</v>
      </c>
      <c r="K480" s="81" t="s">
        <v>692</v>
      </c>
      <c r="L480" s="53" t="str">
        <f t="shared" si="56"/>
        <v>Equipamentos</v>
      </c>
      <c r="M480" s="53" t="str">
        <f t="shared" si="56"/>
        <v>Eq.Telecom</v>
      </c>
      <c r="N480" s="53" t="str">
        <f t="shared" si="54"/>
        <v>Aparelho Fixo</v>
      </c>
      <c r="O480" s="53" t="str">
        <f t="shared" si="54"/>
        <v>Unidade Eletrônica de Linhas IDE</v>
      </c>
      <c r="P480" s="54" t="s">
        <v>2666</v>
      </c>
      <c r="Q480" s="54" t="s">
        <v>2667</v>
      </c>
      <c r="R480" s="54" t="s">
        <v>6465</v>
      </c>
      <c r="S480" s="54" t="s">
        <v>692</v>
      </c>
      <c r="T480" s="55" t="str">
        <f t="shared" si="57"/>
        <v>Equipamentos</v>
      </c>
      <c r="U480" s="55" t="str">
        <f t="shared" si="57"/>
        <v>Eq Telecom</v>
      </c>
      <c r="V480" s="55" t="str">
        <f t="shared" si="57"/>
        <v>Aparelho Fixo</v>
      </c>
      <c r="W480" s="54" t="s">
        <v>7259</v>
      </c>
      <c r="X480" s="84" t="str">
        <f t="shared" si="55"/>
        <v>Key-COD-CT-480</v>
      </c>
      <c r="Y480" s="84" t="s">
        <v>5995</v>
      </c>
      <c r="Z480" s="84" t="s">
        <v>692</v>
      </c>
      <c r="AA480" s="84" t="s">
        <v>5764</v>
      </c>
      <c r="AB480" s="84" t="s">
        <v>692</v>
      </c>
      <c r="AC480" s="84" t="s">
        <v>692</v>
      </c>
      <c r="AD480" s="54" t="s">
        <v>692</v>
      </c>
    </row>
    <row r="481" spans="1:30" ht="6.75" customHeight="1" x14ac:dyDescent="0.25">
      <c r="A481" s="85">
        <v>481</v>
      </c>
      <c r="B481" s="59" t="s">
        <v>5419</v>
      </c>
      <c r="C481" s="60" t="s">
        <v>791</v>
      </c>
      <c r="D481" s="59" t="s">
        <v>2639</v>
      </c>
      <c r="E481" s="59" t="s">
        <v>2640</v>
      </c>
      <c r="F481" s="61" t="s">
        <v>2668</v>
      </c>
      <c r="G481" s="81" t="s">
        <v>692</v>
      </c>
      <c r="H481" s="81" t="s">
        <v>692</v>
      </c>
      <c r="I481" s="81" t="s">
        <v>692</v>
      </c>
      <c r="J481" s="81" t="s">
        <v>692</v>
      </c>
      <c r="K481" s="81" t="s">
        <v>692</v>
      </c>
      <c r="L481" s="53" t="str">
        <f t="shared" si="56"/>
        <v>Equipamentos</v>
      </c>
      <c r="M481" s="53" t="str">
        <f t="shared" si="56"/>
        <v>Eq.Telecom</v>
      </c>
      <c r="N481" s="53" t="str">
        <f t="shared" si="54"/>
        <v>Aparelho Fixo</v>
      </c>
      <c r="O481" s="53" t="str">
        <f t="shared" si="54"/>
        <v>Modem</v>
      </c>
      <c r="P481" s="54" t="s">
        <v>2669</v>
      </c>
      <c r="Q481" s="54" t="s">
        <v>2670</v>
      </c>
      <c r="R481" s="54" t="s">
        <v>6466</v>
      </c>
      <c r="S481" s="54" t="s">
        <v>692</v>
      </c>
      <c r="T481" s="55" t="str">
        <f t="shared" si="57"/>
        <v>Equipamentos</v>
      </c>
      <c r="U481" s="55" t="str">
        <f t="shared" si="57"/>
        <v>Eq Telecom</v>
      </c>
      <c r="V481" s="55" t="str">
        <f t="shared" si="57"/>
        <v>Aparelho Fixo</v>
      </c>
      <c r="W481" s="54" t="s">
        <v>7259</v>
      </c>
      <c r="X481" s="84" t="str">
        <f t="shared" si="55"/>
        <v>Key-COD-CT-481</v>
      </c>
      <c r="Y481" s="84" t="s">
        <v>5995</v>
      </c>
      <c r="Z481" s="84" t="s">
        <v>692</v>
      </c>
      <c r="AA481" s="84" t="s">
        <v>5765</v>
      </c>
      <c r="AB481" s="84" t="s">
        <v>692</v>
      </c>
      <c r="AC481" s="84" t="s">
        <v>692</v>
      </c>
      <c r="AD481" s="54" t="s">
        <v>692</v>
      </c>
    </row>
    <row r="482" spans="1:30" ht="6.75" customHeight="1" x14ac:dyDescent="0.25">
      <c r="A482" s="85">
        <v>482</v>
      </c>
      <c r="B482" s="59" t="s">
        <v>5419</v>
      </c>
      <c r="C482" s="60" t="s">
        <v>791</v>
      </c>
      <c r="D482" s="59" t="s">
        <v>2639</v>
      </c>
      <c r="E482" s="59" t="s">
        <v>2640</v>
      </c>
      <c r="F482" s="61" t="s">
        <v>2671</v>
      </c>
      <c r="G482" s="81" t="s">
        <v>692</v>
      </c>
      <c r="H482" s="81" t="s">
        <v>692</v>
      </c>
      <c r="I482" s="81" t="s">
        <v>692</v>
      </c>
      <c r="J482" s="81" t="s">
        <v>692</v>
      </c>
      <c r="K482" s="81" t="s">
        <v>692</v>
      </c>
      <c r="L482" s="53" t="str">
        <f t="shared" si="56"/>
        <v>Equipamentos</v>
      </c>
      <c r="M482" s="53" t="str">
        <f t="shared" si="56"/>
        <v>Eq.Telecom</v>
      </c>
      <c r="N482" s="53" t="str">
        <f t="shared" si="54"/>
        <v>Aparelho Fixo</v>
      </c>
      <c r="O482" s="53" t="str">
        <f t="shared" si="54"/>
        <v>Rede</v>
      </c>
      <c r="P482" s="54" t="s">
        <v>2672</v>
      </c>
      <c r="Q482" s="54" t="s">
        <v>2673</v>
      </c>
      <c r="R482" s="54" t="s">
        <v>6467</v>
      </c>
      <c r="S482" s="54" t="s">
        <v>692</v>
      </c>
      <c r="T482" s="55" t="str">
        <f t="shared" si="57"/>
        <v>Equipamentos</v>
      </c>
      <c r="U482" s="55" t="str">
        <f t="shared" si="57"/>
        <v>Eq Telecom</v>
      </c>
      <c r="V482" s="55" t="str">
        <f t="shared" si="57"/>
        <v>Aparelho Fixo</v>
      </c>
      <c r="W482" s="54" t="s">
        <v>7259</v>
      </c>
      <c r="X482" s="84" t="str">
        <f t="shared" si="55"/>
        <v>Key-COD-CT-482</v>
      </c>
      <c r="Y482" s="84" t="s">
        <v>5995</v>
      </c>
      <c r="Z482" s="84" t="s">
        <v>692</v>
      </c>
      <c r="AA482" s="84" t="s">
        <v>5766</v>
      </c>
      <c r="AB482" s="84" t="s">
        <v>692</v>
      </c>
      <c r="AC482" s="84" t="s">
        <v>692</v>
      </c>
      <c r="AD482" s="54" t="s">
        <v>692</v>
      </c>
    </row>
    <row r="483" spans="1:30" ht="6.75" customHeight="1" x14ac:dyDescent="0.25">
      <c r="A483" s="85">
        <v>483</v>
      </c>
      <c r="B483" s="59" t="s">
        <v>5419</v>
      </c>
      <c r="C483" s="60" t="s">
        <v>791</v>
      </c>
      <c r="D483" s="59" t="s">
        <v>2639</v>
      </c>
      <c r="E483" s="59" t="s">
        <v>2640</v>
      </c>
      <c r="F483" s="61" t="s">
        <v>2674</v>
      </c>
      <c r="G483" s="81" t="s">
        <v>692</v>
      </c>
      <c r="H483" s="81" t="s">
        <v>692</v>
      </c>
      <c r="I483" s="81" t="s">
        <v>692</v>
      </c>
      <c r="J483" s="81" t="s">
        <v>692</v>
      </c>
      <c r="K483" s="81" t="s">
        <v>692</v>
      </c>
      <c r="L483" s="53" t="str">
        <f t="shared" si="56"/>
        <v>Equipamentos</v>
      </c>
      <c r="M483" s="53" t="str">
        <f t="shared" si="56"/>
        <v>Eq.Telecom</v>
      </c>
      <c r="N483" s="53" t="str">
        <f t="shared" si="54"/>
        <v>Aparelho Fixo</v>
      </c>
      <c r="O483" s="53" t="str">
        <f t="shared" si="54"/>
        <v>Rede Ponte</v>
      </c>
      <c r="P483" s="54" t="s">
        <v>2675</v>
      </c>
      <c r="Q483" s="54" t="s">
        <v>2676</v>
      </c>
      <c r="R483" s="54" t="s">
        <v>6468</v>
      </c>
      <c r="S483" s="54" t="s">
        <v>692</v>
      </c>
      <c r="T483" s="55" t="str">
        <f t="shared" si="57"/>
        <v>Equipamentos</v>
      </c>
      <c r="U483" s="55" t="str">
        <f t="shared" si="57"/>
        <v>Eq Telecom</v>
      </c>
      <c r="V483" s="55" t="str">
        <f t="shared" si="57"/>
        <v>Aparelho Fixo</v>
      </c>
      <c r="W483" s="54" t="s">
        <v>7259</v>
      </c>
      <c r="X483" s="84" t="str">
        <f t="shared" si="55"/>
        <v>Key-COD-CT-483</v>
      </c>
      <c r="Y483" s="84" t="s">
        <v>5995</v>
      </c>
      <c r="Z483" s="84" t="s">
        <v>692</v>
      </c>
      <c r="AA483" s="84" t="s">
        <v>5767</v>
      </c>
      <c r="AB483" s="84" t="s">
        <v>692</v>
      </c>
      <c r="AC483" s="84" t="s">
        <v>692</v>
      </c>
      <c r="AD483" s="54" t="s">
        <v>692</v>
      </c>
    </row>
    <row r="484" spans="1:30" ht="6.75" customHeight="1" x14ac:dyDescent="0.25">
      <c r="A484" s="85">
        <v>484</v>
      </c>
      <c r="B484" s="59" t="s">
        <v>5419</v>
      </c>
      <c r="C484" s="60" t="s">
        <v>791</v>
      </c>
      <c r="D484" s="59" t="s">
        <v>2639</v>
      </c>
      <c r="E484" s="59" t="s">
        <v>2640</v>
      </c>
      <c r="F484" s="61" t="s">
        <v>2677</v>
      </c>
      <c r="G484" s="81" t="s">
        <v>692</v>
      </c>
      <c r="H484" s="81" t="s">
        <v>692</v>
      </c>
      <c r="I484" s="81" t="s">
        <v>692</v>
      </c>
      <c r="J484" s="81" t="s">
        <v>692</v>
      </c>
      <c r="K484" s="81" t="s">
        <v>692</v>
      </c>
      <c r="L484" s="53" t="str">
        <f t="shared" si="56"/>
        <v>Equipamentos</v>
      </c>
      <c r="M484" s="53" t="str">
        <f t="shared" si="56"/>
        <v>Eq.Telecom</v>
      </c>
      <c r="N484" s="53" t="str">
        <f t="shared" si="54"/>
        <v>Aparelho Fixo</v>
      </c>
      <c r="O484" s="53" t="str">
        <f t="shared" si="54"/>
        <v>Rede Hub</v>
      </c>
      <c r="P484" s="54" t="s">
        <v>2678</v>
      </c>
      <c r="Q484" s="54" t="s">
        <v>2679</v>
      </c>
      <c r="R484" s="54" t="s">
        <v>6469</v>
      </c>
      <c r="S484" s="54" t="s">
        <v>692</v>
      </c>
      <c r="T484" s="55" t="str">
        <f t="shared" si="57"/>
        <v>Equipamentos</v>
      </c>
      <c r="U484" s="55" t="str">
        <f t="shared" si="57"/>
        <v>Eq Telecom</v>
      </c>
      <c r="V484" s="55" t="str">
        <f t="shared" si="57"/>
        <v>Aparelho Fixo</v>
      </c>
      <c r="W484" s="54" t="s">
        <v>7259</v>
      </c>
      <c r="X484" s="84" t="str">
        <f t="shared" si="55"/>
        <v>Key-COD-CT-484</v>
      </c>
      <c r="Y484" s="84" t="s">
        <v>5995</v>
      </c>
      <c r="Z484" s="84" t="s">
        <v>692</v>
      </c>
      <c r="AA484" s="84" t="s">
        <v>5768</v>
      </c>
      <c r="AB484" s="84" t="s">
        <v>692</v>
      </c>
      <c r="AC484" s="84" t="s">
        <v>692</v>
      </c>
      <c r="AD484" s="54" t="s">
        <v>692</v>
      </c>
    </row>
    <row r="485" spans="1:30" ht="6.75" customHeight="1" x14ac:dyDescent="0.25">
      <c r="A485" s="85">
        <v>485</v>
      </c>
      <c r="B485" s="59" t="s">
        <v>5419</v>
      </c>
      <c r="C485" s="60" t="s">
        <v>791</v>
      </c>
      <c r="D485" s="59" t="s">
        <v>2639</v>
      </c>
      <c r="E485" s="59" t="s">
        <v>2640</v>
      </c>
      <c r="F485" s="61" t="s">
        <v>2680</v>
      </c>
      <c r="G485" s="81" t="s">
        <v>692</v>
      </c>
      <c r="H485" s="81" t="s">
        <v>692</v>
      </c>
      <c r="I485" s="81" t="s">
        <v>692</v>
      </c>
      <c r="J485" s="81" t="s">
        <v>692</v>
      </c>
      <c r="K485" s="81" t="s">
        <v>692</v>
      </c>
      <c r="L485" s="53" t="str">
        <f t="shared" si="56"/>
        <v>Equipamentos</v>
      </c>
      <c r="M485" s="53" t="str">
        <f t="shared" si="56"/>
        <v>Eq.Telecom</v>
      </c>
      <c r="N485" s="53" t="str">
        <f t="shared" si="54"/>
        <v>Aparelho Fixo</v>
      </c>
      <c r="O485" s="53" t="str">
        <f t="shared" si="54"/>
        <v>Terminal Linha Óptica</v>
      </c>
      <c r="P485" s="54" t="s">
        <v>2681</v>
      </c>
      <c r="Q485" s="54" t="s">
        <v>2682</v>
      </c>
      <c r="R485" s="54" t="s">
        <v>6470</v>
      </c>
      <c r="S485" s="54" t="s">
        <v>692</v>
      </c>
      <c r="T485" s="55" t="str">
        <f t="shared" si="57"/>
        <v>Equipamentos</v>
      </c>
      <c r="U485" s="55" t="str">
        <f t="shared" si="57"/>
        <v>Eq Telecom</v>
      </c>
      <c r="V485" s="55" t="str">
        <f t="shared" si="57"/>
        <v>Aparelho Fixo</v>
      </c>
      <c r="W485" s="54" t="s">
        <v>7259</v>
      </c>
      <c r="X485" s="84" t="str">
        <f t="shared" si="55"/>
        <v>Key-COD-CT-485</v>
      </c>
      <c r="Y485" s="84" t="s">
        <v>5995</v>
      </c>
      <c r="Z485" s="84" t="s">
        <v>692</v>
      </c>
      <c r="AA485" s="84" t="s">
        <v>5769</v>
      </c>
      <c r="AB485" s="84" t="s">
        <v>692</v>
      </c>
      <c r="AC485" s="84" t="s">
        <v>692</v>
      </c>
      <c r="AD485" s="54" t="s">
        <v>692</v>
      </c>
    </row>
    <row r="486" spans="1:30" ht="6.75" customHeight="1" x14ac:dyDescent="0.25">
      <c r="A486" s="85">
        <v>486</v>
      </c>
      <c r="B486" s="59" t="s">
        <v>5419</v>
      </c>
      <c r="C486" s="60" t="s">
        <v>791</v>
      </c>
      <c r="D486" s="59" t="s">
        <v>2639</v>
      </c>
      <c r="E486" s="59" t="s">
        <v>2640</v>
      </c>
      <c r="F486" s="61" t="s">
        <v>2683</v>
      </c>
      <c r="G486" s="81" t="s">
        <v>692</v>
      </c>
      <c r="H486" s="81" t="s">
        <v>692</v>
      </c>
      <c r="I486" s="81" t="s">
        <v>692</v>
      </c>
      <c r="J486" s="81" t="s">
        <v>692</v>
      </c>
      <c r="K486" s="81" t="s">
        <v>692</v>
      </c>
      <c r="L486" s="53" t="str">
        <f t="shared" si="56"/>
        <v>Equipamentos</v>
      </c>
      <c r="M486" s="53" t="str">
        <f t="shared" si="56"/>
        <v>Eq.Telecom</v>
      </c>
      <c r="N486" s="53" t="str">
        <f t="shared" si="54"/>
        <v>Aparelho Fixo</v>
      </c>
      <c r="O486" s="53" t="str">
        <f t="shared" si="54"/>
        <v>Unidade Rede Óptica</v>
      </c>
      <c r="P486" s="54" t="s">
        <v>2684</v>
      </c>
      <c r="Q486" s="54" t="s">
        <v>2685</v>
      </c>
      <c r="R486" s="54" t="s">
        <v>6471</v>
      </c>
      <c r="S486" s="54" t="s">
        <v>692</v>
      </c>
      <c r="T486" s="55" t="str">
        <f t="shared" si="57"/>
        <v>Equipamentos</v>
      </c>
      <c r="U486" s="55" t="str">
        <f t="shared" si="57"/>
        <v>Eq Telecom</v>
      </c>
      <c r="V486" s="55" t="str">
        <f t="shared" si="57"/>
        <v>Aparelho Fixo</v>
      </c>
      <c r="W486" s="54" t="s">
        <v>7259</v>
      </c>
      <c r="X486" s="84" t="str">
        <f t="shared" si="55"/>
        <v>Key-COD-CT-486</v>
      </c>
      <c r="Y486" s="84" t="s">
        <v>5995</v>
      </c>
      <c r="Z486" s="84" t="s">
        <v>692</v>
      </c>
      <c r="AA486" s="84" t="s">
        <v>5770</v>
      </c>
      <c r="AB486" s="84" t="s">
        <v>692</v>
      </c>
      <c r="AC486" s="84" t="s">
        <v>692</v>
      </c>
      <c r="AD486" s="54" t="s">
        <v>692</v>
      </c>
    </row>
    <row r="487" spans="1:30" ht="6.75" customHeight="1" x14ac:dyDescent="0.25">
      <c r="A487" s="85">
        <v>487</v>
      </c>
      <c r="B487" s="59" t="s">
        <v>5419</v>
      </c>
      <c r="C487" s="60" t="s">
        <v>791</v>
      </c>
      <c r="D487" s="59" t="s">
        <v>2639</v>
      </c>
      <c r="E487" s="59" t="s">
        <v>2640</v>
      </c>
      <c r="F487" s="61" t="s">
        <v>2686</v>
      </c>
      <c r="G487" s="81" t="s">
        <v>692</v>
      </c>
      <c r="H487" s="81" t="s">
        <v>692</v>
      </c>
      <c r="I487" s="81" t="s">
        <v>692</v>
      </c>
      <c r="J487" s="81" t="s">
        <v>692</v>
      </c>
      <c r="K487" s="81" t="s">
        <v>692</v>
      </c>
      <c r="L487" s="53" t="str">
        <f t="shared" si="56"/>
        <v>Equipamentos</v>
      </c>
      <c r="M487" s="53" t="str">
        <f t="shared" si="56"/>
        <v>Eq.Telecom</v>
      </c>
      <c r="N487" s="53" t="str">
        <f t="shared" si="54"/>
        <v>Aparelho Fixo</v>
      </c>
      <c r="O487" s="53" t="str">
        <f t="shared" si="54"/>
        <v>Impressora</v>
      </c>
      <c r="P487" s="54" t="s">
        <v>2687</v>
      </c>
      <c r="Q487" s="54" t="s">
        <v>2688</v>
      </c>
      <c r="R487" s="54" t="s">
        <v>6472</v>
      </c>
      <c r="S487" s="54" t="s">
        <v>692</v>
      </c>
      <c r="T487" s="55" t="str">
        <f t="shared" si="57"/>
        <v>Equipamentos</v>
      </c>
      <c r="U487" s="55" t="str">
        <f t="shared" si="57"/>
        <v>Eq Telecom</v>
      </c>
      <c r="V487" s="55" t="str">
        <f t="shared" si="57"/>
        <v>Aparelho Fixo</v>
      </c>
      <c r="W487" s="54" t="s">
        <v>7259</v>
      </c>
      <c r="X487" s="84" t="str">
        <f t="shared" si="55"/>
        <v>Key-COD-CT-487</v>
      </c>
      <c r="Y487" s="84" t="s">
        <v>5995</v>
      </c>
      <c r="Z487" s="84" t="s">
        <v>692</v>
      </c>
      <c r="AA487" s="84" t="s">
        <v>5771</v>
      </c>
      <c r="AB487" s="84" t="s">
        <v>692</v>
      </c>
      <c r="AC487" s="84" t="s">
        <v>692</v>
      </c>
      <c r="AD487" s="54" t="s">
        <v>692</v>
      </c>
    </row>
    <row r="488" spans="1:30" ht="6.75" customHeight="1" x14ac:dyDescent="0.25">
      <c r="A488" s="85">
        <v>488</v>
      </c>
      <c r="B488" s="59" t="s">
        <v>5419</v>
      </c>
      <c r="C488" s="60" t="s">
        <v>791</v>
      </c>
      <c r="D488" s="59" t="s">
        <v>2639</v>
      </c>
      <c r="E488" s="59" t="s">
        <v>2640</v>
      </c>
      <c r="F488" s="61" t="s">
        <v>2689</v>
      </c>
      <c r="G488" s="81" t="s">
        <v>692</v>
      </c>
      <c r="H488" s="81" t="s">
        <v>692</v>
      </c>
      <c r="I488" s="81" t="s">
        <v>692</v>
      </c>
      <c r="J488" s="81" t="s">
        <v>692</v>
      </c>
      <c r="K488" s="81" t="s">
        <v>692</v>
      </c>
      <c r="L488" s="53" t="str">
        <f t="shared" si="56"/>
        <v>Equipamentos</v>
      </c>
      <c r="M488" s="53" t="str">
        <f t="shared" si="56"/>
        <v>Eq.Telecom</v>
      </c>
      <c r="N488" s="53" t="str">
        <f t="shared" si="54"/>
        <v>Aparelho Fixo</v>
      </c>
      <c r="O488" s="53" t="str">
        <f t="shared" si="54"/>
        <v>Central de Rádio</v>
      </c>
      <c r="P488" s="54" t="s">
        <v>2690</v>
      </c>
      <c r="Q488" s="54" t="s">
        <v>2691</v>
      </c>
      <c r="R488" s="54" t="s">
        <v>6473</v>
      </c>
      <c r="S488" s="54" t="s">
        <v>692</v>
      </c>
      <c r="T488" s="55" t="str">
        <f t="shared" si="57"/>
        <v>Equipamentos</v>
      </c>
      <c r="U488" s="55" t="str">
        <f t="shared" si="57"/>
        <v>Eq Telecom</v>
      </c>
      <c r="V488" s="55" t="str">
        <f t="shared" si="57"/>
        <v>Aparelho Fixo</v>
      </c>
      <c r="W488" s="54" t="s">
        <v>7259</v>
      </c>
      <c r="X488" s="84" t="str">
        <f t="shared" si="55"/>
        <v>Key-COD-CT-488</v>
      </c>
      <c r="Y488" s="84" t="s">
        <v>5995</v>
      </c>
      <c r="Z488" s="84" t="s">
        <v>692</v>
      </c>
      <c r="AA488" s="84" t="s">
        <v>5772</v>
      </c>
      <c r="AB488" s="84" t="s">
        <v>692</v>
      </c>
      <c r="AC488" s="84" t="s">
        <v>692</v>
      </c>
      <c r="AD488" s="54" t="s">
        <v>692</v>
      </c>
    </row>
    <row r="489" spans="1:30" ht="6.75" customHeight="1" x14ac:dyDescent="0.25">
      <c r="A489" s="85">
        <v>489</v>
      </c>
      <c r="B489" s="59" t="s">
        <v>5419</v>
      </c>
      <c r="C489" s="60" t="s">
        <v>791</v>
      </c>
      <c r="D489" s="59" t="s">
        <v>2639</v>
      </c>
      <c r="E489" s="59" t="s">
        <v>2640</v>
      </c>
      <c r="F489" s="61" t="s">
        <v>2692</v>
      </c>
      <c r="G489" s="81" t="s">
        <v>692</v>
      </c>
      <c r="H489" s="81" t="s">
        <v>692</v>
      </c>
      <c r="I489" s="81" t="s">
        <v>692</v>
      </c>
      <c r="J489" s="81" t="s">
        <v>692</v>
      </c>
      <c r="K489" s="81" t="s">
        <v>692</v>
      </c>
      <c r="L489" s="53" t="str">
        <f t="shared" si="56"/>
        <v>Equipamentos</v>
      </c>
      <c r="M489" s="53" t="str">
        <f t="shared" si="56"/>
        <v>Eq.Telecom</v>
      </c>
      <c r="N489" s="53" t="str">
        <f t="shared" si="54"/>
        <v>Aparelho Fixo</v>
      </c>
      <c r="O489" s="53" t="str">
        <f t="shared" si="54"/>
        <v>Repetidor</v>
      </c>
      <c r="P489" s="54" t="s">
        <v>2693</v>
      </c>
      <c r="Q489" s="54" t="s">
        <v>2694</v>
      </c>
      <c r="R489" s="54" t="s">
        <v>6474</v>
      </c>
      <c r="S489" s="54" t="s">
        <v>692</v>
      </c>
      <c r="T489" s="55" t="str">
        <f t="shared" si="57"/>
        <v>Equipamentos</v>
      </c>
      <c r="U489" s="55" t="str">
        <f t="shared" si="57"/>
        <v>Eq Telecom</v>
      </c>
      <c r="V489" s="55" t="str">
        <f t="shared" si="57"/>
        <v>Aparelho Fixo</v>
      </c>
      <c r="W489" s="54" t="s">
        <v>7259</v>
      </c>
      <c r="X489" s="84" t="str">
        <f t="shared" si="55"/>
        <v>Key-COD-CT-489</v>
      </c>
      <c r="Y489" s="84" t="s">
        <v>5995</v>
      </c>
      <c r="Z489" s="84" t="s">
        <v>692</v>
      </c>
      <c r="AA489" s="84" t="s">
        <v>5773</v>
      </c>
      <c r="AB489" s="84" t="s">
        <v>692</v>
      </c>
      <c r="AC489" s="84" t="s">
        <v>692</v>
      </c>
      <c r="AD489" s="54" t="s">
        <v>692</v>
      </c>
    </row>
    <row r="490" spans="1:30" ht="6.75" customHeight="1" x14ac:dyDescent="0.25">
      <c r="A490" s="85">
        <v>490</v>
      </c>
      <c r="B490" s="59" t="s">
        <v>5419</v>
      </c>
      <c r="C490" s="60" t="s">
        <v>791</v>
      </c>
      <c r="D490" s="59" t="s">
        <v>2639</v>
      </c>
      <c r="E490" s="59" t="s">
        <v>2640</v>
      </c>
      <c r="F490" s="61" t="s">
        <v>2695</v>
      </c>
      <c r="G490" s="81" t="s">
        <v>692</v>
      </c>
      <c r="H490" s="81" t="s">
        <v>692</v>
      </c>
      <c r="I490" s="81" t="s">
        <v>692</v>
      </c>
      <c r="J490" s="81" t="s">
        <v>692</v>
      </c>
      <c r="K490" s="81" t="s">
        <v>692</v>
      </c>
      <c r="L490" s="53" t="str">
        <f t="shared" si="56"/>
        <v>Equipamentos</v>
      </c>
      <c r="M490" s="53" t="str">
        <f t="shared" si="56"/>
        <v>Eq.Telecom</v>
      </c>
      <c r="N490" s="53" t="str">
        <f t="shared" si="54"/>
        <v>Aparelho Fixo</v>
      </c>
      <c r="O490" s="53" t="str">
        <f t="shared" si="54"/>
        <v>Roteador</v>
      </c>
      <c r="P490" s="54" t="s">
        <v>2696</v>
      </c>
      <c r="Q490" s="54" t="s">
        <v>2697</v>
      </c>
      <c r="R490" s="54" t="s">
        <v>6475</v>
      </c>
      <c r="S490" s="54" t="s">
        <v>692</v>
      </c>
      <c r="T490" s="55" t="str">
        <f t="shared" si="57"/>
        <v>Equipamentos</v>
      </c>
      <c r="U490" s="55" t="str">
        <f t="shared" si="57"/>
        <v>Eq Telecom</v>
      </c>
      <c r="V490" s="55" t="str">
        <f t="shared" si="57"/>
        <v>Aparelho Fixo</v>
      </c>
      <c r="W490" s="54" t="s">
        <v>7259</v>
      </c>
      <c r="X490" s="84" t="str">
        <f t="shared" si="55"/>
        <v>Key-COD-CT-490</v>
      </c>
      <c r="Y490" s="84" t="s">
        <v>5995</v>
      </c>
      <c r="Z490" s="84" t="s">
        <v>692</v>
      </c>
      <c r="AA490" s="84" t="s">
        <v>5774</v>
      </c>
      <c r="AB490" s="84" t="s">
        <v>692</v>
      </c>
      <c r="AC490" s="84" t="s">
        <v>692</v>
      </c>
      <c r="AD490" s="54" t="s">
        <v>692</v>
      </c>
    </row>
    <row r="491" spans="1:30" ht="6.75" customHeight="1" x14ac:dyDescent="0.25">
      <c r="A491" s="85">
        <v>491</v>
      </c>
      <c r="B491" s="59" t="s">
        <v>5419</v>
      </c>
      <c r="C491" s="60" t="s">
        <v>791</v>
      </c>
      <c r="D491" s="59" t="s">
        <v>2639</v>
      </c>
      <c r="E491" s="59" t="s">
        <v>2640</v>
      </c>
      <c r="F491" s="61" t="s">
        <v>2698</v>
      </c>
      <c r="G491" s="81" t="s">
        <v>692</v>
      </c>
      <c r="H491" s="81" t="s">
        <v>692</v>
      </c>
      <c r="I491" s="81" t="s">
        <v>692</v>
      </c>
      <c r="J491" s="81" t="s">
        <v>692</v>
      </c>
      <c r="K491" s="81" t="s">
        <v>692</v>
      </c>
      <c r="L491" s="53" t="str">
        <f t="shared" si="56"/>
        <v>Equipamentos</v>
      </c>
      <c r="M491" s="53" t="str">
        <f t="shared" si="56"/>
        <v>Eq.Telecom</v>
      </c>
      <c r="N491" s="53" t="str">
        <f t="shared" si="54"/>
        <v>Aparelho Fixo</v>
      </c>
      <c r="O491" s="53" t="str">
        <f t="shared" si="54"/>
        <v>Escaner</v>
      </c>
      <c r="P491" s="54" t="s">
        <v>2699</v>
      </c>
      <c r="Q491" s="54" t="s">
        <v>2700</v>
      </c>
      <c r="R491" s="54" t="s">
        <v>6476</v>
      </c>
      <c r="S491" s="54" t="s">
        <v>692</v>
      </c>
      <c r="T491" s="55" t="str">
        <f t="shared" si="57"/>
        <v>Equipamentos</v>
      </c>
      <c r="U491" s="55" t="str">
        <f t="shared" si="57"/>
        <v>Eq Telecom</v>
      </c>
      <c r="V491" s="55" t="str">
        <f t="shared" si="57"/>
        <v>Aparelho Fixo</v>
      </c>
      <c r="W491" s="54" t="s">
        <v>7259</v>
      </c>
      <c r="X491" s="84" t="str">
        <f t="shared" si="55"/>
        <v>Key-COD-CT-491</v>
      </c>
      <c r="Y491" s="84" t="s">
        <v>5995</v>
      </c>
      <c r="Z491" s="84" t="s">
        <v>692</v>
      </c>
      <c r="AA491" s="84" t="s">
        <v>5775</v>
      </c>
      <c r="AB491" s="84" t="s">
        <v>692</v>
      </c>
      <c r="AC491" s="84" t="s">
        <v>692</v>
      </c>
      <c r="AD491" s="54" t="s">
        <v>692</v>
      </c>
    </row>
    <row r="492" spans="1:30" ht="6.75" customHeight="1" x14ac:dyDescent="0.25">
      <c r="A492" s="85">
        <v>492</v>
      </c>
      <c r="B492" s="59" t="s">
        <v>5419</v>
      </c>
      <c r="C492" s="60" t="s">
        <v>791</v>
      </c>
      <c r="D492" s="59" t="s">
        <v>2639</v>
      </c>
      <c r="E492" s="59" t="s">
        <v>2640</v>
      </c>
      <c r="F492" s="61" t="s">
        <v>2701</v>
      </c>
      <c r="G492" s="81" t="s">
        <v>692</v>
      </c>
      <c r="H492" s="81" t="s">
        <v>692</v>
      </c>
      <c r="I492" s="81" t="s">
        <v>692</v>
      </c>
      <c r="J492" s="81" t="s">
        <v>692</v>
      </c>
      <c r="K492" s="81" t="s">
        <v>692</v>
      </c>
      <c r="L492" s="53" t="str">
        <f t="shared" si="56"/>
        <v>Equipamentos</v>
      </c>
      <c r="M492" s="53" t="str">
        <f t="shared" si="56"/>
        <v>Eq.Telecom</v>
      </c>
      <c r="N492" s="53" t="str">
        <f t="shared" si="54"/>
        <v>Aparelho Fixo</v>
      </c>
      <c r="O492" s="53" t="str">
        <f t="shared" si="54"/>
        <v>Telecomando</v>
      </c>
      <c r="P492" s="54" t="s">
        <v>2702</v>
      </c>
      <c r="Q492" s="54" t="s">
        <v>2703</v>
      </c>
      <c r="R492" s="54" t="s">
        <v>6477</v>
      </c>
      <c r="S492" s="54" t="s">
        <v>692</v>
      </c>
      <c r="T492" s="55" t="str">
        <f t="shared" si="57"/>
        <v>Equipamentos</v>
      </c>
      <c r="U492" s="55" t="str">
        <f t="shared" si="57"/>
        <v>Eq Telecom</v>
      </c>
      <c r="V492" s="55" t="str">
        <f t="shared" si="57"/>
        <v>Aparelho Fixo</v>
      </c>
      <c r="W492" s="54" t="s">
        <v>7259</v>
      </c>
      <c r="X492" s="84" t="str">
        <f t="shared" si="55"/>
        <v>Key-COD-CT-492</v>
      </c>
      <c r="Y492" s="84" t="s">
        <v>5995</v>
      </c>
      <c r="Z492" s="84" t="s">
        <v>692</v>
      </c>
      <c r="AA492" s="84" t="s">
        <v>5776</v>
      </c>
      <c r="AB492" s="84" t="s">
        <v>692</v>
      </c>
      <c r="AC492" s="84" t="s">
        <v>692</v>
      </c>
      <c r="AD492" s="54" t="s">
        <v>692</v>
      </c>
    </row>
    <row r="493" spans="1:30" ht="6.75" customHeight="1" x14ac:dyDescent="0.25">
      <c r="A493" s="85">
        <v>493</v>
      </c>
      <c r="B493" s="59" t="s">
        <v>5419</v>
      </c>
      <c r="C493" s="60" t="s">
        <v>791</v>
      </c>
      <c r="D493" s="59" t="s">
        <v>2639</v>
      </c>
      <c r="E493" s="59" t="s">
        <v>2640</v>
      </c>
      <c r="F493" s="61" t="s">
        <v>2704</v>
      </c>
      <c r="G493" s="81" t="s">
        <v>692</v>
      </c>
      <c r="H493" s="81" t="s">
        <v>692</v>
      </c>
      <c r="I493" s="81" t="s">
        <v>692</v>
      </c>
      <c r="J493" s="81" t="s">
        <v>692</v>
      </c>
      <c r="K493" s="81" t="s">
        <v>692</v>
      </c>
      <c r="L493" s="53" t="str">
        <f t="shared" si="56"/>
        <v>Equipamentos</v>
      </c>
      <c r="M493" s="53" t="str">
        <f t="shared" si="56"/>
        <v>Eq.Telecom</v>
      </c>
      <c r="N493" s="53" t="str">
        <f t="shared" si="54"/>
        <v>Aparelho Fixo</v>
      </c>
      <c r="O493" s="53" t="str">
        <f t="shared" si="54"/>
        <v>Central Telefônica</v>
      </c>
      <c r="P493" s="54" t="s">
        <v>2705</v>
      </c>
      <c r="Q493" s="54" t="s">
        <v>2706</v>
      </c>
      <c r="R493" s="54" t="s">
        <v>6478</v>
      </c>
      <c r="S493" s="54" t="s">
        <v>692</v>
      </c>
      <c r="T493" s="55" t="str">
        <f t="shared" si="57"/>
        <v>Equipamentos</v>
      </c>
      <c r="U493" s="55" t="str">
        <f t="shared" si="57"/>
        <v>Eq Telecom</v>
      </c>
      <c r="V493" s="55" t="str">
        <f t="shared" si="57"/>
        <v>Aparelho Fixo</v>
      </c>
      <c r="W493" s="54" t="s">
        <v>7259</v>
      </c>
      <c r="X493" s="84" t="str">
        <f t="shared" si="55"/>
        <v>Key-COD-CT-493</v>
      </c>
      <c r="Y493" s="84" t="s">
        <v>5995</v>
      </c>
      <c r="Z493" s="84" t="s">
        <v>692</v>
      </c>
      <c r="AA493" s="84" t="s">
        <v>5777</v>
      </c>
      <c r="AB493" s="84" t="s">
        <v>692</v>
      </c>
      <c r="AC493" s="84" t="s">
        <v>692</v>
      </c>
      <c r="AD493" s="54" t="s">
        <v>692</v>
      </c>
    </row>
    <row r="494" spans="1:30" ht="6.75" customHeight="1" x14ac:dyDescent="0.25">
      <c r="A494" s="85">
        <v>494</v>
      </c>
      <c r="B494" s="59" t="s">
        <v>5419</v>
      </c>
      <c r="C494" s="60" t="s">
        <v>791</v>
      </c>
      <c r="D494" s="59" t="s">
        <v>2639</v>
      </c>
      <c r="E494" s="59" t="s">
        <v>2640</v>
      </c>
      <c r="F494" s="61" t="s">
        <v>2707</v>
      </c>
      <c r="G494" s="81" t="s">
        <v>692</v>
      </c>
      <c r="H494" s="81" t="s">
        <v>692</v>
      </c>
      <c r="I494" s="81" t="s">
        <v>692</v>
      </c>
      <c r="J494" s="81" t="s">
        <v>692</v>
      </c>
      <c r="K494" s="81" t="s">
        <v>692</v>
      </c>
      <c r="L494" s="53" t="str">
        <f t="shared" si="56"/>
        <v>Equipamentos</v>
      </c>
      <c r="M494" s="53" t="str">
        <f t="shared" si="56"/>
        <v>Eq.Telecom</v>
      </c>
      <c r="N494" s="53" t="str">
        <f t="shared" si="54"/>
        <v>Aparelho Fixo</v>
      </c>
      <c r="O494" s="53" t="str">
        <f t="shared" si="54"/>
        <v>Componente Transição</v>
      </c>
      <c r="P494" s="54" t="s">
        <v>2708</v>
      </c>
      <c r="Q494" s="54" t="s">
        <v>2709</v>
      </c>
      <c r="R494" s="54" t="s">
        <v>6479</v>
      </c>
      <c r="S494" s="54" t="s">
        <v>692</v>
      </c>
      <c r="T494" s="55" t="str">
        <f t="shared" si="57"/>
        <v>Equipamentos</v>
      </c>
      <c r="U494" s="55" t="str">
        <f t="shared" si="57"/>
        <v>Eq Telecom</v>
      </c>
      <c r="V494" s="55" t="str">
        <f t="shared" si="57"/>
        <v>Aparelho Fixo</v>
      </c>
      <c r="W494" s="54" t="s">
        <v>7259</v>
      </c>
      <c r="X494" s="84" t="str">
        <f t="shared" si="55"/>
        <v>Key-COD-CT-494</v>
      </c>
      <c r="Y494" s="84" t="s">
        <v>5995</v>
      </c>
      <c r="Z494" s="84" t="s">
        <v>692</v>
      </c>
      <c r="AA494" s="84" t="s">
        <v>5778</v>
      </c>
      <c r="AB494" s="84" t="s">
        <v>692</v>
      </c>
      <c r="AC494" s="84" t="s">
        <v>692</v>
      </c>
      <c r="AD494" s="54" t="s">
        <v>692</v>
      </c>
    </row>
    <row r="495" spans="1:30" ht="6.75" customHeight="1" x14ac:dyDescent="0.25">
      <c r="A495" s="85">
        <v>495</v>
      </c>
      <c r="B495" s="59" t="s">
        <v>5419</v>
      </c>
      <c r="C495" s="60" t="s">
        <v>791</v>
      </c>
      <c r="D495" s="59" t="s">
        <v>2639</v>
      </c>
      <c r="E495" s="59" t="s">
        <v>2640</v>
      </c>
      <c r="F495" s="61" t="s">
        <v>2710</v>
      </c>
      <c r="G495" s="81" t="s">
        <v>692</v>
      </c>
      <c r="H495" s="81" t="s">
        <v>692</v>
      </c>
      <c r="I495" s="81" t="s">
        <v>692</v>
      </c>
      <c r="J495" s="81" t="s">
        <v>692</v>
      </c>
      <c r="K495" s="81" t="s">
        <v>692</v>
      </c>
      <c r="L495" s="53" t="str">
        <f t="shared" si="56"/>
        <v>Equipamentos</v>
      </c>
      <c r="M495" s="53" t="str">
        <f t="shared" si="56"/>
        <v>Eq.Telecom</v>
      </c>
      <c r="N495" s="53" t="str">
        <f t="shared" si="54"/>
        <v>Aparelho Fixo</v>
      </c>
      <c r="O495" s="53" t="str">
        <f t="shared" si="54"/>
        <v>Transponder</v>
      </c>
      <c r="P495" s="54" t="s">
        <v>2711</v>
      </c>
      <c r="Q495" s="54" t="s">
        <v>2712</v>
      </c>
      <c r="R495" s="54" t="s">
        <v>6480</v>
      </c>
      <c r="S495" s="54" t="s">
        <v>692</v>
      </c>
      <c r="T495" s="55" t="str">
        <f t="shared" si="57"/>
        <v>Equipamentos</v>
      </c>
      <c r="U495" s="55" t="str">
        <f t="shared" si="57"/>
        <v>Eq Telecom</v>
      </c>
      <c r="V495" s="55" t="str">
        <f t="shared" si="57"/>
        <v>Aparelho Fixo</v>
      </c>
      <c r="W495" s="54" t="s">
        <v>7259</v>
      </c>
      <c r="X495" s="84" t="str">
        <f t="shared" si="55"/>
        <v>Key-COD-CT-495</v>
      </c>
      <c r="Y495" s="84" t="s">
        <v>5995</v>
      </c>
      <c r="Z495" s="84" t="s">
        <v>692</v>
      </c>
      <c r="AA495" s="84" t="s">
        <v>5779</v>
      </c>
      <c r="AB495" s="84" t="s">
        <v>692</v>
      </c>
      <c r="AC495" s="84" t="s">
        <v>692</v>
      </c>
      <c r="AD495" s="54" t="s">
        <v>692</v>
      </c>
    </row>
    <row r="496" spans="1:30" ht="6.75" customHeight="1" x14ac:dyDescent="0.25">
      <c r="A496" s="85">
        <v>496</v>
      </c>
      <c r="B496" s="59" t="s">
        <v>5419</v>
      </c>
      <c r="C496" s="60" t="s">
        <v>791</v>
      </c>
      <c r="D496" s="59" t="s">
        <v>2639</v>
      </c>
      <c r="E496" s="59" t="s">
        <v>2640</v>
      </c>
      <c r="F496" s="61" t="s">
        <v>2713</v>
      </c>
      <c r="G496" s="81" t="s">
        <v>692</v>
      </c>
      <c r="H496" s="81" t="s">
        <v>692</v>
      </c>
      <c r="I496" s="81" t="s">
        <v>692</v>
      </c>
      <c r="J496" s="81" t="s">
        <v>692</v>
      </c>
      <c r="K496" s="81" t="s">
        <v>692</v>
      </c>
      <c r="L496" s="53" t="str">
        <f t="shared" si="56"/>
        <v>Equipamentos</v>
      </c>
      <c r="M496" s="53" t="str">
        <f t="shared" si="56"/>
        <v>Eq.Telecom</v>
      </c>
      <c r="N496" s="53" t="str">
        <f t="shared" si="54"/>
        <v>Aparelho Fixo</v>
      </c>
      <c r="O496" s="53" t="str">
        <f t="shared" si="54"/>
        <v>Equipamento de Transporte</v>
      </c>
      <c r="P496" s="54" t="s">
        <v>2714</v>
      </c>
      <c r="Q496" s="54" t="s">
        <v>2715</v>
      </c>
      <c r="R496" s="54" t="s">
        <v>6481</v>
      </c>
      <c r="S496" s="54" t="s">
        <v>692</v>
      </c>
      <c r="T496" s="55" t="str">
        <f t="shared" si="57"/>
        <v>Equipamentos</v>
      </c>
      <c r="U496" s="55" t="str">
        <f t="shared" si="57"/>
        <v>Eq Telecom</v>
      </c>
      <c r="V496" s="55" t="str">
        <f t="shared" si="57"/>
        <v>Aparelho Fixo</v>
      </c>
      <c r="W496" s="54" t="s">
        <v>7259</v>
      </c>
      <c r="X496" s="84" t="str">
        <f t="shared" si="55"/>
        <v>Key-COD-CT-496</v>
      </c>
      <c r="Y496" s="84" t="s">
        <v>5995</v>
      </c>
      <c r="Z496" s="84" t="s">
        <v>692</v>
      </c>
      <c r="AA496" s="84" t="s">
        <v>5780</v>
      </c>
      <c r="AB496" s="84" t="s">
        <v>692</v>
      </c>
      <c r="AC496" s="84" t="s">
        <v>692</v>
      </c>
      <c r="AD496" s="54" t="s">
        <v>692</v>
      </c>
    </row>
    <row r="497" spans="1:30" ht="6.75" customHeight="1" x14ac:dyDescent="0.25">
      <c r="A497" s="85">
        <v>497</v>
      </c>
      <c r="B497" s="59" t="s">
        <v>5419</v>
      </c>
      <c r="C497" s="60" t="s">
        <v>791</v>
      </c>
      <c r="D497" s="59" t="s">
        <v>2639</v>
      </c>
      <c r="E497" s="59" t="s">
        <v>2716</v>
      </c>
      <c r="F497" s="61" t="s">
        <v>2717</v>
      </c>
      <c r="G497" s="81" t="s">
        <v>692</v>
      </c>
      <c r="H497" s="81" t="s">
        <v>692</v>
      </c>
      <c r="I497" s="81" t="s">
        <v>692</v>
      </c>
      <c r="J497" s="81" t="s">
        <v>692</v>
      </c>
      <c r="K497" s="81" t="s">
        <v>692</v>
      </c>
      <c r="L497" s="53" t="str">
        <f t="shared" si="56"/>
        <v>Equipamentos</v>
      </c>
      <c r="M497" s="53" t="str">
        <f t="shared" si="56"/>
        <v>Eq.Telecom</v>
      </c>
      <c r="N497" s="53" t="str">
        <f t="shared" si="54"/>
        <v>Aparelho Móvel</v>
      </c>
      <c r="O497" s="53" t="str">
        <f t="shared" si="54"/>
        <v>Dispositivo Comunicação Móvel</v>
      </c>
      <c r="P497" s="54" t="s">
        <v>2718</v>
      </c>
      <c r="Q497" s="54" t="s">
        <v>2719</v>
      </c>
      <c r="R497" s="54" t="s">
        <v>6482</v>
      </c>
      <c r="S497" s="54" t="s">
        <v>692</v>
      </c>
      <c r="T497" s="55" t="str">
        <f t="shared" si="57"/>
        <v>Equipamentos</v>
      </c>
      <c r="U497" s="55" t="str">
        <f t="shared" si="57"/>
        <v>Eq Telecom</v>
      </c>
      <c r="V497" s="55" t="str">
        <f t="shared" si="57"/>
        <v>Aparelho Móvel</v>
      </c>
      <c r="W497" s="54" t="s">
        <v>7259</v>
      </c>
      <c r="X497" s="84" t="str">
        <f t="shared" si="55"/>
        <v>Key-COD-CT-497</v>
      </c>
      <c r="Y497" s="84" t="s">
        <v>5995</v>
      </c>
      <c r="Z497" s="84" t="s">
        <v>692</v>
      </c>
      <c r="AA497" s="84" t="s">
        <v>5781</v>
      </c>
      <c r="AB497" s="84" t="s">
        <v>692</v>
      </c>
      <c r="AC497" s="84" t="s">
        <v>692</v>
      </c>
      <c r="AD497" s="54" t="s">
        <v>692</v>
      </c>
    </row>
    <row r="498" spans="1:30" ht="6.75" customHeight="1" x14ac:dyDescent="0.25">
      <c r="A498" s="85">
        <v>498</v>
      </c>
      <c r="B498" s="59" t="s">
        <v>5419</v>
      </c>
      <c r="C498" s="60" t="s">
        <v>791</v>
      </c>
      <c r="D498" s="59" t="s">
        <v>2639</v>
      </c>
      <c r="E498" s="59" t="s">
        <v>2716</v>
      </c>
      <c r="F498" s="61" t="s">
        <v>2720</v>
      </c>
      <c r="G498" s="81" t="s">
        <v>692</v>
      </c>
      <c r="H498" s="81" t="s">
        <v>692</v>
      </c>
      <c r="I498" s="81" t="s">
        <v>692</v>
      </c>
      <c r="J498" s="81" t="s">
        <v>692</v>
      </c>
      <c r="K498" s="81" t="s">
        <v>692</v>
      </c>
      <c r="L498" s="53" t="str">
        <f t="shared" si="56"/>
        <v>Equipamentos</v>
      </c>
      <c r="M498" s="53" t="str">
        <f t="shared" si="56"/>
        <v>Eq.Telecom</v>
      </c>
      <c r="N498" s="53" t="str">
        <f t="shared" si="54"/>
        <v>Aparelho Móvel</v>
      </c>
      <c r="O498" s="53" t="str">
        <f t="shared" si="54"/>
        <v>Ponto de Acesso</v>
      </c>
      <c r="P498" s="54" t="s">
        <v>2721</v>
      </c>
      <c r="Q498" s="54" t="s">
        <v>2722</v>
      </c>
      <c r="R498" s="54" t="s">
        <v>6483</v>
      </c>
      <c r="S498" s="54" t="s">
        <v>692</v>
      </c>
      <c r="T498" s="55" t="str">
        <f t="shared" si="57"/>
        <v>Equipamentos</v>
      </c>
      <c r="U498" s="55" t="str">
        <f t="shared" si="57"/>
        <v>Eq Telecom</v>
      </c>
      <c r="V498" s="55" t="str">
        <f t="shared" si="57"/>
        <v>Aparelho Móvel</v>
      </c>
      <c r="W498" s="54" t="s">
        <v>7259</v>
      </c>
      <c r="X498" s="84" t="str">
        <f t="shared" si="55"/>
        <v>Key-COD-CT-498</v>
      </c>
      <c r="Y498" s="84" t="s">
        <v>5995</v>
      </c>
      <c r="Z498" s="84" t="s">
        <v>692</v>
      </c>
      <c r="AA498" s="84" t="s">
        <v>5782</v>
      </c>
      <c r="AB498" s="84" t="s">
        <v>692</v>
      </c>
      <c r="AC498" s="84" t="s">
        <v>692</v>
      </c>
      <c r="AD498" s="54" t="s">
        <v>692</v>
      </c>
    </row>
    <row r="499" spans="1:30" ht="6.75" customHeight="1" x14ac:dyDescent="0.25">
      <c r="A499" s="85">
        <v>499</v>
      </c>
      <c r="B499" s="59" t="s">
        <v>5419</v>
      </c>
      <c r="C499" s="60" t="s">
        <v>791</v>
      </c>
      <c r="D499" s="59" t="s">
        <v>2639</v>
      </c>
      <c r="E499" s="59" t="s">
        <v>2716</v>
      </c>
      <c r="F499" s="61" t="s">
        <v>2723</v>
      </c>
      <c r="G499" s="81" t="s">
        <v>692</v>
      </c>
      <c r="H499" s="81" t="s">
        <v>692</v>
      </c>
      <c r="I499" s="81" t="s">
        <v>692</v>
      </c>
      <c r="J499" s="81" t="s">
        <v>692</v>
      </c>
      <c r="K499" s="81" t="s">
        <v>692</v>
      </c>
      <c r="L499" s="53" t="str">
        <f t="shared" si="56"/>
        <v>Equipamentos</v>
      </c>
      <c r="M499" s="53" t="str">
        <f t="shared" si="56"/>
        <v>Eq.Telecom</v>
      </c>
      <c r="N499" s="53" t="str">
        <f t="shared" si="54"/>
        <v>Aparelho Móvel</v>
      </c>
      <c r="O499" s="53" t="str">
        <f t="shared" si="54"/>
        <v>Unidade Banda Base</v>
      </c>
      <c r="P499" s="54" t="s">
        <v>2724</v>
      </c>
      <c r="Q499" s="54" t="s">
        <v>2725</v>
      </c>
      <c r="R499" s="54" t="s">
        <v>6484</v>
      </c>
      <c r="S499" s="54" t="s">
        <v>692</v>
      </c>
      <c r="T499" s="55" t="str">
        <f t="shared" si="57"/>
        <v>Equipamentos</v>
      </c>
      <c r="U499" s="55" t="str">
        <f t="shared" si="57"/>
        <v>Eq Telecom</v>
      </c>
      <c r="V499" s="55" t="str">
        <f t="shared" si="57"/>
        <v>Aparelho Móvel</v>
      </c>
      <c r="W499" s="54" t="s">
        <v>7259</v>
      </c>
      <c r="X499" s="84" t="str">
        <f t="shared" si="55"/>
        <v>Key-COD-CT-499</v>
      </c>
      <c r="Y499" s="84" t="s">
        <v>5995</v>
      </c>
      <c r="Z499" s="84" t="s">
        <v>692</v>
      </c>
      <c r="AA499" s="84" t="s">
        <v>5783</v>
      </c>
      <c r="AB499" s="84" t="s">
        <v>692</v>
      </c>
      <c r="AC499" s="84" t="s">
        <v>692</v>
      </c>
      <c r="AD499" s="54" t="s">
        <v>692</v>
      </c>
    </row>
    <row r="500" spans="1:30" ht="6.75" customHeight="1" x14ac:dyDescent="0.25">
      <c r="A500" s="85">
        <v>500</v>
      </c>
      <c r="B500" s="59" t="s">
        <v>5419</v>
      </c>
      <c r="C500" s="60" t="s">
        <v>791</v>
      </c>
      <c r="D500" s="59" t="s">
        <v>2639</v>
      </c>
      <c r="E500" s="59" t="s">
        <v>2716</v>
      </c>
      <c r="F500" s="61" t="s">
        <v>2726</v>
      </c>
      <c r="G500" s="81" t="s">
        <v>692</v>
      </c>
      <c r="H500" s="81" t="s">
        <v>692</v>
      </c>
      <c r="I500" s="81" t="s">
        <v>692</v>
      </c>
      <c r="J500" s="81" t="s">
        <v>692</v>
      </c>
      <c r="K500" s="81" t="s">
        <v>692</v>
      </c>
      <c r="L500" s="53" t="str">
        <f t="shared" si="56"/>
        <v>Equipamentos</v>
      </c>
      <c r="M500" s="53" t="str">
        <f t="shared" si="56"/>
        <v>Eq.Telecom</v>
      </c>
      <c r="N500" s="53" t="str">
        <f t="shared" si="54"/>
        <v>Aparelho Móvel</v>
      </c>
      <c r="O500" s="53" t="str">
        <f t="shared" si="54"/>
        <v>Base Transceptora</v>
      </c>
      <c r="P500" s="54" t="s">
        <v>2727</v>
      </c>
      <c r="Q500" s="54" t="s">
        <v>2728</v>
      </c>
      <c r="R500" s="54" t="s">
        <v>6485</v>
      </c>
      <c r="S500" s="54" t="s">
        <v>692</v>
      </c>
      <c r="T500" s="55" t="str">
        <f t="shared" si="57"/>
        <v>Equipamentos</v>
      </c>
      <c r="U500" s="55" t="str">
        <f t="shared" si="57"/>
        <v>Eq Telecom</v>
      </c>
      <c r="V500" s="55" t="str">
        <f t="shared" si="57"/>
        <v>Aparelho Móvel</v>
      </c>
      <c r="W500" s="54" t="s">
        <v>7259</v>
      </c>
      <c r="X500" s="84" t="str">
        <f t="shared" si="55"/>
        <v>Key-COD-CT-500</v>
      </c>
      <c r="Y500" s="84" t="s">
        <v>5995</v>
      </c>
      <c r="Z500" s="84" t="s">
        <v>692</v>
      </c>
      <c r="AA500" s="84" t="s">
        <v>5784</v>
      </c>
      <c r="AB500" s="84" t="s">
        <v>692</v>
      </c>
      <c r="AC500" s="84" t="s">
        <v>692</v>
      </c>
      <c r="AD500" s="54" t="s">
        <v>692</v>
      </c>
    </row>
    <row r="501" spans="1:30" ht="6.75" customHeight="1" x14ac:dyDescent="0.25">
      <c r="A501" s="85">
        <v>501</v>
      </c>
      <c r="B501" s="59" t="s">
        <v>5419</v>
      </c>
      <c r="C501" s="60" t="s">
        <v>791</v>
      </c>
      <c r="D501" s="59" t="s">
        <v>2639</v>
      </c>
      <c r="E501" s="59" t="s">
        <v>2716</v>
      </c>
      <c r="F501" s="61" t="s">
        <v>2729</v>
      </c>
      <c r="G501" s="81" t="s">
        <v>692</v>
      </c>
      <c r="H501" s="81" t="s">
        <v>692</v>
      </c>
      <c r="I501" s="81" t="s">
        <v>692</v>
      </c>
      <c r="J501" s="81" t="s">
        <v>692</v>
      </c>
      <c r="K501" s="81" t="s">
        <v>692</v>
      </c>
      <c r="L501" s="53" t="str">
        <f t="shared" si="56"/>
        <v>Equipamentos</v>
      </c>
      <c r="M501" s="53" t="str">
        <f t="shared" si="56"/>
        <v>Eq.Telecom</v>
      </c>
      <c r="N501" s="53" t="str">
        <f t="shared" si="54"/>
        <v>Aparelho Móvel</v>
      </c>
      <c r="O501" s="53" t="str">
        <f t="shared" si="54"/>
        <v>Nó B EUtran</v>
      </c>
      <c r="P501" s="54" t="s">
        <v>2730</v>
      </c>
      <c r="Q501" s="54" t="s">
        <v>2731</v>
      </c>
      <c r="R501" s="54" t="s">
        <v>6486</v>
      </c>
      <c r="S501" s="54" t="s">
        <v>692</v>
      </c>
      <c r="T501" s="55" t="str">
        <f t="shared" si="57"/>
        <v>Equipamentos</v>
      </c>
      <c r="U501" s="55" t="str">
        <f t="shared" si="57"/>
        <v>Eq Telecom</v>
      </c>
      <c r="V501" s="55" t="str">
        <f t="shared" si="57"/>
        <v>Aparelho Móvel</v>
      </c>
      <c r="W501" s="54" t="s">
        <v>7259</v>
      </c>
      <c r="X501" s="84" t="str">
        <f t="shared" si="55"/>
        <v>Key-COD-CT-501</v>
      </c>
      <c r="Y501" s="84" t="s">
        <v>5995</v>
      </c>
      <c r="Z501" s="84" t="s">
        <v>692</v>
      </c>
      <c r="AA501" s="84" t="s">
        <v>5785</v>
      </c>
      <c r="AB501" s="84" t="s">
        <v>692</v>
      </c>
      <c r="AC501" s="84" t="s">
        <v>692</v>
      </c>
      <c r="AD501" s="54" t="s">
        <v>692</v>
      </c>
    </row>
    <row r="502" spans="1:30" ht="6.75" customHeight="1" x14ac:dyDescent="0.25">
      <c r="A502" s="85">
        <v>502</v>
      </c>
      <c r="B502" s="59" t="s">
        <v>5419</v>
      </c>
      <c r="C502" s="60" t="s">
        <v>791</v>
      </c>
      <c r="D502" s="59" t="s">
        <v>2639</v>
      </c>
      <c r="E502" s="59" t="s">
        <v>2716</v>
      </c>
      <c r="F502" s="61" t="s">
        <v>2732</v>
      </c>
      <c r="G502" s="81" t="s">
        <v>692</v>
      </c>
      <c r="H502" s="81" t="s">
        <v>692</v>
      </c>
      <c r="I502" s="81" t="s">
        <v>692</v>
      </c>
      <c r="J502" s="81" t="s">
        <v>692</v>
      </c>
      <c r="K502" s="81" t="s">
        <v>692</v>
      </c>
      <c r="L502" s="53" t="str">
        <f t="shared" si="56"/>
        <v>Equipamentos</v>
      </c>
      <c r="M502" s="53" t="str">
        <f t="shared" si="56"/>
        <v>Eq.Telecom</v>
      </c>
      <c r="N502" s="53" t="str">
        <f t="shared" si="54"/>
        <v>Aparelho Móvel</v>
      </c>
      <c r="O502" s="53" t="str">
        <f t="shared" si="54"/>
        <v>Gateway Gprs Serviço</v>
      </c>
      <c r="P502" s="54" t="s">
        <v>2733</v>
      </c>
      <c r="Q502" s="54" t="s">
        <v>2734</v>
      </c>
      <c r="R502" s="54" t="s">
        <v>6487</v>
      </c>
      <c r="S502" s="54" t="s">
        <v>692</v>
      </c>
      <c r="T502" s="55" t="str">
        <f t="shared" si="57"/>
        <v>Equipamentos</v>
      </c>
      <c r="U502" s="55" t="str">
        <f t="shared" si="57"/>
        <v>Eq Telecom</v>
      </c>
      <c r="V502" s="55" t="str">
        <f t="shared" si="57"/>
        <v>Aparelho Móvel</v>
      </c>
      <c r="W502" s="54" t="s">
        <v>7259</v>
      </c>
      <c r="X502" s="84" t="str">
        <f t="shared" si="55"/>
        <v>Key-COD-CT-502</v>
      </c>
      <c r="Y502" s="84" t="s">
        <v>5995</v>
      </c>
      <c r="Z502" s="84" t="s">
        <v>692</v>
      </c>
      <c r="AA502" s="84" t="s">
        <v>5786</v>
      </c>
      <c r="AB502" s="84" t="s">
        <v>692</v>
      </c>
      <c r="AC502" s="84" t="s">
        <v>692</v>
      </c>
      <c r="AD502" s="54" t="s">
        <v>692</v>
      </c>
    </row>
    <row r="503" spans="1:30" ht="6.75" customHeight="1" x14ac:dyDescent="0.25">
      <c r="A503" s="85">
        <v>503</v>
      </c>
      <c r="B503" s="59" t="s">
        <v>5419</v>
      </c>
      <c r="C503" s="60" t="s">
        <v>791</v>
      </c>
      <c r="D503" s="59" t="s">
        <v>2639</v>
      </c>
      <c r="E503" s="59" t="s">
        <v>2716</v>
      </c>
      <c r="F503" s="61" t="s">
        <v>2735</v>
      </c>
      <c r="G503" s="81" t="s">
        <v>692</v>
      </c>
      <c r="H503" s="81" t="s">
        <v>692</v>
      </c>
      <c r="I503" s="81" t="s">
        <v>692</v>
      </c>
      <c r="J503" s="81" t="s">
        <v>692</v>
      </c>
      <c r="K503" s="81" t="s">
        <v>692</v>
      </c>
      <c r="L503" s="53" t="str">
        <f t="shared" si="56"/>
        <v>Equipamentos</v>
      </c>
      <c r="M503" s="53" t="str">
        <f t="shared" si="56"/>
        <v>Eq.Telecom</v>
      </c>
      <c r="N503" s="53" t="str">
        <f t="shared" si="54"/>
        <v>Aparelho Móvel</v>
      </c>
      <c r="O503" s="53" t="str">
        <f t="shared" si="54"/>
        <v>Unidade Master</v>
      </c>
      <c r="P503" s="54" t="s">
        <v>2736</v>
      </c>
      <c r="Q503" s="54" t="s">
        <v>2737</v>
      </c>
      <c r="R503" s="54" t="s">
        <v>6488</v>
      </c>
      <c r="S503" s="54" t="s">
        <v>692</v>
      </c>
      <c r="T503" s="55" t="str">
        <f t="shared" si="57"/>
        <v>Equipamentos</v>
      </c>
      <c r="U503" s="55" t="str">
        <f t="shared" si="57"/>
        <v>Eq Telecom</v>
      </c>
      <c r="V503" s="55" t="str">
        <f t="shared" si="57"/>
        <v>Aparelho Móvel</v>
      </c>
      <c r="W503" s="54" t="s">
        <v>7259</v>
      </c>
      <c r="X503" s="84" t="str">
        <f t="shared" si="55"/>
        <v>Key-COD-CT-503</v>
      </c>
      <c r="Y503" s="84" t="s">
        <v>5995</v>
      </c>
      <c r="Z503" s="84" t="s">
        <v>692</v>
      </c>
      <c r="AA503" s="84" t="s">
        <v>5787</v>
      </c>
      <c r="AB503" s="84" t="s">
        <v>692</v>
      </c>
      <c r="AC503" s="84" t="s">
        <v>692</v>
      </c>
      <c r="AD503" s="54" t="s">
        <v>692</v>
      </c>
    </row>
    <row r="504" spans="1:30" ht="6.75" customHeight="1" x14ac:dyDescent="0.25">
      <c r="A504" s="85">
        <v>504</v>
      </c>
      <c r="B504" s="59" t="s">
        <v>5419</v>
      </c>
      <c r="C504" s="60" t="s">
        <v>791</v>
      </c>
      <c r="D504" s="59" t="s">
        <v>2639</v>
      </c>
      <c r="E504" s="59" t="s">
        <v>2716</v>
      </c>
      <c r="F504" s="61" t="s">
        <v>2738</v>
      </c>
      <c r="G504" s="81" t="s">
        <v>692</v>
      </c>
      <c r="H504" s="81" t="s">
        <v>692</v>
      </c>
      <c r="I504" s="81" t="s">
        <v>692</v>
      </c>
      <c r="J504" s="81" t="s">
        <v>692</v>
      </c>
      <c r="K504" s="81" t="s">
        <v>692</v>
      </c>
      <c r="L504" s="53" t="str">
        <f t="shared" si="56"/>
        <v>Equipamentos</v>
      </c>
      <c r="M504" s="53" t="str">
        <f t="shared" si="56"/>
        <v>Eq.Telecom</v>
      </c>
      <c r="N504" s="53" t="str">
        <f t="shared" si="54"/>
        <v>Aparelho Móvel</v>
      </c>
      <c r="O504" s="53" t="str">
        <f t="shared" si="54"/>
        <v>Comutação Móvel</v>
      </c>
      <c r="P504" s="54" t="s">
        <v>2739</v>
      </c>
      <c r="Q504" s="54" t="s">
        <v>2740</v>
      </c>
      <c r="R504" s="54" t="s">
        <v>6489</v>
      </c>
      <c r="S504" s="54" t="s">
        <v>692</v>
      </c>
      <c r="T504" s="55" t="str">
        <f t="shared" si="57"/>
        <v>Equipamentos</v>
      </c>
      <c r="U504" s="55" t="str">
        <f t="shared" si="57"/>
        <v>Eq Telecom</v>
      </c>
      <c r="V504" s="55" t="str">
        <f t="shared" si="57"/>
        <v>Aparelho Móvel</v>
      </c>
      <c r="W504" s="54" t="s">
        <v>7259</v>
      </c>
      <c r="X504" s="84" t="str">
        <f t="shared" si="55"/>
        <v>Key-COD-CT-504</v>
      </c>
      <c r="Y504" s="84" t="s">
        <v>5995</v>
      </c>
      <c r="Z504" s="84" t="s">
        <v>692</v>
      </c>
      <c r="AA504" s="84" t="s">
        <v>5788</v>
      </c>
      <c r="AB504" s="84" t="s">
        <v>692</v>
      </c>
      <c r="AC504" s="84" t="s">
        <v>692</v>
      </c>
      <c r="AD504" s="54" t="s">
        <v>692</v>
      </c>
    </row>
    <row r="505" spans="1:30" ht="6.75" customHeight="1" x14ac:dyDescent="0.25">
      <c r="A505" s="85">
        <v>505</v>
      </c>
      <c r="B505" s="59" t="s">
        <v>5419</v>
      </c>
      <c r="C505" s="60" t="s">
        <v>791</v>
      </c>
      <c r="D505" s="59" t="s">
        <v>2639</v>
      </c>
      <c r="E505" s="59" t="s">
        <v>2716</v>
      </c>
      <c r="F505" s="61" t="s">
        <v>2741</v>
      </c>
      <c r="G505" s="81" t="s">
        <v>692</v>
      </c>
      <c r="H505" s="81" t="s">
        <v>692</v>
      </c>
      <c r="I505" s="81" t="s">
        <v>692</v>
      </c>
      <c r="J505" s="81" t="s">
        <v>692</v>
      </c>
      <c r="K505" s="81" t="s">
        <v>692</v>
      </c>
      <c r="L505" s="53" t="str">
        <f t="shared" si="56"/>
        <v>Equipamentos</v>
      </c>
      <c r="M505" s="53" t="str">
        <f t="shared" si="56"/>
        <v>Eq.Telecom</v>
      </c>
      <c r="N505" s="53" t="str">
        <f t="shared" si="54"/>
        <v>Aparelho Móvel</v>
      </c>
      <c r="O505" s="53" t="str">
        <f t="shared" si="54"/>
        <v>Servidor Msc</v>
      </c>
      <c r="P505" s="54" t="s">
        <v>2742</v>
      </c>
      <c r="Q505" s="54" t="s">
        <v>2743</v>
      </c>
      <c r="R505" s="54" t="s">
        <v>6490</v>
      </c>
      <c r="S505" s="54" t="s">
        <v>692</v>
      </c>
      <c r="T505" s="55" t="str">
        <f t="shared" si="57"/>
        <v>Equipamentos</v>
      </c>
      <c r="U505" s="55" t="str">
        <f t="shared" si="57"/>
        <v>Eq Telecom</v>
      </c>
      <c r="V505" s="55" t="str">
        <f t="shared" si="57"/>
        <v>Aparelho Móvel</v>
      </c>
      <c r="W505" s="54" t="s">
        <v>7259</v>
      </c>
      <c r="X505" s="84" t="str">
        <f t="shared" si="55"/>
        <v>Key-COD-CT-505</v>
      </c>
      <c r="Y505" s="84" t="s">
        <v>5995</v>
      </c>
      <c r="Z505" s="84" t="s">
        <v>692</v>
      </c>
      <c r="AA505" s="84" t="s">
        <v>5789</v>
      </c>
      <c r="AB505" s="84" t="s">
        <v>692</v>
      </c>
      <c r="AC505" s="84" t="s">
        <v>692</v>
      </c>
      <c r="AD505" s="54" t="s">
        <v>692</v>
      </c>
    </row>
    <row r="506" spans="1:30" ht="6.75" customHeight="1" x14ac:dyDescent="0.25">
      <c r="A506" s="85">
        <v>506</v>
      </c>
      <c r="B506" s="59" t="s">
        <v>5419</v>
      </c>
      <c r="C506" s="60" t="s">
        <v>791</v>
      </c>
      <c r="D506" s="59" t="s">
        <v>2639</v>
      </c>
      <c r="E506" s="59" t="s">
        <v>2716</v>
      </c>
      <c r="F506" s="61" t="s">
        <v>2744</v>
      </c>
      <c r="G506" s="81" t="s">
        <v>692</v>
      </c>
      <c r="H506" s="81" t="s">
        <v>692</v>
      </c>
      <c r="I506" s="81" t="s">
        <v>692</v>
      </c>
      <c r="J506" s="81" t="s">
        <v>692</v>
      </c>
      <c r="K506" s="81" t="s">
        <v>692</v>
      </c>
      <c r="L506" s="53" t="str">
        <f t="shared" si="56"/>
        <v>Equipamentos</v>
      </c>
      <c r="M506" s="53" t="str">
        <f t="shared" si="56"/>
        <v>Eq.Telecom</v>
      </c>
      <c r="N506" s="53" t="str">
        <f t="shared" si="54"/>
        <v>Aparelho Móvel</v>
      </c>
      <c r="O506" s="53" t="str">
        <f t="shared" si="54"/>
        <v>Unidade Controle de Pacotes</v>
      </c>
      <c r="P506" s="54" t="s">
        <v>2745</v>
      </c>
      <c r="Q506" s="54" t="s">
        <v>2746</v>
      </c>
      <c r="R506" s="54" t="s">
        <v>6491</v>
      </c>
      <c r="S506" s="54" t="s">
        <v>692</v>
      </c>
      <c r="T506" s="55" t="str">
        <f t="shared" si="57"/>
        <v>Equipamentos</v>
      </c>
      <c r="U506" s="55" t="str">
        <f t="shared" si="57"/>
        <v>Eq Telecom</v>
      </c>
      <c r="V506" s="55" t="str">
        <f t="shared" si="57"/>
        <v>Aparelho Móvel</v>
      </c>
      <c r="W506" s="54" t="s">
        <v>7259</v>
      </c>
      <c r="X506" s="84" t="str">
        <f t="shared" si="55"/>
        <v>Key-COD-CT-506</v>
      </c>
      <c r="Y506" s="84" t="s">
        <v>5995</v>
      </c>
      <c r="Z506" s="84" t="s">
        <v>692</v>
      </c>
      <c r="AA506" s="84" t="s">
        <v>5790</v>
      </c>
      <c r="AB506" s="84" t="s">
        <v>692</v>
      </c>
      <c r="AC506" s="84" t="s">
        <v>692</v>
      </c>
      <c r="AD506" s="54" t="s">
        <v>692</v>
      </c>
    </row>
    <row r="507" spans="1:30" ht="6.75" customHeight="1" x14ac:dyDescent="0.25">
      <c r="A507" s="85">
        <v>507</v>
      </c>
      <c r="B507" s="59" t="s">
        <v>5419</v>
      </c>
      <c r="C507" s="60" t="s">
        <v>791</v>
      </c>
      <c r="D507" s="59" t="s">
        <v>2639</v>
      </c>
      <c r="E507" s="59" t="s">
        <v>2716</v>
      </c>
      <c r="F507" s="61" t="s">
        <v>2747</v>
      </c>
      <c r="G507" s="81" t="s">
        <v>692</v>
      </c>
      <c r="H507" s="81" t="s">
        <v>692</v>
      </c>
      <c r="I507" s="81" t="s">
        <v>692</v>
      </c>
      <c r="J507" s="81" t="s">
        <v>692</v>
      </c>
      <c r="K507" s="81" t="s">
        <v>692</v>
      </c>
      <c r="L507" s="53" t="str">
        <f t="shared" si="56"/>
        <v>Equipamentos</v>
      </c>
      <c r="M507" s="53" t="str">
        <f t="shared" si="56"/>
        <v>Eq.Telecom</v>
      </c>
      <c r="N507" s="53" t="str">
        <f t="shared" ref="N507:O570" si="58">(SUBSTITUTE(SUBSTITUTE(CONCATENATE("",E507),"."," ")," De "," de "))</f>
        <v>Aparelho Móvel</v>
      </c>
      <c r="O507" s="53" t="str">
        <f t="shared" si="58"/>
        <v>Unidade Remota de Rádio</v>
      </c>
      <c r="P507" s="54" t="s">
        <v>2748</v>
      </c>
      <c r="Q507" s="54" t="s">
        <v>2749</v>
      </c>
      <c r="R507" s="54" t="s">
        <v>6492</v>
      </c>
      <c r="S507" s="54" t="s">
        <v>692</v>
      </c>
      <c r="T507" s="55" t="str">
        <f t="shared" si="57"/>
        <v>Equipamentos</v>
      </c>
      <c r="U507" s="55" t="str">
        <f t="shared" si="57"/>
        <v>Eq Telecom</v>
      </c>
      <c r="V507" s="55" t="str">
        <f t="shared" si="57"/>
        <v>Aparelho Móvel</v>
      </c>
      <c r="W507" s="54" t="s">
        <v>7259</v>
      </c>
      <c r="X507" s="84" t="str">
        <f t="shared" si="55"/>
        <v>Key-COD-CT-507</v>
      </c>
      <c r="Y507" s="84" t="s">
        <v>5995</v>
      </c>
      <c r="Z507" s="84" t="s">
        <v>692</v>
      </c>
      <c r="AA507" s="84" t="s">
        <v>5791</v>
      </c>
      <c r="AB507" s="84" t="s">
        <v>692</v>
      </c>
      <c r="AC507" s="84" t="s">
        <v>692</v>
      </c>
      <c r="AD507" s="54" t="s">
        <v>692</v>
      </c>
    </row>
    <row r="508" spans="1:30" ht="6.75" customHeight="1" x14ac:dyDescent="0.25">
      <c r="A508" s="85">
        <v>508</v>
      </c>
      <c r="B508" s="59" t="s">
        <v>5419</v>
      </c>
      <c r="C508" s="60" t="s">
        <v>791</v>
      </c>
      <c r="D508" s="59" t="s">
        <v>2639</v>
      </c>
      <c r="E508" s="59" t="s">
        <v>2716</v>
      </c>
      <c r="F508" s="61" t="s">
        <v>2750</v>
      </c>
      <c r="G508" s="81" t="s">
        <v>692</v>
      </c>
      <c r="H508" s="81" t="s">
        <v>692</v>
      </c>
      <c r="I508" s="81" t="s">
        <v>692</v>
      </c>
      <c r="J508" s="81" t="s">
        <v>692</v>
      </c>
      <c r="K508" s="81" t="s">
        <v>692</v>
      </c>
      <c r="L508" s="53" t="str">
        <f t="shared" si="56"/>
        <v>Equipamentos</v>
      </c>
      <c r="M508" s="53" t="str">
        <f t="shared" si="56"/>
        <v>Eq.Telecom</v>
      </c>
      <c r="N508" s="53" t="str">
        <f t="shared" si="58"/>
        <v>Aparelho Móvel</v>
      </c>
      <c r="O508" s="53" t="str">
        <f t="shared" si="58"/>
        <v>UnidadeRemota</v>
      </c>
      <c r="P508" s="54" t="s">
        <v>2751</v>
      </c>
      <c r="Q508" s="54" t="s">
        <v>2752</v>
      </c>
      <c r="R508" s="54" t="s">
        <v>6493</v>
      </c>
      <c r="S508" s="54" t="s">
        <v>692</v>
      </c>
      <c r="T508" s="55" t="str">
        <f t="shared" si="57"/>
        <v>Equipamentos</v>
      </c>
      <c r="U508" s="55" t="str">
        <f t="shared" si="57"/>
        <v>Eq Telecom</v>
      </c>
      <c r="V508" s="55" t="str">
        <f t="shared" si="57"/>
        <v>Aparelho Móvel</v>
      </c>
      <c r="W508" s="54" t="s">
        <v>7259</v>
      </c>
      <c r="X508" s="84" t="str">
        <f t="shared" si="55"/>
        <v>Key-COD-CT-508</v>
      </c>
      <c r="Y508" s="84" t="s">
        <v>5995</v>
      </c>
      <c r="Z508" s="84" t="s">
        <v>692</v>
      </c>
      <c r="AA508" s="84" t="s">
        <v>5792</v>
      </c>
      <c r="AB508" s="84" t="s">
        <v>692</v>
      </c>
      <c r="AC508" s="84" t="s">
        <v>692</v>
      </c>
      <c r="AD508" s="54" t="s">
        <v>692</v>
      </c>
    </row>
    <row r="509" spans="1:30" ht="6.75" customHeight="1" x14ac:dyDescent="0.25">
      <c r="A509" s="85">
        <v>509</v>
      </c>
      <c r="B509" s="59" t="s">
        <v>5419</v>
      </c>
      <c r="C509" s="60" t="s">
        <v>791</v>
      </c>
      <c r="D509" s="59" t="s">
        <v>2639</v>
      </c>
      <c r="E509" s="59" t="s">
        <v>2716</v>
      </c>
      <c r="F509" s="61" t="s">
        <v>2753</v>
      </c>
      <c r="G509" s="81" t="s">
        <v>692</v>
      </c>
      <c r="H509" s="81" t="s">
        <v>692</v>
      </c>
      <c r="I509" s="81" t="s">
        <v>692</v>
      </c>
      <c r="J509" s="81" t="s">
        <v>692</v>
      </c>
      <c r="K509" s="81" t="s">
        <v>692</v>
      </c>
      <c r="L509" s="53" t="str">
        <f t="shared" si="56"/>
        <v>Equipamentos</v>
      </c>
      <c r="M509" s="53" t="str">
        <f t="shared" si="56"/>
        <v>Eq.Telecom</v>
      </c>
      <c r="N509" s="53" t="str">
        <f t="shared" si="58"/>
        <v>Aparelho Móvel</v>
      </c>
      <c r="O509" s="53" t="str">
        <f t="shared" si="58"/>
        <v>Serviço Suporte Gprs</v>
      </c>
      <c r="P509" s="54" t="s">
        <v>2754</v>
      </c>
      <c r="Q509" s="54" t="s">
        <v>2755</v>
      </c>
      <c r="R509" s="54" t="s">
        <v>6494</v>
      </c>
      <c r="S509" s="54" t="s">
        <v>692</v>
      </c>
      <c r="T509" s="55" t="str">
        <f t="shared" si="57"/>
        <v>Equipamentos</v>
      </c>
      <c r="U509" s="55" t="str">
        <f t="shared" si="57"/>
        <v>Eq Telecom</v>
      </c>
      <c r="V509" s="55" t="str">
        <f t="shared" si="57"/>
        <v>Aparelho Móvel</v>
      </c>
      <c r="W509" s="54" t="s">
        <v>7259</v>
      </c>
      <c r="X509" s="84" t="str">
        <f t="shared" si="55"/>
        <v>Key-COD-CT-509</v>
      </c>
      <c r="Y509" s="84" t="s">
        <v>5995</v>
      </c>
      <c r="Z509" s="84" t="s">
        <v>692</v>
      </c>
      <c r="AA509" s="84" t="s">
        <v>5793</v>
      </c>
      <c r="AB509" s="84" t="s">
        <v>692</v>
      </c>
      <c r="AC509" s="84" t="s">
        <v>692</v>
      </c>
      <c r="AD509" s="54" t="s">
        <v>692</v>
      </c>
    </row>
    <row r="510" spans="1:30" ht="6.75" customHeight="1" x14ac:dyDescent="0.25">
      <c r="A510" s="85">
        <v>510</v>
      </c>
      <c r="B510" s="59" t="s">
        <v>5419</v>
      </c>
      <c r="C510" s="60" t="s">
        <v>791</v>
      </c>
      <c r="D510" s="59" t="s">
        <v>2639</v>
      </c>
      <c r="E510" s="59" t="s">
        <v>2716</v>
      </c>
      <c r="F510" s="61" t="s">
        <v>2756</v>
      </c>
      <c r="G510" s="81" t="s">
        <v>692</v>
      </c>
      <c r="H510" s="81" t="s">
        <v>692</v>
      </c>
      <c r="I510" s="81" t="s">
        <v>692</v>
      </c>
      <c r="J510" s="81" t="s">
        <v>692</v>
      </c>
      <c r="K510" s="81" t="s">
        <v>692</v>
      </c>
      <c r="L510" s="53" t="str">
        <f t="shared" si="56"/>
        <v>Equipamentos</v>
      </c>
      <c r="M510" s="53" t="str">
        <f t="shared" si="56"/>
        <v>Eq.Telecom</v>
      </c>
      <c r="N510" s="53" t="str">
        <f t="shared" si="58"/>
        <v>Aparelho Móvel</v>
      </c>
      <c r="O510" s="53" t="str">
        <f t="shared" si="58"/>
        <v>Serviço Assinante</v>
      </c>
      <c r="P510" s="54" t="s">
        <v>2757</v>
      </c>
      <c r="Q510" s="54" t="s">
        <v>2758</v>
      </c>
      <c r="R510" s="54" t="s">
        <v>6495</v>
      </c>
      <c r="S510" s="54" t="s">
        <v>692</v>
      </c>
      <c r="T510" s="55" t="str">
        <f t="shared" si="57"/>
        <v>Equipamentos</v>
      </c>
      <c r="U510" s="55" t="str">
        <f t="shared" si="57"/>
        <v>Eq Telecom</v>
      </c>
      <c r="V510" s="55" t="str">
        <f t="shared" si="57"/>
        <v>Aparelho Móvel</v>
      </c>
      <c r="W510" s="54" t="s">
        <v>7259</v>
      </c>
      <c r="X510" s="84" t="str">
        <f t="shared" si="55"/>
        <v>Key-COD-CT-510</v>
      </c>
      <c r="Y510" s="84" t="s">
        <v>5995</v>
      </c>
      <c r="Z510" s="84" t="s">
        <v>692</v>
      </c>
      <c r="AA510" s="84" t="s">
        <v>5794</v>
      </c>
      <c r="AB510" s="84" t="s">
        <v>692</v>
      </c>
      <c r="AC510" s="84" t="s">
        <v>692</v>
      </c>
      <c r="AD510" s="54" t="s">
        <v>692</v>
      </c>
    </row>
    <row r="511" spans="1:30" ht="6.75" customHeight="1" x14ac:dyDescent="0.25">
      <c r="A511" s="85">
        <v>511</v>
      </c>
      <c r="B511" s="59" t="s">
        <v>5419</v>
      </c>
      <c r="C511" s="60" t="s">
        <v>791</v>
      </c>
      <c r="D511" s="59" t="s">
        <v>2759</v>
      </c>
      <c r="E511" s="59" t="s">
        <v>2760</v>
      </c>
      <c r="F511" s="59" t="s">
        <v>2761</v>
      </c>
      <c r="G511" s="81" t="s">
        <v>692</v>
      </c>
      <c r="H511" s="81" t="s">
        <v>692</v>
      </c>
      <c r="I511" s="81" t="s">
        <v>692</v>
      </c>
      <c r="J511" s="81" t="s">
        <v>692</v>
      </c>
      <c r="K511" s="81" t="s">
        <v>692</v>
      </c>
      <c r="L511" s="53" t="str">
        <f t="shared" si="56"/>
        <v>Equipamentos</v>
      </c>
      <c r="M511" s="53" t="str">
        <f t="shared" si="56"/>
        <v>Força.Motriz</v>
      </c>
      <c r="N511" s="53" t="str">
        <f t="shared" si="58"/>
        <v>Motores Térmicos</v>
      </c>
      <c r="O511" s="53" t="str">
        <f t="shared" si="58"/>
        <v>Motor Térmico</v>
      </c>
      <c r="P511" s="54" t="s">
        <v>2762</v>
      </c>
      <c r="Q511" s="54" t="s">
        <v>2763</v>
      </c>
      <c r="R511" s="54" t="s">
        <v>6496</v>
      </c>
      <c r="S511" s="54" t="s">
        <v>692</v>
      </c>
      <c r="T511" s="55" t="str">
        <f t="shared" si="57"/>
        <v>Equipamentos</v>
      </c>
      <c r="U511" s="55" t="str">
        <f t="shared" si="57"/>
        <v>Força Motriz</v>
      </c>
      <c r="V511" s="55" t="str">
        <f t="shared" si="57"/>
        <v>Motores Térmicos</v>
      </c>
      <c r="W511" s="54" t="s">
        <v>7259</v>
      </c>
      <c r="X511" s="84" t="str">
        <f t="shared" si="55"/>
        <v>Key-COD-CT-511</v>
      </c>
      <c r="Y511" s="84" t="s">
        <v>5563</v>
      </c>
      <c r="Z511" s="84" t="s">
        <v>692</v>
      </c>
      <c r="AA511" s="84" t="s">
        <v>5795</v>
      </c>
      <c r="AB511" s="84" t="s">
        <v>692</v>
      </c>
      <c r="AC511" s="84" t="s">
        <v>692</v>
      </c>
      <c r="AD511" s="54" t="s">
        <v>692</v>
      </c>
    </row>
    <row r="512" spans="1:30" ht="6.75" customHeight="1" x14ac:dyDescent="0.25">
      <c r="A512" s="85">
        <v>512</v>
      </c>
      <c r="B512" s="59" t="s">
        <v>5419</v>
      </c>
      <c r="C512" s="60" t="s">
        <v>791</v>
      </c>
      <c r="D512" s="59" t="s">
        <v>2759</v>
      </c>
      <c r="E512" s="59" t="s">
        <v>2760</v>
      </c>
      <c r="F512" s="61" t="s">
        <v>2764</v>
      </c>
      <c r="G512" s="81" t="s">
        <v>692</v>
      </c>
      <c r="H512" s="81" t="s">
        <v>692</v>
      </c>
      <c r="I512" s="81" t="s">
        <v>692</v>
      </c>
      <c r="J512" s="81" t="s">
        <v>692</v>
      </c>
      <c r="K512" s="81" t="s">
        <v>692</v>
      </c>
      <c r="L512" s="53" t="str">
        <f t="shared" si="56"/>
        <v>Equipamentos</v>
      </c>
      <c r="M512" s="53" t="str">
        <f t="shared" si="56"/>
        <v>Força.Motriz</v>
      </c>
      <c r="N512" s="53" t="str">
        <f t="shared" si="58"/>
        <v>Motores Térmicos</v>
      </c>
      <c r="O512" s="53" t="str">
        <f t="shared" si="58"/>
        <v>Motor de Combustão Externa</v>
      </c>
      <c r="P512" s="54" t="s">
        <v>2765</v>
      </c>
      <c r="Q512" s="54" t="s">
        <v>2766</v>
      </c>
      <c r="R512" s="54" t="s">
        <v>6497</v>
      </c>
      <c r="S512" s="54" t="s">
        <v>692</v>
      </c>
      <c r="T512" s="55" t="str">
        <f t="shared" si="57"/>
        <v>Equipamentos</v>
      </c>
      <c r="U512" s="55" t="str">
        <f t="shared" si="57"/>
        <v>Força Motriz</v>
      </c>
      <c r="V512" s="55" t="str">
        <f t="shared" si="57"/>
        <v>Motores Térmicos</v>
      </c>
      <c r="W512" s="54" t="s">
        <v>7259</v>
      </c>
      <c r="X512" s="84" t="str">
        <f t="shared" si="55"/>
        <v>Key-COD-CT-512</v>
      </c>
      <c r="Y512" s="84" t="s">
        <v>5563</v>
      </c>
      <c r="Z512" s="84" t="s">
        <v>692</v>
      </c>
      <c r="AA512" s="84" t="s">
        <v>5796</v>
      </c>
      <c r="AB512" s="84" t="s">
        <v>692</v>
      </c>
      <c r="AC512" s="84" t="s">
        <v>692</v>
      </c>
      <c r="AD512" s="54" t="s">
        <v>692</v>
      </c>
    </row>
    <row r="513" spans="1:30" ht="6.75" customHeight="1" x14ac:dyDescent="0.25">
      <c r="A513" s="85">
        <v>513</v>
      </c>
      <c r="B513" s="59" t="s">
        <v>5419</v>
      </c>
      <c r="C513" s="60" t="s">
        <v>791</v>
      </c>
      <c r="D513" s="59" t="s">
        <v>2759</v>
      </c>
      <c r="E513" s="59" t="s">
        <v>2760</v>
      </c>
      <c r="F513" s="61" t="s">
        <v>2767</v>
      </c>
      <c r="G513" s="81" t="s">
        <v>692</v>
      </c>
      <c r="H513" s="81" t="s">
        <v>692</v>
      </c>
      <c r="I513" s="81" t="s">
        <v>692</v>
      </c>
      <c r="J513" s="81" t="s">
        <v>692</v>
      </c>
      <c r="K513" s="81" t="s">
        <v>692</v>
      </c>
      <c r="L513" s="53" t="str">
        <f t="shared" si="56"/>
        <v>Equipamentos</v>
      </c>
      <c r="M513" s="53" t="str">
        <f t="shared" si="56"/>
        <v>Força.Motriz</v>
      </c>
      <c r="N513" s="53" t="str">
        <f t="shared" si="58"/>
        <v>Motores Térmicos</v>
      </c>
      <c r="O513" s="53" t="str">
        <f t="shared" si="58"/>
        <v>Motor de Combustão Interna</v>
      </c>
      <c r="P513" s="54" t="s">
        <v>2768</v>
      </c>
      <c r="Q513" s="54" t="s">
        <v>2769</v>
      </c>
      <c r="R513" s="54" t="s">
        <v>6498</v>
      </c>
      <c r="S513" s="54" t="s">
        <v>692</v>
      </c>
      <c r="T513" s="55" t="str">
        <f t="shared" si="57"/>
        <v>Equipamentos</v>
      </c>
      <c r="U513" s="55" t="str">
        <f t="shared" si="57"/>
        <v>Força Motriz</v>
      </c>
      <c r="V513" s="55" t="str">
        <f t="shared" si="57"/>
        <v>Motores Térmicos</v>
      </c>
      <c r="W513" s="54" t="s">
        <v>7259</v>
      </c>
      <c r="X513" s="84" t="str">
        <f t="shared" si="55"/>
        <v>Key-COD-CT-513</v>
      </c>
      <c r="Y513" s="84" t="s">
        <v>5563</v>
      </c>
      <c r="Z513" s="84" t="s">
        <v>692</v>
      </c>
      <c r="AA513" s="84" t="s">
        <v>5797</v>
      </c>
      <c r="AB513" s="84" t="s">
        <v>692</v>
      </c>
      <c r="AC513" s="84" t="s">
        <v>692</v>
      </c>
      <c r="AD513" s="54" t="s">
        <v>692</v>
      </c>
    </row>
    <row r="514" spans="1:30" ht="6.75" customHeight="1" x14ac:dyDescent="0.25">
      <c r="A514" s="85">
        <v>514</v>
      </c>
      <c r="B514" s="59" t="s">
        <v>5419</v>
      </c>
      <c r="C514" s="60" t="s">
        <v>791</v>
      </c>
      <c r="D514" s="59" t="s">
        <v>2759</v>
      </c>
      <c r="E514" s="59" t="s">
        <v>2770</v>
      </c>
      <c r="F514" s="61" t="s">
        <v>2771</v>
      </c>
      <c r="G514" s="81" t="s">
        <v>692</v>
      </c>
      <c r="H514" s="81" t="s">
        <v>692</v>
      </c>
      <c r="I514" s="81" t="s">
        <v>692</v>
      </c>
      <c r="J514" s="81" t="s">
        <v>692</v>
      </c>
      <c r="K514" s="81" t="s">
        <v>692</v>
      </c>
      <c r="L514" s="53" t="str">
        <f t="shared" si="56"/>
        <v>Equipamentos</v>
      </c>
      <c r="M514" s="53" t="str">
        <f t="shared" si="56"/>
        <v>Força.Motriz</v>
      </c>
      <c r="N514" s="53" t="str">
        <f t="shared" si="58"/>
        <v>Motores</v>
      </c>
      <c r="O514" s="53" t="str">
        <f t="shared" si="58"/>
        <v>Motor</v>
      </c>
      <c r="P514" s="54" t="s">
        <v>2772</v>
      </c>
      <c r="Q514" s="54" t="s">
        <v>2773</v>
      </c>
      <c r="R514" s="54" t="s">
        <v>6499</v>
      </c>
      <c r="S514" s="54" t="s">
        <v>692</v>
      </c>
      <c r="T514" s="55" t="str">
        <f t="shared" si="57"/>
        <v>Equipamentos</v>
      </c>
      <c r="U514" s="55" t="str">
        <f t="shared" si="57"/>
        <v>Força Motriz</v>
      </c>
      <c r="V514" s="55" t="str">
        <f t="shared" si="57"/>
        <v>Motores</v>
      </c>
      <c r="W514" s="54" t="s">
        <v>7259</v>
      </c>
      <c r="X514" s="84" t="str">
        <f t="shared" si="55"/>
        <v>Key-COD-CT-514</v>
      </c>
      <c r="Y514" s="84" t="s">
        <v>5563</v>
      </c>
      <c r="Z514" s="84" t="s">
        <v>692</v>
      </c>
      <c r="AA514" s="84" t="s">
        <v>5798</v>
      </c>
      <c r="AB514" s="84" t="s">
        <v>692</v>
      </c>
      <c r="AC514" s="84" t="s">
        <v>692</v>
      </c>
      <c r="AD514" s="54" t="s">
        <v>692</v>
      </c>
    </row>
    <row r="515" spans="1:30" ht="6.75" customHeight="1" x14ac:dyDescent="0.25">
      <c r="A515" s="85">
        <v>515</v>
      </c>
      <c r="B515" s="59" t="s">
        <v>5419</v>
      </c>
      <c r="C515" s="60" t="s">
        <v>791</v>
      </c>
      <c r="D515" s="59" t="s">
        <v>2759</v>
      </c>
      <c r="E515" s="59" t="s">
        <v>2770</v>
      </c>
      <c r="F515" s="61" t="s">
        <v>2774</v>
      </c>
      <c r="G515" s="81" t="s">
        <v>692</v>
      </c>
      <c r="H515" s="81" t="s">
        <v>692</v>
      </c>
      <c r="I515" s="81" t="s">
        <v>692</v>
      </c>
      <c r="J515" s="81" t="s">
        <v>692</v>
      </c>
      <c r="K515" s="81" t="s">
        <v>692</v>
      </c>
      <c r="L515" s="53" t="str">
        <f t="shared" si="56"/>
        <v>Equipamentos</v>
      </c>
      <c r="M515" s="53" t="str">
        <f t="shared" si="56"/>
        <v>Força.Motriz</v>
      </c>
      <c r="N515" s="53" t="str">
        <f t="shared" si="58"/>
        <v>Motores</v>
      </c>
      <c r="O515" s="53" t="str">
        <f t="shared" si="58"/>
        <v>Motor de Correia</v>
      </c>
      <c r="P515" s="54" t="s">
        <v>2775</v>
      </c>
      <c r="Q515" s="54" t="s">
        <v>2776</v>
      </c>
      <c r="R515" s="54" t="s">
        <v>6500</v>
      </c>
      <c r="S515" s="54" t="s">
        <v>692</v>
      </c>
      <c r="T515" s="55" t="str">
        <f t="shared" si="57"/>
        <v>Equipamentos</v>
      </c>
      <c r="U515" s="55" t="str">
        <f t="shared" si="57"/>
        <v>Força Motriz</v>
      </c>
      <c r="V515" s="55" t="str">
        <f t="shared" si="57"/>
        <v>Motores</v>
      </c>
      <c r="W515" s="54" t="s">
        <v>7259</v>
      </c>
      <c r="X515" s="84" t="str">
        <f t="shared" ref="X515:X578" si="59">CONCATENATE("Key-COD-CT-",A515)</f>
        <v>Key-COD-CT-515</v>
      </c>
      <c r="Y515" s="84" t="s">
        <v>5563</v>
      </c>
      <c r="Z515" s="84" t="s">
        <v>692</v>
      </c>
      <c r="AA515" s="84" t="s">
        <v>5799</v>
      </c>
      <c r="AB515" s="84" t="s">
        <v>692</v>
      </c>
      <c r="AC515" s="84" t="s">
        <v>692</v>
      </c>
      <c r="AD515" s="54" t="s">
        <v>692</v>
      </c>
    </row>
    <row r="516" spans="1:30" ht="6.75" customHeight="1" x14ac:dyDescent="0.25">
      <c r="A516" s="85">
        <v>516</v>
      </c>
      <c r="B516" s="59" t="s">
        <v>5419</v>
      </c>
      <c r="C516" s="60" t="s">
        <v>791</v>
      </c>
      <c r="D516" s="59" t="s">
        <v>2759</v>
      </c>
      <c r="E516" s="59" t="s">
        <v>2770</v>
      </c>
      <c r="F516" s="61" t="s">
        <v>2777</v>
      </c>
      <c r="G516" s="81" t="s">
        <v>692</v>
      </c>
      <c r="H516" s="81" t="s">
        <v>692</v>
      </c>
      <c r="I516" s="81" t="s">
        <v>692</v>
      </c>
      <c r="J516" s="81" t="s">
        <v>692</v>
      </c>
      <c r="K516" s="81" t="s">
        <v>692</v>
      </c>
      <c r="L516" s="53" t="str">
        <f t="shared" si="56"/>
        <v>Equipamentos</v>
      </c>
      <c r="M516" s="53" t="str">
        <f t="shared" si="56"/>
        <v>Força.Motriz</v>
      </c>
      <c r="N516" s="53" t="str">
        <f t="shared" si="58"/>
        <v>Motores</v>
      </c>
      <c r="O516" s="53" t="str">
        <f t="shared" si="58"/>
        <v>Motor de Acoplamento</v>
      </c>
      <c r="P516" s="54" t="s">
        <v>2778</v>
      </c>
      <c r="Q516" s="54" t="s">
        <v>2779</v>
      </c>
      <c r="R516" s="54" t="s">
        <v>6501</v>
      </c>
      <c r="S516" s="54" t="s">
        <v>692</v>
      </c>
      <c r="T516" s="55" t="str">
        <f t="shared" si="57"/>
        <v>Equipamentos</v>
      </c>
      <c r="U516" s="55" t="str">
        <f t="shared" si="57"/>
        <v>Força Motriz</v>
      </c>
      <c r="V516" s="55" t="str">
        <f t="shared" si="57"/>
        <v>Motores</v>
      </c>
      <c r="W516" s="54" t="s">
        <v>7259</v>
      </c>
      <c r="X516" s="84" t="str">
        <f t="shared" si="59"/>
        <v>Key-COD-CT-516</v>
      </c>
      <c r="Y516" s="84" t="s">
        <v>5563</v>
      </c>
      <c r="Z516" s="84" t="s">
        <v>692</v>
      </c>
      <c r="AA516" s="84" t="s">
        <v>5800</v>
      </c>
      <c r="AB516" s="84" t="s">
        <v>692</v>
      </c>
      <c r="AC516" s="84" t="s">
        <v>692</v>
      </c>
      <c r="AD516" s="54" t="s">
        <v>692</v>
      </c>
    </row>
    <row r="517" spans="1:30" ht="6.75" customHeight="1" x14ac:dyDescent="0.25">
      <c r="A517" s="85">
        <v>517</v>
      </c>
      <c r="B517" s="59" t="s">
        <v>5419</v>
      </c>
      <c r="C517" s="60" t="s">
        <v>791</v>
      </c>
      <c r="D517" s="59" t="s">
        <v>2759</v>
      </c>
      <c r="E517" s="59" t="s">
        <v>2770</v>
      </c>
      <c r="F517" s="61" t="s">
        <v>2780</v>
      </c>
      <c r="G517" s="81" t="s">
        <v>692</v>
      </c>
      <c r="H517" s="81" t="s">
        <v>692</v>
      </c>
      <c r="I517" s="81" t="s">
        <v>692</v>
      </c>
      <c r="J517" s="81" t="s">
        <v>692</v>
      </c>
      <c r="K517" s="81" t="s">
        <v>692</v>
      </c>
      <c r="L517" s="53" t="str">
        <f t="shared" si="56"/>
        <v>Equipamentos</v>
      </c>
      <c r="M517" s="53" t="str">
        <f t="shared" si="56"/>
        <v>Força.Motriz</v>
      </c>
      <c r="N517" s="53" t="str">
        <f t="shared" si="58"/>
        <v>Motores</v>
      </c>
      <c r="O517" s="53" t="str">
        <f t="shared" si="58"/>
        <v xml:space="preserve">Motor de Acionamento Direto </v>
      </c>
      <c r="P517" s="54" t="s">
        <v>2781</v>
      </c>
      <c r="Q517" s="54" t="s">
        <v>2782</v>
      </c>
      <c r="R517" s="54" t="s">
        <v>6502</v>
      </c>
      <c r="S517" s="54" t="s">
        <v>692</v>
      </c>
      <c r="T517" s="55" t="str">
        <f t="shared" si="57"/>
        <v>Equipamentos</v>
      </c>
      <c r="U517" s="55" t="str">
        <f t="shared" si="57"/>
        <v>Força Motriz</v>
      </c>
      <c r="V517" s="55" t="str">
        <f t="shared" si="57"/>
        <v>Motores</v>
      </c>
      <c r="W517" s="54" t="s">
        <v>7259</v>
      </c>
      <c r="X517" s="84" t="str">
        <f t="shared" si="59"/>
        <v>Key-COD-CT-517</v>
      </c>
      <c r="Y517" s="84" t="s">
        <v>5563</v>
      </c>
      <c r="Z517" s="84" t="s">
        <v>692</v>
      </c>
      <c r="AA517" s="84" t="s">
        <v>5801</v>
      </c>
      <c r="AB517" s="84" t="s">
        <v>692</v>
      </c>
      <c r="AC517" s="84" t="s">
        <v>692</v>
      </c>
      <c r="AD517" s="54" t="s">
        <v>692</v>
      </c>
    </row>
    <row r="518" spans="1:30" ht="6.75" customHeight="1" x14ac:dyDescent="0.25">
      <c r="A518" s="85">
        <v>518</v>
      </c>
      <c r="B518" s="59" t="s">
        <v>5419</v>
      </c>
      <c r="C518" s="60" t="s">
        <v>791</v>
      </c>
      <c r="D518" s="59" t="s">
        <v>2759</v>
      </c>
      <c r="E518" s="59" t="s">
        <v>2783</v>
      </c>
      <c r="F518" s="61" t="s">
        <v>2784</v>
      </c>
      <c r="G518" s="81" t="s">
        <v>692</v>
      </c>
      <c r="H518" s="81" t="s">
        <v>692</v>
      </c>
      <c r="I518" s="81" t="s">
        <v>692</v>
      </c>
      <c r="J518" s="81" t="s">
        <v>692</v>
      </c>
      <c r="K518" s="81" t="s">
        <v>692</v>
      </c>
      <c r="L518" s="53" t="str">
        <f t="shared" si="56"/>
        <v>Equipamentos</v>
      </c>
      <c r="M518" s="53" t="str">
        <f t="shared" si="56"/>
        <v>Força.Motriz</v>
      </c>
      <c r="N518" s="53" t="str">
        <f t="shared" si="58"/>
        <v>Motores Elétricos</v>
      </c>
      <c r="O518" s="53" t="str">
        <f t="shared" si="58"/>
        <v>Motor Elétrico</v>
      </c>
      <c r="P518" s="54" t="s">
        <v>2785</v>
      </c>
      <c r="Q518" s="54" t="s">
        <v>2786</v>
      </c>
      <c r="R518" s="54" t="s">
        <v>6503</v>
      </c>
      <c r="S518" s="54" t="s">
        <v>692</v>
      </c>
      <c r="T518" s="55" t="str">
        <f t="shared" si="57"/>
        <v>Equipamentos</v>
      </c>
      <c r="U518" s="55" t="str">
        <f t="shared" si="57"/>
        <v>Força Motriz</v>
      </c>
      <c r="V518" s="55" t="str">
        <f t="shared" si="57"/>
        <v>Motores Elétricos</v>
      </c>
      <c r="W518" s="54" t="s">
        <v>7259</v>
      </c>
      <c r="X518" s="84" t="str">
        <f t="shared" si="59"/>
        <v>Key-COD-CT-518</v>
      </c>
      <c r="Y518" s="84" t="s">
        <v>5996</v>
      </c>
      <c r="Z518" s="84" t="s">
        <v>692</v>
      </c>
      <c r="AA518" s="84" t="s">
        <v>5802</v>
      </c>
      <c r="AB518" s="84" t="s">
        <v>692</v>
      </c>
      <c r="AC518" s="84" t="s">
        <v>692</v>
      </c>
      <c r="AD518" s="54" t="s">
        <v>692</v>
      </c>
    </row>
    <row r="519" spans="1:30" ht="6.75" customHeight="1" x14ac:dyDescent="0.25">
      <c r="A519" s="85">
        <v>519</v>
      </c>
      <c r="B519" s="59" t="s">
        <v>5419</v>
      </c>
      <c r="C519" s="60" t="s">
        <v>791</v>
      </c>
      <c r="D519" s="59" t="s">
        <v>2759</v>
      </c>
      <c r="E519" s="59" t="s">
        <v>2783</v>
      </c>
      <c r="F519" s="61" t="s">
        <v>2787</v>
      </c>
      <c r="G519" s="81" t="s">
        <v>692</v>
      </c>
      <c r="H519" s="81" t="s">
        <v>692</v>
      </c>
      <c r="I519" s="81" t="s">
        <v>692</v>
      </c>
      <c r="J519" s="81" t="s">
        <v>692</v>
      </c>
      <c r="K519" s="81" t="s">
        <v>692</v>
      </c>
      <c r="L519" s="53" t="str">
        <f t="shared" ref="L519:M582" si="60">CONCATENATE("", C519)</f>
        <v>Equipamentos</v>
      </c>
      <c r="M519" s="53" t="str">
        <f t="shared" si="60"/>
        <v>Força.Motriz</v>
      </c>
      <c r="N519" s="53" t="str">
        <f t="shared" si="58"/>
        <v>Motores Elétricos</v>
      </c>
      <c r="O519" s="53" t="str">
        <f t="shared" si="58"/>
        <v>Motor de Corrente Contínua</v>
      </c>
      <c r="P519" s="54" t="s">
        <v>2788</v>
      </c>
      <c r="Q519" s="54" t="s">
        <v>2789</v>
      </c>
      <c r="R519" s="54" t="s">
        <v>6504</v>
      </c>
      <c r="S519" s="54" t="s">
        <v>692</v>
      </c>
      <c r="T519" s="55" t="str">
        <f t="shared" si="57"/>
        <v>Equipamentos</v>
      </c>
      <c r="U519" s="55" t="str">
        <f t="shared" si="57"/>
        <v>Força Motriz</v>
      </c>
      <c r="V519" s="55" t="str">
        <f t="shared" si="57"/>
        <v>Motores Elétricos</v>
      </c>
      <c r="W519" s="54" t="s">
        <v>7259</v>
      </c>
      <c r="X519" s="84" t="str">
        <f t="shared" si="59"/>
        <v>Key-COD-CT-519</v>
      </c>
      <c r="Y519" s="84" t="s">
        <v>5996</v>
      </c>
      <c r="Z519" s="84" t="s">
        <v>692</v>
      </c>
      <c r="AA519" s="84" t="s">
        <v>5803</v>
      </c>
      <c r="AB519" s="84" t="s">
        <v>692</v>
      </c>
      <c r="AC519" s="84" t="s">
        <v>692</v>
      </c>
      <c r="AD519" s="54" t="s">
        <v>692</v>
      </c>
    </row>
    <row r="520" spans="1:30" ht="6.75" customHeight="1" x14ac:dyDescent="0.25">
      <c r="A520" s="85">
        <v>520</v>
      </c>
      <c r="B520" s="59" t="s">
        <v>5419</v>
      </c>
      <c r="C520" s="60" t="s">
        <v>791</v>
      </c>
      <c r="D520" s="59" t="s">
        <v>2759</v>
      </c>
      <c r="E520" s="59" t="s">
        <v>2783</v>
      </c>
      <c r="F520" s="61" t="s">
        <v>2790</v>
      </c>
      <c r="G520" s="81" t="s">
        <v>692</v>
      </c>
      <c r="H520" s="81" t="s">
        <v>692</v>
      </c>
      <c r="I520" s="81" t="s">
        <v>692</v>
      </c>
      <c r="J520" s="81" t="s">
        <v>692</v>
      </c>
      <c r="K520" s="81" t="s">
        <v>692</v>
      </c>
      <c r="L520" s="53" t="str">
        <f t="shared" si="60"/>
        <v>Equipamentos</v>
      </c>
      <c r="M520" s="53" t="str">
        <f t="shared" si="60"/>
        <v>Força.Motriz</v>
      </c>
      <c r="N520" s="53" t="str">
        <f t="shared" si="58"/>
        <v>Motores Elétricos</v>
      </c>
      <c r="O520" s="53" t="str">
        <f t="shared" si="58"/>
        <v>Motor de Indução</v>
      </c>
      <c r="P520" s="54" t="s">
        <v>2791</v>
      </c>
      <c r="Q520" s="54" t="s">
        <v>2792</v>
      </c>
      <c r="R520" s="54" t="s">
        <v>6505</v>
      </c>
      <c r="S520" s="54" t="s">
        <v>692</v>
      </c>
      <c r="T520" s="55" t="str">
        <f t="shared" si="57"/>
        <v>Equipamentos</v>
      </c>
      <c r="U520" s="55" t="str">
        <f t="shared" si="57"/>
        <v>Força Motriz</v>
      </c>
      <c r="V520" s="55" t="str">
        <f t="shared" si="57"/>
        <v>Motores Elétricos</v>
      </c>
      <c r="W520" s="54" t="s">
        <v>7259</v>
      </c>
      <c r="X520" s="84" t="str">
        <f t="shared" si="59"/>
        <v>Key-COD-CT-520</v>
      </c>
      <c r="Y520" s="84" t="s">
        <v>5996</v>
      </c>
      <c r="Z520" s="84" t="s">
        <v>692</v>
      </c>
      <c r="AA520" s="84" t="s">
        <v>5804</v>
      </c>
      <c r="AB520" s="84" t="s">
        <v>692</v>
      </c>
      <c r="AC520" s="84" t="s">
        <v>692</v>
      </c>
      <c r="AD520" s="54" t="s">
        <v>692</v>
      </c>
    </row>
    <row r="521" spans="1:30" ht="6.75" customHeight="1" x14ac:dyDescent="0.25">
      <c r="A521" s="85">
        <v>521</v>
      </c>
      <c r="B521" s="59" t="s">
        <v>5419</v>
      </c>
      <c r="C521" s="60" t="s">
        <v>791</v>
      </c>
      <c r="D521" s="59" t="s">
        <v>2759</v>
      </c>
      <c r="E521" s="59" t="s">
        <v>2783</v>
      </c>
      <c r="F521" s="61" t="s">
        <v>2793</v>
      </c>
      <c r="G521" s="81" t="s">
        <v>692</v>
      </c>
      <c r="H521" s="81" t="s">
        <v>692</v>
      </c>
      <c r="I521" s="81" t="s">
        <v>692</v>
      </c>
      <c r="J521" s="81" t="s">
        <v>692</v>
      </c>
      <c r="K521" s="81" t="s">
        <v>692</v>
      </c>
      <c r="L521" s="53" t="str">
        <f t="shared" si="60"/>
        <v>Equipamentos</v>
      </c>
      <c r="M521" s="53" t="str">
        <f t="shared" si="60"/>
        <v>Força.Motriz</v>
      </c>
      <c r="N521" s="53" t="str">
        <f t="shared" si="58"/>
        <v>Motores Elétricos</v>
      </c>
      <c r="O521" s="53" t="str">
        <f t="shared" si="58"/>
        <v>Motor Polifásico</v>
      </c>
      <c r="P521" s="54" t="s">
        <v>2794</v>
      </c>
      <c r="Q521" s="54" t="s">
        <v>2795</v>
      </c>
      <c r="R521" s="54" t="s">
        <v>6506</v>
      </c>
      <c r="S521" s="54" t="s">
        <v>692</v>
      </c>
      <c r="T521" s="55" t="str">
        <f t="shared" si="57"/>
        <v>Equipamentos</v>
      </c>
      <c r="U521" s="55" t="str">
        <f t="shared" si="57"/>
        <v>Força Motriz</v>
      </c>
      <c r="V521" s="55" t="str">
        <f t="shared" si="57"/>
        <v>Motores Elétricos</v>
      </c>
      <c r="W521" s="54" t="s">
        <v>7259</v>
      </c>
      <c r="X521" s="84" t="str">
        <f t="shared" si="59"/>
        <v>Key-COD-CT-521</v>
      </c>
      <c r="Y521" s="84" t="s">
        <v>5996</v>
      </c>
      <c r="Z521" s="84" t="s">
        <v>692</v>
      </c>
      <c r="AA521" s="84" t="s">
        <v>5805</v>
      </c>
      <c r="AB521" s="84" t="s">
        <v>692</v>
      </c>
      <c r="AC521" s="84" t="s">
        <v>692</v>
      </c>
      <c r="AD521" s="54" t="s">
        <v>692</v>
      </c>
    </row>
    <row r="522" spans="1:30" ht="6.75" customHeight="1" x14ac:dyDescent="0.25">
      <c r="A522" s="85">
        <v>522</v>
      </c>
      <c r="B522" s="59" t="s">
        <v>5419</v>
      </c>
      <c r="C522" s="60" t="s">
        <v>791</v>
      </c>
      <c r="D522" s="59" t="s">
        <v>2759</v>
      </c>
      <c r="E522" s="59" t="s">
        <v>2783</v>
      </c>
      <c r="F522" s="61" t="s">
        <v>2796</v>
      </c>
      <c r="G522" s="81" t="s">
        <v>692</v>
      </c>
      <c r="H522" s="81" t="s">
        <v>692</v>
      </c>
      <c r="I522" s="81" t="s">
        <v>692</v>
      </c>
      <c r="J522" s="81" t="s">
        <v>692</v>
      </c>
      <c r="K522" s="81" t="s">
        <v>692</v>
      </c>
      <c r="L522" s="53" t="str">
        <f t="shared" si="60"/>
        <v>Equipamentos</v>
      </c>
      <c r="M522" s="53" t="str">
        <f t="shared" si="60"/>
        <v>Força.Motriz</v>
      </c>
      <c r="N522" s="53" t="str">
        <f t="shared" si="58"/>
        <v>Motores Elétricos</v>
      </c>
      <c r="O522" s="53" t="str">
        <f t="shared" si="58"/>
        <v>Motor Síncrono</v>
      </c>
      <c r="P522" s="54" t="s">
        <v>2797</v>
      </c>
      <c r="Q522" s="54" t="s">
        <v>2798</v>
      </c>
      <c r="R522" s="54" t="s">
        <v>6507</v>
      </c>
      <c r="S522" s="54" t="s">
        <v>692</v>
      </c>
      <c r="T522" s="55" t="str">
        <f t="shared" si="57"/>
        <v>Equipamentos</v>
      </c>
      <c r="U522" s="55" t="str">
        <f t="shared" si="57"/>
        <v>Força Motriz</v>
      </c>
      <c r="V522" s="55" t="str">
        <f t="shared" si="57"/>
        <v>Motores Elétricos</v>
      </c>
      <c r="W522" s="54" t="s">
        <v>7259</v>
      </c>
      <c r="X522" s="84" t="str">
        <f t="shared" si="59"/>
        <v>Key-COD-CT-522</v>
      </c>
      <c r="Y522" s="84" t="s">
        <v>5996</v>
      </c>
      <c r="Z522" s="84" t="s">
        <v>692</v>
      </c>
      <c r="AA522" s="84" t="s">
        <v>5806</v>
      </c>
      <c r="AB522" s="84" t="s">
        <v>692</v>
      </c>
      <c r="AC522" s="84" t="s">
        <v>692</v>
      </c>
      <c r="AD522" s="54" t="s">
        <v>692</v>
      </c>
    </row>
    <row r="523" spans="1:30" ht="6.75" customHeight="1" x14ac:dyDescent="0.25">
      <c r="A523" s="85">
        <v>523</v>
      </c>
      <c r="B523" s="59" t="s">
        <v>5419</v>
      </c>
      <c r="C523" s="60" t="s">
        <v>791</v>
      </c>
      <c r="D523" s="59" t="s">
        <v>2759</v>
      </c>
      <c r="E523" s="59" t="s">
        <v>2783</v>
      </c>
      <c r="F523" s="61" t="s">
        <v>2799</v>
      </c>
      <c r="G523" s="81" t="s">
        <v>692</v>
      </c>
      <c r="H523" s="81" t="s">
        <v>692</v>
      </c>
      <c r="I523" s="81" t="s">
        <v>692</v>
      </c>
      <c r="J523" s="81" t="s">
        <v>692</v>
      </c>
      <c r="K523" s="81" t="s">
        <v>692</v>
      </c>
      <c r="L523" s="53" t="str">
        <f t="shared" si="60"/>
        <v>Equipamentos</v>
      </c>
      <c r="M523" s="53" t="str">
        <f t="shared" si="60"/>
        <v>Força.Motriz</v>
      </c>
      <c r="N523" s="53" t="str">
        <f t="shared" si="58"/>
        <v>Motores Elétricos</v>
      </c>
      <c r="O523" s="53" t="str">
        <f t="shared" si="58"/>
        <v>Motor Síncrono de Relutância</v>
      </c>
      <c r="P523" s="54" t="s">
        <v>2800</v>
      </c>
      <c r="Q523" s="54" t="s">
        <v>2801</v>
      </c>
      <c r="R523" s="54" t="s">
        <v>6508</v>
      </c>
      <c r="S523" s="54" t="s">
        <v>692</v>
      </c>
      <c r="T523" s="55" t="str">
        <f t="shared" si="57"/>
        <v>Equipamentos</v>
      </c>
      <c r="U523" s="55" t="str">
        <f t="shared" si="57"/>
        <v>Força Motriz</v>
      </c>
      <c r="V523" s="55" t="str">
        <f t="shared" si="57"/>
        <v>Motores Elétricos</v>
      </c>
      <c r="W523" s="54" t="s">
        <v>7259</v>
      </c>
      <c r="X523" s="84" t="str">
        <f t="shared" si="59"/>
        <v>Key-COD-CT-523</v>
      </c>
      <c r="Y523" s="84" t="s">
        <v>5996</v>
      </c>
      <c r="Z523" s="84" t="s">
        <v>692</v>
      </c>
      <c r="AA523" s="84" t="s">
        <v>5807</v>
      </c>
      <c r="AB523" s="84" t="s">
        <v>692</v>
      </c>
      <c r="AC523" s="84" t="s">
        <v>692</v>
      </c>
      <c r="AD523" s="54" t="s">
        <v>692</v>
      </c>
    </row>
    <row r="524" spans="1:30" ht="6.75" customHeight="1" x14ac:dyDescent="0.25">
      <c r="A524" s="85">
        <v>524</v>
      </c>
      <c r="B524" s="59" t="s">
        <v>5419</v>
      </c>
      <c r="C524" s="60" t="s">
        <v>791</v>
      </c>
      <c r="D524" s="59" t="s">
        <v>2759</v>
      </c>
      <c r="E524" s="59" t="s">
        <v>2802</v>
      </c>
      <c r="F524" s="61" t="s">
        <v>2803</v>
      </c>
      <c r="G524" s="81" t="s">
        <v>692</v>
      </c>
      <c r="H524" s="81" t="s">
        <v>692</v>
      </c>
      <c r="I524" s="81" t="s">
        <v>692</v>
      </c>
      <c r="J524" s="81" t="s">
        <v>692</v>
      </c>
      <c r="K524" s="81" t="s">
        <v>692</v>
      </c>
      <c r="L524" s="53" t="str">
        <f t="shared" si="60"/>
        <v>Equipamentos</v>
      </c>
      <c r="M524" s="53" t="str">
        <f t="shared" si="60"/>
        <v>Força.Motriz</v>
      </c>
      <c r="N524" s="53" t="str">
        <f t="shared" si="58"/>
        <v>Bombas</v>
      </c>
      <c r="O524" s="53" t="str">
        <f t="shared" si="58"/>
        <v xml:space="preserve">Bomba </v>
      </c>
      <c r="P524" s="54" t="s">
        <v>2804</v>
      </c>
      <c r="Q524" s="54" t="s">
        <v>2805</v>
      </c>
      <c r="R524" s="54" t="s">
        <v>6509</v>
      </c>
      <c r="S524" s="54" t="s">
        <v>692</v>
      </c>
      <c r="T524" s="55" t="str">
        <f t="shared" si="57"/>
        <v>Equipamentos</v>
      </c>
      <c r="U524" s="55" t="str">
        <f t="shared" si="57"/>
        <v>Força Motriz</v>
      </c>
      <c r="V524" s="55" t="str">
        <f t="shared" si="57"/>
        <v>Bombas</v>
      </c>
      <c r="W524" s="54" t="s">
        <v>7259</v>
      </c>
      <c r="X524" s="84" t="str">
        <f t="shared" si="59"/>
        <v>Key-COD-CT-524</v>
      </c>
      <c r="Y524" s="84" t="s">
        <v>5996</v>
      </c>
      <c r="Z524" s="84" t="s">
        <v>692</v>
      </c>
      <c r="AA524" s="84" t="s">
        <v>5808</v>
      </c>
      <c r="AB524" s="84" t="s">
        <v>692</v>
      </c>
      <c r="AC524" s="84" t="s">
        <v>692</v>
      </c>
      <c r="AD524" s="54" t="s">
        <v>692</v>
      </c>
    </row>
    <row r="525" spans="1:30" ht="6.75" customHeight="1" x14ac:dyDescent="0.25">
      <c r="A525" s="85">
        <v>525</v>
      </c>
      <c r="B525" s="59" t="s">
        <v>5419</v>
      </c>
      <c r="C525" s="60" t="s">
        <v>791</v>
      </c>
      <c r="D525" s="59" t="s">
        <v>2759</v>
      </c>
      <c r="E525" s="59" t="s">
        <v>2802</v>
      </c>
      <c r="F525" s="61" t="s">
        <v>2806</v>
      </c>
      <c r="G525" s="81" t="s">
        <v>692</v>
      </c>
      <c r="H525" s="81" t="s">
        <v>692</v>
      </c>
      <c r="I525" s="81" t="s">
        <v>692</v>
      </c>
      <c r="J525" s="81" t="s">
        <v>692</v>
      </c>
      <c r="K525" s="81" t="s">
        <v>692</v>
      </c>
      <c r="L525" s="53" t="str">
        <f t="shared" si="60"/>
        <v>Equipamentos</v>
      </c>
      <c r="M525" s="53" t="str">
        <f t="shared" si="60"/>
        <v>Força.Motriz</v>
      </c>
      <c r="N525" s="53" t="str">
        <f t="shared" si="58"/>
        <v>Bombas</v>
      </c>
      <c r="O525" s="53" t="str">
        <f t="shared" si="58"/>
        <v>Bomba Circuladora</v>
      </c>
      <c r="P525" s="54" t="s">
        <v>2807</v>
      </c>
      <c r="Q525" s="54" t="s">
        <v>2808</v>
      </c>
      <c r="R525" s="54" t="s">
        <v>6510</v>
      </c>
      <c r="S525" s="54" t="s">
        <v>692</v>
      </c>
      <c r="T525" s="55" t="str">
        <f t="shared" si="57"/>
        <v>Equipamentos</v>
      </c>
      <c r="U525" s="55" t="str">
        <f t="shared" si="57"/>
        <v>Força Motriz</v>
      </c>
      <c r="V525" s="55" t="str">
        <f t="shared" si="57"/>
        <v>Bombas</v>
      </c>
      <c r="W525" s="54" t="s">
        <v>7259</v>
      </c>
      <c r="X525" s="84" t="str">
        <f t="shared" si="59"/>
        <v>Key-COD-CT-525</v>
      </c>
      <c r="Y525" s="84" t="s">
        <v>5996</v>
      </c>
      <c r="Z525" s="84" t="s">
        <v>692</v>
      </c>
      <c r="AA525" s="84" t="s">
        <v>5809</v>
      </c>
      <c r="AB525" s="84" t="s">
        <v>692</v>
      </c>
      <c r="AC525" s="84" t="s">
        <v>692</v>
      </c>
      <c r="AD525" s="54" t="s">
        <v>692</v>
      </c>
    </row>
    <row r="526" spans="1:30" ht="6.75" customHeight="1" x14ac:dyDescent="0.25">
      <c r="A526" s="85">
        <v>526</v>
      </c>
      <c r="B526" s="59" t="s">
        <v>5419</v>
      </c>
      <c r="C526" s="60" t="s">
        <v>791</v>
      </c>
      <c r="D526" s="59" t="s">
        <v>2759</v>
      </c>
      <c r="E526" s="59" t="s">
        <v>2802</v>
      </c>
      <c r="F526" s="61" t="s">
        <v>2809</v>
      </c>
      <c r="G526" s="81" t="s">
        <v>692</v>
      </c>
      <c r="H526" s="81" t="s">
        <v>692</v>
      </c>
      <c r="I526" s="81" t="s">
        <v>692</v>
      </c>
      <c r="J526" s="81" t="s">
        <v>692</v>
      </c>
      <c r="K526" s="81" t="s">
        <v>692</v>
      </c>
      <c r="L526" s="53" t="str">
        <f t="shared" si="60"/>
        <v>Equipamentos</v>
      </c>
      <c r="M526" s="53" t="str">
        <f t="shared" si="60"/>
        <v>Força.Motriz</v>
      </c>
      <c r="N526" s="53" t="str">
        <f t="shared" si="58"/>
        <v>Bombas</v>
      </c>
      <c r="O526" s="53" t="str">
        <f t="shared" si="58"/>
        <v>Bomba de Sucção</v>
      </c>
      <c r="P526" s="54" t="s">
        <v>2810</v>
      </c>
      <c r="Q526" s="54" t="s">
        <v>2811</v>
      </c>
      <c r="R526" s="54" t="s">
        <v>6511</v>
      </c>
      <c r="S526" s="54" t="s">
        <v>692</v>
      </c>
      <c r="T526" s="55" t="str">
        <f t="shared" si="57"/>
        <v>Equipamentos</v>
      </c>
      <c r="U526" s="55" t="str">
        <f t="shared" si="57"/>
        <v>Força Motriz</v>
      </c>
      <c r="V526" s="55" t="str">
        <f t="shared" si="57"/>
        <v>Bombas</v>
      </c>
      <c r="W526" s="54" t="s">
        <v>7259</v>
      </c>
      <c r="X526" s="84" t="str">
        <f t="shared" si="59"/>
        <v>Key-COD-CT-526</v>
      </c>
      <c r="Y526" s="84" t="s">
        <v>5996</v>
      </c>
      <c r="Z526" s="84" t="s">
        <v>692</v>
      </c>
      <c r="AA526" s="84" t="s">
        <v>5810</v>
      </c>
      <c r="AB526" s="84" t="s">
        <v>692</v>
      </c>
      <c r="AC526" s="84" t="s">
        <v>692</v>
      </c>
      <c r="AD526" s="54" t="s">
        <v>692</v>
      </c>
    </row>
    <row r="527" spans="1:30" ht="6.75" customHeight="1" x14ac:dyDescent="0.25">
      <c r="A527" s="85">
        <v>527</v>
      </c>
      <c r="B527" s="59" t="s">
        <v>5419</v>
      </c>
      <c r="C527" s="60" t="s">
        <v>791</v>
      </c>
      <c r="D527" s="59" t="s">
        <v>2759</v>
      </c>
      <c r="E527" s="59" t="s">
        <v>2802</v>
      </c>
      <c r="F527" s="61" t="s">
        <v>2812</v>
      </c>
      <c r="G527" s="81" t="s">
        <v>692</v>
      </c>
      <c r="H527" s="81" t="s">
        <v>692</v>
      </c>
      <c r="I527" s="81" t="s">
        <v>692</v>
      </c>
      <c r="J527" s="81" t="s">
        <v>692</v>
      </c>
      <c r="K527" s="81" t="s">
        <v>692</v>
      </c>
      <c r="L527" s="53" t="str">
        <f t="shared" si="60"/>
        <v>Equipamentos</v>
      </c>
      <c r="M527" s="53" t="str">
        <f t="shared" si="60"/>
        <v>Força.Motriz</v>
      </c>
      <c r="N527" s="53" t="str">
        <f t="shared" si="58"/>
        <v>Bombas</v>
      </c>
      <c r="O527" s="53" t="str">
        <f t="shared" si="58"/>
        <v>Bomba Bipartida</v>
      </c>
      <c r="P527" s="54" t="s">
        <v>2813</v>
      </c>
      <c r="Q527" s="54" t="s">
        <v>2814</v>
      </c>
      <c r="R527" s="54" t="s">
        <v>6512</v>
      </c>
      <c r="S527" s="54" t="s">
        <v>692</v>
      </c>
      <c r="T527" s="55" t="str">
        <f t="shared" si="57"/>
        <v>Equipamentos</v>
      </c>
      <c r="U527" s="55" t="str">
        <f t="shared" si="57"/>
        <v>Força Motriz</v>
      </c>
      <c r="V527" s="55" t="str">
        <f t="shared" si="57"/>
        <v>Bombas</v>
      </c>
      <c r="W527" s="54" t="s">
        <v>7259</v>
      </c>
      <c r="X527" s="84" t="str">
        <f t="shared" si="59"/>
        <v>Key-COD-CT-527</v>
      </c>
      <c r="Y527" s="84" t="s">
        <v>5996</v>
      </c>
      <c r="Z527" s="84" t="s">
        <v>692</v>
      </c>
      <c r="AA527" s="84" t="s">
        <v>5811</v>
      </c>
      <c r="AB527" s="84" t="s">
        <v>692</v>
      </c>
      <c r="AC527" s="84" t="s">
        <v>692</v>
      </c>
      <c r="AD527" s="54" t="s">
        <v>692</v>
      </c>
    </row>
    <row r="528" spans="1:30" ht="6.75" customHeight="1" x14ac:dyDescent="0.25">
      <c r="A528" s="85">
        <v>528</v>
      </c>
      <c r="B528" s="59" t="s">
        <v>5419</v>
      </c>
      <c r="C528" s="60" t="s">
        <v>791</v>
      </c>
      <c r="D528" s="59" t="s">
        <v>2759</v>
      </c>
      <c r="E528" s="59" t="s">
        <v>2802</v>
      </c>
      <c r="F528" s="61" t="s">
        <v>2815</v>
      </c>
      <c r="G528" s="81" t="s">
        <v>692</v>
      </c>
      <c r="H528" s="81" t="s">
        <v>692</v>
      </c>
      <c r="I528" s="81" t="s">
        <v>692</v>
      </c>
      <c r="J528" s="81" t="s">
        <v>692</v>
      </c>
      <c r="K528" s="81" t="s">
        <v>692</v>
      </c>
      <c r="L528" s="53" t="str">
        <f t="shared" si="60"/>
        <v>Equipamentos</v>
      </c>
      <c r="M528" s="53" t="str">
        <f t="shared" si="60"/>
        <v>Força.Motriz</v>
      </c>
      <c r="N528" s="53" t="str">
        <f t="shared" si="58"/>
        <v>Bombas</v>
      </c>
      <c r="O528" s="53" t="str">
        <f t="shared" si="58"/>
        <v>Bomba Submersível</v>
      </c>
      <c r="P528" s="54" t="s">
        <v>2816</v>
      </c>
      <c r="Q528" s="54" t="s">
        <v>2817</v>
      </c>
      <c r="R528" s="54" t="s">
        <v>6513</v>
      </c>
      <c r="S528" s="54" t="s">
        <v>692</v>
      </c>
      <c r="T528" s="55" t="str">
        <f t="shared" si="57"/>
        <v>Equipamentos</v>
      </c>
      <c r="U528" s="55" t="str">
        <f t="shared" si="57"/>
        <v>Força Motriz</v>
      </c>
      <c r="V528" s="55" t="str">
        <f t="shared" si="57"/>
        <v>Bombas</v>
      </c>
      <c r="W528" s="54" t="s">
        <v>7259</v>
      </c>
      <c r="X528" s="84" t="str">
        <f t="shared" si="59"/>
        <v>Key-COD-CT-528</v>
      </c>
      <c r="Y528" s="84" t="s">
        <v>5996</v>
      </c>
      <c r="Z528" s="84" t="s">
        <v>692</v>
      </c>
      <c r="AA528" s="84" t="s">
        <v>5812</v>
      </c>
      <c r="AB528" s="84" t="s">
        <v>692</v>
      </c>
      <c r="AC528" s="84" t="s">
        <v>692</v>
      </c>
      <c r="AD528" s="54" t="s">
        <v>692</v>
      </c>
    </row>
    <row r="529" spans="1:30" ht="6.75" customHeight="1" x14ac:dyDescent="0.25">
      <c r="A529" s="85">
        <v>529</v>
      </c>
      <c r="B529" s="59" t="s">
        <v>5419</v>
      </c>
      <c r="C529" s="60" t="s">
        <v>791</v>
      </c>
      <c r="D529" s="59" t="s">
        <v>2759</v>
      </c>
      <c r="E529" s="59" t="s">
        <v>2802</v>
      </c>
      <c r="F529" s="61" t="s">
        <v>2818</v>
      </c>
      <c r="G529" s="81" t="s">
        <v>692</v>
      </c>
      <c r="H529" s="81" t="s">
        <v>692</v>
      </c>
      <c r="I529" s="81" t="s">
        <v>692</v>
      </c>
      <c r="J529" s="81" t="s">
        <v>692</v>
      </c>
      <c r="K529" s="81" t="s">
        <v>692</v>
      </c>
      <c r="L529" s="53" t="str">
        <f t="shared" si="60"/>
        <v>Equipamentos</v>
      </c>
      <c r="M529" s="53" t="str">
        <f t="shared" si="60"/>
        <v>Força.Motriz</v>
      </c>
      <c r="N529" s="53" t="str">
        <f t="shared" si="58"/>
        <v>Bombas</v>
      </c>
      <c r="O529" s="53" t="str">
        <f t="shared" si="58"/>
        <v>Bomba de Poço</v>
      </c>
      <c r="P529" s="54" t="s">
        <v>2819</v>
      </c>
      <c r="Q529" s="54" t="s">
        <v>2820</v>
      </c>
      <c r="R529" s="54" t="s">
        <v>6514</v>
      </c>
      <c r="S529" s="54" t="s">
        <v>692</v>
      </c>
      <c r="T529" s="55" t="str">
        <f t="shared" si="57"/>
        <v>Equipamentos</v>
      </c>
      <c r="U529" s="55" t="str">
        <f t="shared" si="57"/>
        <v>Força Motriz</v>
      </c>
      <c r="V529" s="55" t="str">
        <f t="shared" si="57"/>
        <v>Bombas</v>
      </c>
      <c r="W529" s="54" t="s">
        <v>7259</v>
      </c>
      <c r="X529" s="84" t="str">
        <f t="shared" si="59"/>
        <v>Key-COD-CT-529</v>
      </c>
      <c r="Y529" s="84" t="s">
        <v>5996</v>
      </c>
      <c r="Z529" s="84" t="s">
        <v>692</v>
      </c>
      <c r="AA529" s="84" t="s">
        <v>5813</v>
      </c>
      <c r="AB529" s="84" t="s">
        <v>692</v>
      </c>
      <c r="AC529" s="84" t="s">
        <v>692</v>
      </c>
      <c r="AD529" s="54" t="s">
        <v>692</v>
      </c>
    </row>
    <row r="530" spans="1:30" ht="6.75" customHeight="1" x14ac:dyDescent="0.25">
      <c r="A530" s="85">
        <v>530</v>
      </c>
      <c r="B530" s="59" t="s">
        <v>5419</v>
      </c>
      <c r="C530" s="60" t="s">
        <v>791</v>
      </c>
      <c r="D530" s="59" t="s">
        <v>2759</v>
      </c>
      <c r="E530" s="59" t="s">
        <v>2802</v>
      </c>
      <c r="F530" s="61" t="s">
        <v>2821</v>
      </c>
      <c r="G530" s="81" t="s">
        <v>692</v>
      </c>
      <c r="H530" s="81" t="s">
        <v>692</v>
      </c>
      <c r="I530" s="81" t="s">
        <v>692</v>
      </c>
      <c r="J530" s="81" t="s">
        <v>692</v>
      </c>
      <c r="K530" s="81" t="s">
        <v>692</v>
      </c>
      <c r="L530" s="53" t="str">
        <f t="shared" si="60"/>
        <v>Equipamentos</v>
      </c>
      <c r="M530" s="53" t="str">
        <f t="shared" si="60"/>
        <v>Força.Motriz</v>
      </c>
      <c r="N530" s="53" t="str">
        <f t="shared" si="58"/>
        <v>Bombas</v>
      </c>
      <c r="O530" s="53" t="str">
        <f t="shared" si="58"/>
        <v>Bomba Vertical em Linha</v>
      </c>
      <c r="P530" s="54" t="s">
        <v>2822</v>
      </c>
      <c r="Q530" s="54" t="s">
        <v>2823</v>
      </c>
      <c r="R530" s="54" t="s">
        <v>6515</v>
      </c>
      <c r="S530" s="54" t="s">
        <v>692</v>
      </c>
      <c r="T530" s="55" t="str">
        <f t="shared" si="57"/>
        <v>Equipamentos</v>
      </c>
      <c r="U530" s="55" t="str">
        <f t="shared" si="57"/>
        <v>Força Motriz</v>
      </c>
      <c r="V530" s="55" t="str">
        <f t="shared" si="57"/>
        <v>Bombas</v>
      </c>
      <c r="W530" s="54" t="s">
        <v>7259</v>
      </c>
      <c r="X530" s="84" t="str">
        <f t="shared" si="59"/>
        <v>Key-COD-CT-530</v>
      </c>
      <c r="Y530" s="84" t="s">
        <v>5996</v>
      </c>
      <c r="Z530" s="84" t="s">
        <v>692</v>
      </c>
      <c r="AA530" s="84" t="s">
        <v>5814</v>
      </c>
      <c r="AB530" s="84" t="s">
        <v>692</v>
      </c>
      <c r="AC530" s="84" t="s">
        <v>692</v>
      </c>
      <c r="AD530" s="54" t="s">
        <v>692</v>
      </c>
    </row>
    <row r="531" spans="1:30" ht="6.75" customHeight="1" x14ac:dyDescent="0.25">
      <c r="A531" s="85">
        <v>531</v>
      </c>
      <c r="B531" s="59" t="s">
        <v>5419</v>
      </c>
      <c r="C531" s="60" t="s">
        <v>791</v>
      </c>
      <c r="D531" s="59" t="s">
        <v>2759</v>
      </c>
      <c r="E531" s="59" t="s">
        <v>2802</v>
      </c>
      <c r="F531" s="61" t="s">
        <v>2824</v>
      </c>
      <c r="G531" s="81" t="s">
        <v>692</v>
      </c>
      <c r="H531" s="81" t="s">
        <v>692</v>
      </c>
      <c r="I531" s="81" t="s">
        <v>692</v>
      </c>
      <c r="J531" s="81" t="s">
        <v>692</v>
      </c>
      <c r="K531" s="81" t="s">
        <v>692</v>
      </c>
      <c r="L531" s="53" t="str">
        <f t="shared" si="60"/>
        <v>Equipamentos</v>
      </c>
      <c r="M531" s="53" t="str">
        <f t="shared" si="60"/>
        <v>Força.Motriz</v>
      </c>
      <c r="N531" s="53" t="str">
        <f t="shared" si="58"/>
        <v>Bombas</v>
      </c>
      <c r="O531" s="53" t="str">
        <f t="shared" si="58"/>
        <v>Bomba de Turbina Vertical</v>
      </c>
      <c r="P531" s="54" t="s">
        <v>2825</v>
      </c>
      <c r="Q531" s="54" t="s">
        <v>2826</v>
      </c>
      <c r="R531" s="54" t="s">
        <v>6516</v>
      </c>
      <c r="S531" s="54" t="s">
        <v>692</v>
      </c>
      <c r="T531" s="55" t="str">
        <f t="shared" si="57"/>
        <v>Equipamentos</v>
      </c>
      <c r="U531" s="55" t="str">
        <f t="shared" si="57"/>
        <v>Força Motriz</v>
      </c>
      <c r="V531" s="55" t="str">
        <f t="shared" si="57"/>
        <v>Bombas</v>
      </c>
      <c r="W531" s="54" t="s">
        <v>7259</v>
      </c>
      <c r="X531" s="84" t="str">
        <f t="shared" si="59"/>
        <v>Key-COD-CT-531</v>
      </c>
      <c r="Y531" s="84" t="s">
        <v>5996</v>
      </c>
      <c r="Z531" s="84" t="s">
        <v>692</v>
      </c>
      <c r="AA531" s="84" t="s">
        <v>5815</v>
      </c>
      <c r="AB531" s="84" t="s">
        <v>692</v>
      </c>
      <c r="AC531" s="84" t="s">
        <v>692</v>
      </c>
      <c r="AD531" s="54" t="s">
        <v>692</v>
      </c>
    </row>
    <row r="532" spans="1:30" ht="6.75" customHeight="1" x14ac:dyDescent="0.25">
      <c r="A532" s="85">
        <v>532</v>
      </c>
      <c r="B532" s="59" t="s">
        <v>5419</v>
      </c>
      <c r="C532" s="59" t="s">
        <v>982</v>
      </c>
      <c r="D532" s="59" t="s">
        <v>2827</v>
      </c>
      <c r="E532" s="59" t="s">
        <v>2828</v>
      </c>
      <c r="F532" s="61" t="s">
        <v>2829</v>
      </c>
      <c r="G532" s="81" t="s">
        <v>692</v>
      </c>
      <c r="H532" s="81" t="s">
        <v>692</v>
      </c>
      <c r="I532" s="81" t="s">
        <v>692</v>
      </c>
      <c r="J532" s="81" t="s">
        <v>692</v>
      </c>
      <c r="K532" s="81" t="s">
        <v>692</v>
      </c>
      <c r="L532" s="53" t="str">
        <f t="shared" si="60"/>
        <v>Mobiliários</v>
      </c>
      <c r="M532" s="53" t="str">
        <f t="shared" si="60"/>
        <v>Mobílias</v>
      </c>
      <c r="N532" s="53" t="str">
        <f t="shared" si="58"/>
        <v>Mob Composta</v>
      </c>
      <c r="O532" s="53" t="str">
        <f t="shared" si="58"/>
        <v>Móvel Sistema</v>
      </c>
      <c r="P532" s="54" t="s">
        <v>2830</v>
      </c>
      <c r="Q532" s="54" t="s">
        <v>2831</v>
      </c>
      <c r="R532" s="54" t="s">
        <v>6517</v>
      </c>
      <c r="S532" s="54" t="s">
        <v>692</v>
      </c>
      <c r="T532" s="55" t="str">
        <f t="shared" si="57"/>
        <v>Mobiliários</v>
      </c>
      <c r="U532" s="55" t="str">
        <f t="shared" si="57"/>
        <v>Mobílias</v>
      </c>
      <c r="V532" s="55" t="str">
        <f t="shared" si="57"/>
        <v>Mob Composta</v>
      </c>
      <c r="W532" s="54" t="s">
        <v>7259</v>
      </c>
      <c r="X532" s="84" t="str">
        <f t="shared" si="59"/>
        <v>Key-COD-CT-532</v>
      </c>
      <c r="Y532" s="84" t="s">
        <v>5564</v>
      </c>
      <c r="Z532" s="84" t="s">
        <v>692</v>
      </c>
      <c r="AA532" s="84" t="s">
        <v>5816</v>
      </c>
      <c r="AB532" s="84" t="s">
        <v>692</v>
      </c>
      <c r="AC532" s="84" t="s">
        <v>692</v>
      </c>
      <c r="AD532" s="54" t="s">
        <v>692</v>
      </c>
    </row>
    <row r="533" spans="1:30" ht="6.75" customHeight="1" x14ac:dyDescent="0.25">
      <c r="A533" s="85">
        <v>533</v>
      </c>
      <c r="B533" s="59" t="s">
        <v>5419</v>
      </c>
      <c r="C533" s="59" t="s">
        <v>982</v>
      </c>
      <c r="D533" s="59" t="s">
        <v>2827</v>
      </c>
      <c r="E533" s="59" t="s">
        <v>2828</v>
      </c>
      <c r="F533" s="61" t="s">
        <v>2832</v>
      </c>
      <c r="G533" s="81" t="s">
        <v>692</v>
      </c>
      <c r="H533" s="81" t="s">
        <v>692</v>
      </c>
      <c r="I533" s="81" t="s">
        <v>692</v>
      </c>
      <c r="J533" s="81" t="s">
        <v>692</v>
      </c>
      <c r="K533" s="81" t="s">
        <v>692</v>
      </c>
      <c r="L533" s="53" t="str">
        <f t="shared" si="60"/>
        <v>Mobiliários</v>
      </c>
      <c r="M533" s="53" t="str">
        <f t="shared" si="60"/>
        <v>Mobílias</v>
      </c>
      <c r="N533" s="53" t="str">
        <f t="shared" si="58"/>
        <v>Mob Composta</v>
      </c>
      <c r="O533" s="53" t="str">
        <f t="shared" si="58"/>
        <v>Móvel Sistema Elemento</v>
      </c>
      <c r="P533" s="54" t="s">
        <v>2833</v>
      </c>
      <c r="Q533" s="54" t="s">
        <v>2834</v>
      </c>
      <c r="R533" s="54" t="e" vm="1">
        <v>#VALUE!</v>
      </c>
      <c r="S533" s="54" t="s">
        <v>692</v>
      </c>
      <c r="T533" s="55" t="str">
        <f t="shared" si="57"/>
        <v>Mobiliários</v>
      </c>
      <c r="U533" s="55" t="str">
        <f t="shared" si="57"/>
        <v>Mobílias</v>
      </c>
      <c r="V533" s="55" t="str">
        <f t="shared" si="57"/>
        <v>Mob Composta</v>
      </c>
      <c r="W533" s="54" t="s">
        <v>7259</v>
      </c>
      <c r="X533" s="84" t="str">
        <f t="shared" si="59"/>
        <v>Key-COD-CT-533</v>
      </c>
      <c r="Y533" s="84" t="s">
        <v>5564</v>
      </c>
      <c r="Z533" s="84" t="s">
        <v>692</v>
      </c>
      <c r="AA533" s="84" t="s">
        <v>5816</v>
      </c>
      <c r="AB533" s="84" t="s">
        <v>692</v>
      </c>
      <c r="AC533" s="84" t="s">
        <v>692</v>
      </c>
      <c r="AD533" s="54" t="s">
        <v>692</v>
      </c>
    </row>
    <row r="534" spans="1:30" ht="6.75" customHeight="1" x14ac:dyDescent="0.25">
      <c r="A534" s="85">
        <v>534</v>
      </c>
      <c r="B534" s="59" t="s">
        <v>5419</v>
      </c>
      <c r="C534" s="59" t="s">
        <v>982</v>
      </c>
      <c r="D534" s="59" t="s">
        <v>2827</v>
      </c>
      <c r="E534" s="59" t="s">
        <v>2828</v>
      </c>
      <c r="F534" s="61" t="s">
        <v>2835</v>
      </c>
      <c r="G534" s="81" t="s">
        <v>692</v>
      </c>
      <c r="H534" s="81" t="s">
        <v>692</v>
      </c>
      <c r="I534" s="81" t="s">
        <v>692</v>
      </c>
      <c r="J534" s="81" t="s">
        <v>692</v>
      </c>
      <c r="K534" s="81" t="s">
        <v>692</v>
      </c>
      <c r="L534" s="53" t="str">
        <f t="shared" si="60"/>
        <v>Mobiliários</v>
      </c>
      <c r="M534" s="53" t="str">
        <f t="shared" si="60"/>
        <v>Mobílias</v>
      </c>
      <c r="N534" s="53" t="str">
        <f t="shared" si="58"/>
        <v>Mob Composta</v>
      </c>
      <c r="O534" s="53" t="str">
        <f t="shared" si="58"/>
        <v>Móvel Sistema Painel</v>
      </c>
      <c r="P534" s="54" t="s">
        <v>2836</v>
      </c>
      <c r="Q534" s="54" t="s">
        <v>2837</v>
      </c>
      <c r="R534" s="54" t="s">
        <v>6518</v>
      </c>
      <c r="S534" s="54" t="s">
        <v>692</v>
      </c>
      <c r="T534" s="55" t="str">
        <f t="shared" si="57"/>
        <v>Mobiliários</v>
      </c>
      <c r="U534" s="55" t="str">
        <f t="shared" si="57"/>
        <v>Mobílias</v>
      </c>
      <c r="V534" s="55" t="str">
        <f t="shared" si="57"/>
        <v>Mob Composta</v>
      </c>
      <c r="W534" s="54" t="s">
        <v>7259</v>
      </c>
      <c r="X534" s="84" t="str">
        <f t="shared" si="59"/>
        <v>Key-COD-CT-534</v>
      </c>
      <c r="Y534" s="84" t="s">
        <v>5564</v>
      </c>
      <c r="Z534" s="84" t="s">
        <v>692</v>
      </c>
      <c r="AA534" s="84" t="s">
        <v>5817</v>
      </c>
      <c r="AB534" s="84" t="s">
        <v>692</v>
      </c>
      <c r="AC534" s="84" t="s">
        <v>692</v>
      </c>
      <c r="AD534" s="54" t="s">
        <v>692</v>
      </c>
    </row>
    <row r="535" spans="1:30" ht="6.75" customHeight="1" x14ac:dyDescent="0.25">
      <c r="A535" s="85">
        <v>535</v>
      </c>
      <c r="B535" s="59" t="s">
        <v>5419</v>
      </c>
      <c r="C535" s="59" t="s">
        <v>982</v>
      </c>
      <c r="D535" s="59" t="s">
        <v>2827</v>
      </c>
      <c r="E535" s="59" t="s">
        <v>2828</v>
      </c>
      <c r="F535" s="61" t="s">
        <v>2838</v>
      </c>
      <c r="G535" s="81" t="s">
        <v>692</v>
      </c>
      <c r="H535" s="81" t="s">
        <v>692</v>
      </c>
      <c r="I535" s="81" t="s">
        <v>692</v>
      </c>
      <c r="J535" s="81" t="s">
        <v>692</v>
      </c>
      <c r="K535" s="81" t="s">
        <v>692</v>
      </c>
      <c r="L535" s="53" t="str">
        <f t="shared" si="60"/>
        <v>Mobiliários</v>
      </c>
      <c r="M535" s="53" t="str">
        <f t="shared" si="60"/>
        <v>Mobílias</v>
      </c>
      <c r="N535" s="53" t="str">
        <f t="shared" si="58"/>
        <v>Mob Composta</v>
      </c>
      <c r="O535" s="53" t="str">
        <f t="shared" si="58"/>
        <v>Móvel Sistema Modulo</v>
      </c>
      <c r="P535" s="54" t="s">
        <v>2839</v>
      </c>
      <c r="Q535" s="54" t="s">
        <v>2840</v>
      </c>
      <c r="R535" s="54" t="s">
        <v>6519</v>
      </c>
      <c r="S535" s="54" t="s">
        <v>692</v>
      </c>
      <c r="T535" s="55" t="str">
        <f t="shared" si="57"/>
        <v>Mobiliários</v>
      </c>
      <c r="U535" s="55" t="str">
        <f t="shared" si="57"/>
        <v>Mobílias</v>
      </c>
      <c r="V535" s="55" t="str">
        <f t="shared" si="57"/>
        <v>Mob Composta</v>
      </c>
      <c r="W535" s="54" t="s">
        <v>7259</v>
      </c>
      <c r="X535" s="84" t="str">
        <f t="shared" si="59"/>
        <v>Key-COD-CT-535</v>
      </c>
      <c r="Y535" s="84" t="s">
        <v>5564</v>
      </c>
      <c r="Z535" s="84" t="s">
        <v>692</v>
      </c>
      <c r="AA535" s="84" t="s">
        <v>5818</v>
      </c>
      <c r="AB535" s="84" t="s">
        <v>692</v>
      </c>
      <c r="AC535" s="84" t="s">
        <v>692</v>
      </c>
      <c r="AD535" s="54" t="s">
        <v>692</v>
      </c>
    </row>
    <row r="536" spans="1:30" ht="6.75" customHeight="1" x14ac:dyDescent="0.25">
      <c r="A536" s="85">
        <v>536</v>
      </c>
      <c r="B536" s="59" t="s">
        <v>5419</v>
      </c>
      <c r="C536" s="59" t="s">
        <v>982</v>
      </c>
      <c r="D536" s="59" t="s">
        <v>2827</v>
      </c>
      <c r="E536" s="59" t="s">
        <v>2828</v>
      </c>
      <c r="F536" s="61" t="s">
        <v>2841</v>
      </c>
      <c r="G536" s="81" t="s">
        <v>692</v>
      </c>
      <c r="H536" s="81" t="s">
        <v>692</v>
      </c>
      <c r="I536" s="81" t="s">
        <v>692</v>
      </c>
      <c r="J536" s="81" t="s">
        <v>692</v>
      </c>
      <c r="K536" s="81" t="s">
        <v>692</v>
      </c>
      <c r="L536" s="53" t="str">
        <f t="shared" si="60"/>
        <v>Mobiliários</v>
      </c>
      <c r="M536" s="53" t="str">
        <f t="shared" si="60"/>
        <v>Mobílias</v>
      </c>
      <c r="N536" s="53" t="str">
        <f t="shared" si="58"/>
        <v>Mob Composta</v>
      </c>
      <c r="O536" s="53" t="str">
        <f t="shared" si="58"/>
        <v>Móvel Sistema Tampo</v>
      </c>
      <c r="P536" s="54" t="s">
        <v>2842</v>
      </c>
      <c r="Q536" s="54" t="s">
        <v>2843</v>
      </c>
      <c r="R536" s="54" t="s">
        <v>6520</v>
      </c>
      <c r="S536" s="54" t="s">
        <v>692</v>
      </c>
      <c r="T536" s="55" t="str">
        <f t="shared" si="57"/>
        <v>Mobiliários</v>
      </c>
      <c r="U536" s="55" t="str">
        <f t="shared" si="57"/>
        <v>Mobílias</v>
      </c>
      <c r="V536" s="55" t="str">
        <f t="shared" si="57"/>
        <v>Mob Composta</v>
      </c>
      <c r="W536" s="54" t="s">
        <v>7259</v>
      </c>
      <c r="X536" s="84" t="str">
        <f t="shared" si="59"/>
        <v>Key-COD-CT-536</v>
      </c>
      <c r="Y536" s="84" t="s">
        <v>5564</v>
      </c>
      <c r="Z536" s="84" t="s">
        <v>692</v>
      </c>
      <c r="AA536" s="84" t="s">
        <v>5819</v>
      </c>
      <c r="AB536" s="84" t="s">
        <v>692</v>
      </c>
      <c r="AC536" s="84" t="s">
        <v>692</v>
      </c>
      <c r="AD536" s="54" t="s">
        <v>692</v>
      </c>
    </row>
    <row r="537" spans="1:30" ht="6.75" customHeight="1" x14ac:dyDescent="0.25">
      <c r="A537" s="85">
        <v>537</v>
      </c>
      <c r="B537" s="59" t="s">
        <v>5419</v>
      </c>
      <c r="C537" s="59" t="s">
        <v>982</v>
      </c>
      <c r="D537" s="59" t="s">
        <v>2827</v>
      </c>
      <c r="E537" s="59" t="s">
        <v>2844</v>
      </c>
      <c r="F537" s="61" t="s">
        <v>453</v>
      </c>
      <c r="G537" s="81" t="s">
        <v>692</v>
      </c>
      <c r="H537" s="81" t="s">
        <v>2472</v>
      </c>
      <c r="I537" s="81" t="s">
        <v>692</v>
      </c>
      <c r="J537" s="81" t="s">
        <v>2845</v>
      </c>
      <c r="K537" s="81" t="s">
        <v>692</v>
      </c>
      <c r="L537" s="53" t="str">
        <f t="shared" si="60"/>
        <v>Mobiliários</v>
      </c>
      <c r="M537" s="53" t="str">
        <f t="shared" si="60"/>
        <v>Mobílias</v>
      </c>
      <c r="N537" s="53" t="str">
        <f t="shared" si="58"/>
        <v>Mob Residenciais</v>
      </c>
      <c r="O537" s="53" t="str">
        <f t="shared" si="58"/>
        <v>Móvel</v>
      </c>
      <c r="P537" s="54" t="s">
        <v>2830</v>
      </c>
      <c r="Q537" s="54" t="s">
        <v>2846</v>
      </c>
      <c r="R537" s="54" t="s">
        <v>6517</v>
      </c>
      <c r="S537" s="54" t="s">
        <v>692</v>
      </c>
      <c r="T537" s="55" t="str">
        <f t="shared" si="57"/>
        <v>Mobiliários</v>
      </c>
      <c r="U537" s="55" t="str">
        <f t="shared" si="57"/>
        <v>Mobílias</v>
      </c>
      <c r="V537" s="55" t="str">
        <f t="shared" si="57"/>
        <v>Mob Residenciais</v>
      </c>
      <c r="W537" s="54" t="s">
        <v>7259</v>
      </c>
      <c r="X537" s="84" t="str">
        <f t="shared" si="59"/>
        <v>Key-COD-CT-537</v>
      </c>
      <c r="Y537" s="84" t="s">
        <v>5565</v>
      </c>
      <c r="Z537" s="84" t="s">
        <v>692</v>
      </c>
      <c r="AA537" s="84" t="s">
        <v>5820</v>
      </c>
      <c r="AB537" s="84" t="s">
        <v>692</v>
      </c>
      <c r="AC537" s="84" t="s">
        <v>692</v>
      </c>
      <c r="AD537" s="54" t="s">
        <v>692</v>
      </c>
    </row>
    <row r="538" spans="1:30" ht="6.75" customHeight="1" x14ac:dyDescent="0.25">
      <c r="A538" s="85">
        <v>538</v>
      </c>
      <c r="B538" s="59" t="s">
        <v>5419</v>
      </c>
      <c r="C538" s="59" t="s">
        <v>982</v>
      </c>
      <c r="D538" s="59" t="s">
        <v>2827</v>
      </c>
      <c r="E538" s="59" t="s">
        <v>2844</v>
      </c>
      <c r="F538" s="61" t="s">
        <v>2847</v>
      </c>
      <c r="G538" s="81" t="s">
        <v>692</v>
      </c>
      <c r="H538" s="81" t="s">
        <v>692</v>
      </c>
      <c r="I538" s="81" t="s">
        <v>692</v>
      </c>
      <c r="J538" s="81" t="s">
        <v>692</v>
      </c>
      <c r="K538" s="81" t="s">
        <v>692</v>
      </c>
      <c r="L538" s="53" t="str">
        <f t="shared" si="60"/>
        <v>Mobiliários</v>
      </c>
      <c r="M538" s="53" t="str">
        <f t="shared" si="60"/>
        <v>Mobílias</v>
      </c>
      <c r="N538" s="53" t="str">
        <f t="shared" si="58"/>
        <v>Mob Residenciais</v>
      </c>
      <c r="O538" s="53" t="str">
        <f t="shared" si="58"/>
        <v>Cama Solteirx</v>
      </c>
      <c r="P538" s="54" t="s">
        <v>2848</v>
      </c>
      <c r="Q538" s="54" t="s">
        <v>2849</v>
      </c>
      <c r="R538" s="54" t="s">
        <v>6521</v>
      </c>
      <c r="S538" s="54" t="s">
        <v>692</v>
      </c>
      <c r="T538" s="55" t="str">
        <f t="shared" si="57"/>
        <v>Mobiliários</v>
      </c>
      <c r="U538" s="55" t="str">
        <f t="shared" si="57"/>
        <v>Mobílias</v>
      </c>
      <c r="V538" s="55" t="str">
        <f t="shared" si="57"/>
        <v>Mob Residenciais</v>
      </c>
      <c r="W538" s="54" t="s">
        <v>7259</v>
      </c>
      <c r="X538" s="84" t="str">
        <f t="shared" si="59"/>
        <v>Key-COD-CT-538</v>
      </c>
      <c r="Y538" s="84" t="s">
        <v>5565</v>
      </c>
      <c r="Z538" s="84" t="s">
        <v>692</v>
      </c>
      <c r="AA538" s="84" t="s">
        <v>5821</v>
      </c>
      <c r="AB538" s="84" t="s">
        <v>692</v>
      </c>
      <c r="AC538" s="84" t="s">
        <v>692</v>
      </c>
      <c r="AD538" s="54" t="s">
        <v>692</v>
      </c>
    </row>
    <row r="539" spans="1:30" ht="6.75" customHeight="1" x14ac:dyDescent="0.25">
      <c r="A539" s="85">
        <v>539</v>
      </c>
      <c r="B539" s="59" t="s">
        <v>5419</v>
      </c>
      <c r="C539" s="59" t="s">
        <v>982</v>
      </c>
      <c r="D539" s="59" t="s">
        <v>2827</v>
      </c>
      <c r="E539" s="59" t="s">
        <v>2844</v>
      </c>
      <c r="F539" s="61" t="s">
        <v>2850</v>
      </c>
      <c r="G539" s="81" t="s">
        <v>692</v>
      </c>
      <c r="H539" s="81" t="s">
        <v>692</v>
      </c>
      <c r="I539" s="81" t="s">
        <v>692</v>
      </c>
      <c r="J539" s="81" t="s">
        <v>692</v>
      </c>
      <c r="K539" s="81" t="s">
        <v>692</v>
      </c>
      <c r="L539" s="53" t="str">
        <f t="shared" si="60"/>
        <v>Mobiliários</v>
      </c>
      <c r="M539" s="53" t="str">
        <f t="shared" si="60"/>
        <v>Mobílias</v>
      </c>
      <c r="N539" s="53" t="str">
        <f t="shared" si="58"/>
        <v>Mob Residenciais</v>
      </c>
      <c r="O539" s="53" t="str">
        <f t="shared" si="58"/>
        <v>Cama Viuvx</v>
      </c>
      <c r="P539" s="54" t="s">
        <v>2851</v>
      </c>
      <c r="Q539" s="54" t="s">
        <v>2852</v>
      </c>
      <c r="R539" s="54" t="s">
        <v>6522</v>
      </c>
      <c r="S539" s="54" t="s">
        <v>692</v>
      </c>
      <c r="T539" s="55" t="str">
        <f t="shared" si="57"/>
        <v>Mobiliários</v>
      </c>
      <c r="U539" s="55" t="str">
        <f t="shared" si="57"/>
        <v>Mobílias</v>
      </c>
      <c r="V539" s="55" t="str">
        <f t="shared" si="57"/>
        <v>Mob Residenciais</v>
      </c>
      <c r="W539" s="54" t="s">
        <v>7259</v>
      </c>
      <c r="X539" s="84" t="str">
        <f t="shared" si="59"/>
        <v>Key-COD-CT-539</v>
      </c>
      <c r="Y539" s="84" t="s">
        <v>5565</v>
      </c>
      <c r="Z539" s="84" t="s">
        <v>692</v>
      </c>
      <c r="AA539" s="84" t="s">
        <v>5821</v>
      </c>
      <c r="AB539" s="84" t="s">
        <v>692</v>
      </c>
      <c r="AC539" s="84" t="s">
        <v>692</v>
      </c>
      <c r="AD539" s="54" t="s">
        <v>692</v>
      </c>
    </row>
    <row r="540" spans="1:30" ht="6.75" customHeight="1" x14ac:dyDescent="0.25">
      <c r="A540" s="85">
        <v>540</v>
      </c>
      <c r="B540" s="59" t="s">
        <v>5419</v>
      </c>
      <c r="C540" s="59" t="s">
        <v>982</v>
      </c>
      <c r="D540" s="59" t="s">
        <v>2827</v>
      </c>
      <c r="E540" s="59" t="s">
        <v>2844</v>
      </c>
      <c r="F540" s="61" t="s">
        <v>2853</v>
      </c>
      <c r="G540" s="81" t="s">
        <v>692</v>
      </c>
      <c r="H540" s="81" t="s">
        <v>692</v>
      </c>
      <c r="I540" s="81" t="s">
        <v>692</v>
      </c>
      <c r="J540" s="81" t="s">
        <v>692</v>
      </c>
      <c r="K540" s="81" t="s">
        <v>692</v>
      </c>
      <c r="L540" s="53" t="str">
        <f t="shared" si="60"/>
        <v>Mobiliários</v>
      </c>
      <c r="M540" s="53" t="str">
        <f t="shared" si="60"/>
        <v>Mobílias</v>
      </c>
      <c r="N540" s="53" t="str">
        <f t="shared" si="58"/>
        <v>Mob Residenciais</v>
      </c>
      <c r="O540" s="53" t="str">
        <f t="shared" si="58"/>
        <v>Cama Casal</v>
      </c>
      <c r="P540" s="54" t="s">
        <v>2854</v>
      </c>
      <c r="Q540" s="54" t="s">
        <v>2855</v>
      </c>
      <c r="R540" s="54" t="s">
        <v>6523</v>
      </c>
      <c r="S540" s="54" t="s">
        <v>692</v>
      </c>
      <c r="T540" s="55" t="str">
        <f t="shared" si="57"/>
        <v>Mobiliários</v>
      </c>
      <c r="U540" s="55" t="str">
        <f t="shared" si="57"/>
        <v>Mobílias</v>
      </c>
      <c r="V540" s="55" t="str">
        <f t="shared" si="57"/>
        <v>Mob Residenciais</v>
      </c>
      <c r="W540" s="54" t="s">
        <v>7259</v>
      </c>
      <c r="X540" s="84" t="str">
        <f t="shared" si="59"/>
        <v>Key-COD-CT-540</v>
      </c>
      <c r="Y540" s="84" t="s">
        <v>5565</v>
      </c>
      <c r="Z540" s="84" t="s">
        <v>692</v>
      </c>
      <c r="AA540" s="84" t="s">
        <v>5821</v>
      </c>
      <c r="AB540" s="84" t="s">
        <v>692</v>
      </c>
      <c r="AC540" s="84" t="s">
        <v>692</v>
      </c>
      <c r="AD540" s="54" t="s">
        <v>692</v>
      </c>
    </row>
    <row r="541" spans="1:30" ht="6.75" customHeight="1" x14ac:dyDescent="0.25">
      <c r="A541" s="85">
        <v>541</v>
      </c>
      <c r="B541" s="59" t="s">
        <v>5419</v>
      </c>
      <c r="C541" s="59" t="s">
        <v>982</v>
      </c>
      <c r="D541" s="59" t="s">
        <v>2827</v>
      </c>
      <c r="E541" s="59" t="s">
        <v>2844</v>
      </c>
      <c r="F541" s="61" t="s">
        <v>2856</v>
      </c>
      <c r="G541" s="81" t="s">
        <v>692</v>
      </c>
      <c r="H541" s="81" t="s">
        <v>692</v>
      </c>
      <c r="I541" s="81" t="s">
        <v>692</v>
      </c>
      <c r="J541" s="81" t="s">
        <v>692</v>
      </c>
      <c r="K541" s="81" t="s">
        <v>692</v>
      </c>
      <c r="L541" s="53" t="str">
        <f t="shared" si="60"/>
        <v>Mobiliários</v>
      </c>
      <c r="M541" s="53" t="str">
        <f t="shared" si="60"/>
        <v>Mobílias</v>
      </c>
      <c r="N541" s="53" t="str">
        <f t="shared" si="58"/>
        <v>Mob Residenciais</v>
      </c>
      <c r="O541" s="53" t="str">
        <f t="shared" si="58"/>
        <v>Cama Queen</v>
      </c>
      <c r="P541" s="54" t="s">
        <v>2857</v>
      </c>
      <c r="Q541" s="54" t="s">
        <v>2858</v>
      </c>
      <c r="R541" s="54" t="s">
        <v>6524</v>
      </c>
      <c r="S541" s="54" t="s">
        <v>692</v>
      </c>
      <c r="T541" s="55" t="str">
        <f t="shared" si="57"/>
        <v>Mobiliários</v>
      </c>
      <c r="U541" s="55" t="str">
        <f t="shared" si="57"/>
        <v>Mobílias</v>
      </c>
      <c r="V541" s="55" t="str">
        <f t="shared" si="57"/>
        <v>Mob Residenciais</v>
      </c>
      <c r="W541" s="54" t="s">
        <v>7259</v>
      </c>
      <c r="X541" s="84" t="str">
        <f t="shared" si="59"/>
        <v>Key-COD-CT-541</v>
      </c>
      <c r="Y541" s="84" t="s">
        <v>5565</v>
      </c>
      <c r="Z541" s="84" t="s">
        <v>692</v>
      </c>
      <c r="AA541" s="84" t="s">
        <v>5821</v>
      </c>
      <c r="AB541" s="84" t="s">
        <v>692</v>
      </c>
      <c r="AC541" s="84" t="s">
        <v>692</v>
      </c>
      <c r="AD541" s="54" t="s">
        <v>692</v>
      </c>
    </row>
    <row r="542" spans="1:30" ht="6.75" customHeight="1" x14ac:dyDescent="0.25">
      <c r="A542" s="85">
        <v>542</v>
      </c>
      <c r="B542" s="59" t="s">
        <v>5419</v>
      </c>
      <c r="C542" s="59" t="s">
        <v>982</v>
      </c>
      <c r="D542" s="59" t="s">
        <v>2827</v>
      </c>
      <c r="E542" s="59" t="s">
        <v>2844</v>
      </c>
      <c r="F542" s="61" t="s">
        <v>2859</v>
      </c>
      <c r="G542" s="81" t="s">
        <v>692</v>
      </c>
      <c r="H542" s="81" t="s">
        <v>692</v>
      </c>
      <c r="I542" s="81" t="s">
        <v>692</v>
      </c>
      <c r="J542" s="81" t="s">
        <v>692</v>
      </c>
      <c r="K542" s="81" t="s">
        <v>692</v>
      </c>
      <c r="L542" s="53" t="str">
        <f t="shared" si="60"/>
        <v>Mobiliários</v>
      </c>
      <c r="M542" s="53" t="str">
        <f t="shared" si="60"/>
        <v>Mobílias</v>
      </c>
      <c r="N542" s="53" t="str">
        <f t="shared" si="58"/>
        <v>Mob Residenciais</v>
      </c>
      <c r="O542" s="53" t="str">
        <f t="shared" si="58"/>
        <v>Cama King</v>
      </c>
      <c r="P542" s="54" t="s">
        <v>2860</v>
      </c>
      <c r="Q542" s="54" t="s">
        <v>2861</v>
      </c>
      <c r="R542" s="54" t="e" vm="1">
        <v>#VALUE!</v>
      </c>
      <c r="S542" s="54" t="s">
        <v>692</v>
      </c>
      <c r="T542" s="55" t="str">
        <f t="shared" si="57"/>
        <v>Mobiliários</v>
      </c>
      <c r="U542" s="55" t="str">
        <f t="shared" si="57"/>
        <v>Mobílias</v>
      </c>
      <c r="V542" s="55" t="str">
        <f t="shared" si="57"/>
        <v>Mob Residenciais</v>
      </c>
      <c r="W542" s="54" t="s">
        <v>7259</v>
      </c>
      <c r="X542" s="84" t="str">
        <f t="shared" si="59"/>
        <v>Key-COD-CT-542</v>
      </c>
      <c r="Y542" s="84" t="s">
        <v>5565</v>
      </c>
      <c r="Z542" s="84" t="s">
        <v>692</v>
      </c>
      <c r="AA542" s="84" t="s">
        <v>5821</v>
      </c>
      <c r="AB542" s="84" t="s">
        <v>692</v>
      </c>
      <c r="AC542" s="84" t="s">
        <v>692</v>
      </c>
      <c r="AD542" s="54" t="s">
        <v>692</v>
      </c>
    </row>
    <row r="543" spans="1:30" ht="6.75" customHeight="1" x14ac:dyDescent="0.25">
      <c r="A543" s="85">
        <v>543</v>
      </c>
      <c r="B543" s="59" t="s">
        <v>5419</v>
      </c>
      <c r="C543" s="59" t="s">
        <v>982</v>
      </c>
      <c r="D543" s="59" t="s">
        <v>2827</v>
      </c>
      <c r="E543" s="59" t="s">
        <v>2844</v>
      </c>
      <c r="F543" s="61" t="s">
        <v>241</v>
      </c>
      <c r="G543" s="81" t="s">
        <v>692</v>
      </c>
      <c r="H543" s="81" t="s">
        <v>692</v>
      </c>
      <c r="I543" s="81" t="s">
        <v>692</v>
      </c>
      <c r="J543" s="81" t="s">
        <v>692</v>
      </c>
      <c r="K543" s="81" t="s">
        <v>692</v>
      </c>
      <c r="L543" s="53" t="str">
        <f t="shared" si="60"/>
        <v>Mobiliários</v>
      </c>
      <c r="M543" s="53" t="str">
        <f t="shared" si="60"/>
        <v>Mobílias</v>
      </c>
      <c r="N543" s="53" t="str">
        <f t="shared" si="58"/>
        <v>Mob Residenciais</v>
      </c>
      <c r="O543" s="53" t="str">
        <f t="shared" si="58"/>
        <v>Cadeira</v>
      </c>
      <c r="P543" s="54" t="s">
        <v>2862</v>
      </c>
      <c r="Q543" s="54" t="s">
        <v>2863</v>
      </c>
      <c r="R543" s="54" t="s">
        <v>6525</v>
      </c>
      <c r="S543" s="54" t="s">
        <v>692</v>
      </c>
      <c r="T543" s="55" t="str">
        <f t="shared" ref="T543:V606" si="61">SUBSTITUTE(C543, ".", " ")</f>
        <v>Mobiliários</v>
      </c>
      <c r="U543" s="55" t="str">
        <f t="shared" si="61"/>
        <v>Mobílias</v>
      </c>
      <c r="V543" s="55" t="str">
        <f t="shared" si="61"/>
        <v>Mob Residenciais</v>
      </c>
      <c r="W543" s="54" t="s">
        <v>7259</v>
      </c>
      <c r="X543" s="84" t="str">
        <f t="shared" si="59"/>
        <v>Key-COD-CT-543</v>
      </c>
      <c r="Y543" s="84" t="s">
        <v>5565</v>
      </c>
      <c r="Z543" s="84" t="s">
        <v>692</v>
      </c>
      <c r="AA543" s="84" t="s">
        <v>5822</v>
      </c>
      <c r="AB543" s="84" t="s">
        <v>692</v>
      </c>
      <c r="AC543" s="84" t="s">
        <v>692</v>
      </c>
      <c r="AD543" s="54" t="s">
        <v>692</v>
      </c>
    </row>
    <row r="544" spans="1:30" ht="6.75" customHeight="1" x14ac:dyDescent="0.25">
      <c r="A544" s="85">
        <v>544</v>
      </c>
      <c r="B544" s="59" t="s">
        <v>5419</v>
      </c>
      <c r="C544" s="59" t="s">
        <v>982</v>
      </c>
      <c r="D544" s="59" t="s">
        <v>2827</v>
      </c>
      <c r="E544" s="59" t="s">
        <v>2844</v>
      </c>
      <c r="F544" s="61" t="s">
        <v>2864</v>
      </c>
      <c r="G544" s="81" t="s">
        <v>692</v>
      </c>
      <c r="H544" s="81" t="s">
        <v>692</v>
      </c>
      <c r="I544" s="81" t="s">
        <v>692</v>
      </c>
      <c r="J544" s="81" t="s">
        <v>692</v>
      </c>
      <c r="K544" s="81" t="s">
        <v>692</v>
      </c>
      <c r="L544" s="53" t="str">
        <f t="shared" si="60"/>
        <v>Mobiliários</v>
      </c>
      <c r="M544" s="53" t="str">
        <f t="shared" si="60"/>
        <v>Mobílias</v>
      </c>
      <c r="N544" s="53" t="str">
        <f t="shared" si="58"/>
        <v>Mob Residenciais</v>
      </c>
      <c r="O544" s="53" t="str">
        <f t="shared" si="58"/>
        <v>Escribania</v>
      </c>
      <c r="P544" s="54" t="s">
        <v>2865</v>
      </c>
      <c r="Q544" s="54" t="s">
        <v>2866</v>
      </c>
      <c r="R544" s="54" t="s">
        <v>6526</v>
      </c>
      <c r="S544" s="54" t="s">
        <v>692</v>
      </c>
      <c r="T544" s="55" t="str">
        <f t="shared" si="61"/>
        <v>Mobiliários</v>
      </c>
      <c r="U544" s="55" t="str">
        <f t="shared" si="61"/>
        <v>Mobílias</v>
      </c>
      <c r="V544" s="55" t="str">
        <f t="shared" si="61"/>
        <v>Mob Residenciais</v>
      </c>
      <c r="W544" s="54" t="s">
        <v>7259</v>
      </c>
      <c r="X544" s="84" t="str">
        <f t="shared" si="59"/>
        <v>Key-COD-CT-544</v>
      </c>
      <c r="Y544" s="84" t="s">
        <v>5565</v>
      </c>
      <c r="Z544" s="84" t="s">
        <v>692</v>
      </c>
      <c r="AA544" s="84" t="s">
        <v>5823</v>
      </c>
      <c r="AB544" s="84" t="s">
        <v>692</v>
      </c>
      <c r="AC544" s="84" t="s">
        <v>692</v>
      </c>
      <c r="AD544" s="54" t="s">
        <v>692</v>
      </c>
    </row>
    <row r="545" spans="1:30" ht="6.75" customHeight="1" x14ac:dyDescent="0.25">
      <c r="A545" s="85">
        <v>545</v>
      </c>
      <c r="B545" s="59" t="s">
        <v>5419</v>
      </c>
      <c r="C545" s="59" t="s">
        <v>982</v>
      </c>
      <c r="D545" s="59" t="s">
        <v>2827</v>
      </c>
      <c r="E545" s="59" t="s">
        <v>2844</v>
      </c>
      <c r="F545" s="61" t="s">
        <v>2867</v>
      </c>
      <c r="G545" s="81" t="s">
        <v>692</v>
      </c>
      <c r="H545" s="81" t="s">
        <v>692</v>
      </c>
      <c r="I545" s="81" t="s">
        <v>692</v>
      </c>
      <c r="J545" s="81" t="s">
        <v>692</v>
      </c>
      <c r="K545" s="81" t="s">
        <v>692</v>
      </c>
      <c r="L545" s="53" t="str">
        <f t="shared" si="60"/>
        <v>Mobiliários</v>
      </c>
      <c r="M545" s="53" t="str">
        <f t="shared" si="60"/>
        <v>Mobílias</v>
      </c>
      <c r="N545" s="53" t="str">
        <f t="shared" si="58"/>
        <v>Mob Residenciais</v>
      </c>
      <c r="O545" s="53" t="str">
        <f t="shared" si="58"/>
        <v>Poltrona</v>
      </c>
      <c r="P545" s="54" t="s">
        <v>2868</v>
      </c>
      <c r="Q545" s="54" t="s">
        <v>2869</v>
      </c>
      <c r="R545" s="54" t="s">
        <v>6527</v>
      </c>
      <c r="S545" s="54" t="s">
        <v>692</v>
      </c>
      <c r="T545" s="55" t="str">
        <f t="shared" si="61"/>
        <v>Mobiliários</v>
      </c>
      <c r="U545" s="55" t="str">
        <f t="shared" si="61"/>
        <v>Mobílias</v>
      </c>
      <c r="V545" s="55" t="str">
        <f t="shared" si="61"/>
        <v>Mob Residenciais</v>
      </c>
      <c r="W545" s="54" t="s">
        <v>7259</v>
      </c>
      <c r="X545" s="84" t="str">
        <f t="shared" si="59"/>
        <v>Key-COD-CT-545</v>
      </c>
      <c r="Y545" s="84" t="s">
        <v>5565</v>
      </c>
      <c r="Z545" s="84" t="s">
        <v>692</v>
      </c>
      <c r="AA545" s="84" t="s">
        <v>5824</v>
      </c>
      <c r="AB545" s="84" t="s">
        <v>692</v>
      </c>
      <c r="AC545" s="84" t="s">
        <v>692</v>
      </c>
      <c r="AD545" s="54" t="s">
        <v>692</v>
      </c>
    </row>
    <row r="546" spans="1:30" ht="6.75" customHeight="1" x14ac:dyDescent="0.25">
      <c r="A546" s="85">
        <v>546</v>
      </c>
      <c r="B546" s="59" t="s">
        <v>5419</v>
      </c>
      <c r="C546" s="59" t="s">
        <v>982</v>
      </c>
      <c r="D546" s="59" t="s">
        <v>2827</v>
      </c>
      <c r="E546" s="59" t="s">
        <v>2844</v>
      </c>
      <c r="F546" s="61" t="s">
        <v>2870</v>
      </c>
      <c r="G546" s="81" t="s">
        <v>692</v>
      </c>
      <c r="H546" s="81" t="s">
        <v>692</v>
      </c>
      <c r="I546" s="81" t="s">
        <v>692</v>
      </c>
      <c r="J546" s="81" t="s">
        <v>692</v>
      </c>
      <c r="K546" s="81" t="s">
        <v>692</v>
      </c>
      <c r="L546" s="53" t="str">
        <f t="shared" si="60"/>
        <v>Mobiliários</v>
      </c>
      <c r="M546" s="53" t="str">
        <f t="shared" si="60"/>
        <v>Mobílias</v>
      </c>
      <c r="N546" s="53" t="str">
        <f t="shared" si="58"/>
        <v>Mob Residenciais</v>
      </c>
      <c r="O546" s="53" t="str">
        <f t="shared" si="58"/>
        <v>Sofá 2 Lugares</v>
      </c>
      <c r="P546" s="54" t="s">
        <v>2871</v>
      </c>
      <c r="Q546" s="54" t="s">
        <v>2872</v>
      </c>
      <c r="R546" s="54" t="s">
        <v>6528</v>
      </c>
      <c r="S546" s="54" t="s">
        <v>692</v>
      </c>
      <c r="T546" s="55" t="str">
        <f t="shared" si="61"/>
        <v>Mobiliários</v>
      </c>
      <c r="U546" s="55" t="str">
        <f t="shared" si="61"/>
        <v>Mobílias</v>
      </c>
      <c r="V546" s="55" t="str">
        <f t="shared" si="61"/>
        <v>Mob Residenciais</v>
      </c>
      <c r="W546" s="54" t="s">
        <v>7259</v>
      </c>
      <c r="X546" s="84" t="str">
        <f t="shared" si="59"/>
        <v>Key-COD-CT-546</v>
      </c>
      <c r="Y546" s="84" t="s">
        <v>5565</v>
      </c>
      <c r="Z546" s="84" t="s">
        <v>692</v>
      </c>
      <c r="AA546" s="84" t="s">
        <v>5824</v>
      </c>
      <c r="AB546" s="84" t="s">
        <v>692</v>
      </c>
      <c r="AC546" s="84" t="s">
        <v>692</v>
      </c>
      <c r="AD546" s="54" t="s">
        <v>692</v>
      </c>
    </row>
    <row r="547" spans="1:30" ht="6.75" customHeight="1" x14ac:dyDescent="0.25">
      <c r="A547" s="85">
        <v>547</v>
      </c>
      <c r="B547" s="59" t="s">
        <v>5419</v>
      </c>
      <c r="C547" s="59" t="s">
        <v>982</v>
      </c>
      <c r="D547" s="59" t="s">
        <v>2827</v>
      </c>
      <c r="E547" s="59" t="s">
        <v>2844</v>
      </c>
      <c r="F547" s="61" t="s">
        <v>2873</v>
      </c>
      <c r="G547" s="81" t="s">
        <v>692</v>
      </c>
      <c r="H547" s="81" t="s">
        <v>692</v>
      </c>
      <c r="I547" s="81" t="s">
        <v>692</v>
      </c>
      <c r="J547" s="81" t="s">
        <v>692</v>
      </c>
      <c r="K547" s="81" t="s">
        <v>692</v>
      </c>
      <c r="L547" s="53" t="str">
        <f t="shared" si="60"/>
        <v>Mobiliários</v>
      </c>
      <c r="M547" s="53" t="str">
        <f t="shared" si="60"/>
        <v>Mobílias</v>
      </c>
      <c r="N547" s="53" t="str">
        <f t="shared" si="58"/>
        <v>Mob Residenciais</v>
      </c>
      <c r="O547" s="53" t="str">
        <f t="shared" si="58"/>
        <v>Sofá 3 Lugares</v>
      </c>
      <c r="P547" s="54" t="s">
        <v>2874</v>
      </c>
      <c r="Q547" s="54" t="s">
        <v>2875</v>
      </c>
      <c r="R547" s="54" t="s">
        <v>6529</v>
      </c>
      <c r="S547" s="54" t="s">
        <v>692</v>
      </c>
      <c r="T547" s="55" t="str">
        <f t="shared" si="61"/>
        <v>Mobiliários</v>
      </c>
      <c r="U547" s="55" t="str">
        <f t="shared" si="61"/>
        <v>Mobílias</v>
      </c>
      <c r="V547" s="55" t="str">
        <f t="shared" si="61"/>
        <v>Mob Residenciais</v>
      </c>
      <c r="W547" s="54" t="s">
        <v>7259</v>
      </c>
      <c r="X547" s="84" t="str">
        <f t="shared" si="59"/>
        <v>Key-COD-CT-547</v>
      </c>
      <c r="Y547" s="84" t="s">
        <v>5565</v>
      </c>
      <c r="Z547" s="84" t="s">
        <v>692</v>
      </c>
      <c r="AA547" s="84" t="s">
        <v>5824</v>
      </c>
      <c r="AB547" s="84" t="s">
        <v>692</v>
      </c>
      <c r="AC547" s="84" t="s">
        <v>692</v>
      </c>
      <c r="AD547" s="54" t="s">
        <v>692</v>
      </c>
    </row>
    <row r="548" spans="1:30" ht="6.75" customHeight="1" x14ac:dyDescent="0.25">
      <c r="A548" s="85">
        <v>548</v>
      </c>
      <c r="B548" s="59" t="s">
        <v>5419</v>
      </c>
      <c r="C548" s="59" t="s">
        <v>982</v>
      </c>
      <c r="D548" s="59" t="s">
        <v>2827</v>
      </c>
      <c r="E548" s="59" t="s">
        <v>2844</v>
      </c>
      <c r="F548" s="61" t="s">
        <v>240</v>
      </c>
      <c r="G548" s="81" t="s">
        <v>692</v>
      </c>
      <c r="H548" s="81" t="s">
        <v>692</v>
      </c>
      <c r="I548" s="81" t="s">
        <v>692</v>
      </c>
      <c r="J548" s="81" t="s">
        <v>692</v>
      </c>
      <c r="K548" s="81" t="s">
        <v>692</v>
      </c>
      <c r="L548" s="53" t="str">
        <f t="shared" si="60"/>
        <v>Mobiliários</v>
      </c>
      <c r="M548" s="53" t="str">
        <f t="shared" si="60"/>
        <v>Mobílias</v>
      </c>
      <c r="N548" s="53" t="str">
        <f t="shared" si="58"/>
        <v>Mob Residenciais</v>
      </c>
      <c r="O548" s="53" t="str">
        <f t="shared" si="58"/>
        <v>Mesa</v>
      </c>
      <c r="P548" s="54" t="s">
        <v>2876</v>
      </c>
      <c r="Q548" s="54" t="s">
        <v>2877</v>
      </c>
      <c r="R548" s="54" t="s">
        <v>6530</v>
      </c>
      <c r="S548" s="54" t="s">
        <v>692</v>
      </c>
      <c r="T548" s="55" t="str">
        <f t="shared" si="61"/>
        <v>Mobiliários</v>
      </c>
      <c r="U548" s="55" t="str">
        <f t="shared" si="61"/>
        <v>Mobílias</v>
      </c>
      <c r="V548" s="55" t="str">
        <f t="shared" si="61"/>
        <v>Mob Residenciais</v>
      </c>
      <c r="W548" s="54" t="s">
        <v>7259</v>
      </c>
      <c r="X548" s="84" t="str">
        <f t="shared" si="59"/>
        <v>Key-COD-CT-548</v>
      </c>
      <c r="Y548" s="84" t="s">
        <v>5565</v>
      </c>
      <c r="Z548" s="84" t="s">
        <v>692</v>
      </c>
      <c r="AA548" s="84" t="s">
        <v>5825</v>
      </c>
      <c r="AB548" s="84" t="s">
        <v>692</v>
      </c>
      <c r="AC548" s="84" t="s">
        <v>692</v>
      </c>
      <c r="AD548" s="54" t="s">
        <v>692</v>
      </c>
    </row>
    <row r="549" spans="1:30" ht="6.75" customHeight="1" x14ac:dyDescent="0.25">
      <c r="A549" s="85">
        <v>549</v>
      </c>
      <c r="B549" s="59" t="s">
        <v>5419</v>
      </c>
      <c r="C549" s="59" t="s">
        <v>982</v>
      </c>
      <c r="D549" s="59" t="s">
        <v>2827</v>
      </c>
      <c r="E549" s="59" t="s">
        <v>2844</v>
      </c>
      <c r="F549" s="61" t="s">
        <v>2878</v>
      </c>
      <c r="G549" s="81" t="s">
        <v>692</v>
      </c>
      <c r="H549" s="81" t="s">
        <v>692</v>
      </c>
      <c r="I549" s="81" t="s">
        <v>692</v>
      </c>
      <c r="J549" s="81" t="s">
        <v>692</v>
      </c>
      <c r="K549" s="81" t="s">
        <v>692</v>
      </c>
      <c r="L549" s="53" t="str">
        <f t="shared" si="60"/>
        <v>Mobiliários</v>
      </c>
      <c r="M549" s="53" t="str">
        <f t="shared" si="60"/>
        <v>Mobílias</v>
      </c>
      <c r="N549" s="53" t="str">
        <f t="shared" si="58"/>
        <v>Mob Residenciais</v>
      </c>
      <c r="O549" s="53" t="str">
        <f t="shared" si="58"/>
        <v>Armário de Livros</v>
      </c>
      <c r="P549" s="54" t="s">
        <v>2879</v>
      </c>
      <c r="Q549" s="54" t="s">
        <v>2880</v>
      </c>
      <c r="R549" s="54" t="s">
        <v>6531</v>
      </c>
      <c r="S549" s="54" t="s">
        <v>692</v>
      </c>
      <c r="T549" s="55" t="str">
        <f t="shared" si="61"/>
        <v>Mobiliários</v>
      </c>
      <c r="U549" s="55" t="str">
        <f t="shared" si="61"/>
        <v>Mobílias</v>
      </c>
      <c r="V549" s="55" t="str">
        <f t="shared" si="61"/>
        <v>Mob Residenciais</v>
      </c>
      <c r="W549" s="54" t="s">
        <v>7259</v>
      </c>
      <c r="X549" s="84" t="str">
        <f t="shared" si="59"/>
        <v>Key-COD-CT-549</v>
      </c>
      <c r="Y549" s="84" t="s">
        <v>5566</v>
      </c>
      <c r="Z549" s="84" t="s">
        <v>692</v>
      </c>
      <c r="AA549" s="84" t="s">
        <v>5826</v>
      </c>
      <c r="AB549" s="84" t="s">
        <v>692</v>
      </c>
      <c r="AC549" s="84" t="s">
        <v>692</v>
      </c>
      <c r="AD549" s="54" t="s">
        <v>692</v>
      </c>
    </row>
    <row r="550" spans="1:30" ht="6.75" customHeight="1" x14ac:dyDescent="0.25">
      <c r="A550" s="85">
        <v>550</v>
      </c>
      <c r="B550" s="59" t="s">
        <v>5419</v>
      </c>
      <c r="C550" s="59" t="s">
        <v>982</v>
      </c>
      <c r="D550" s="59" t="s">
        <v>2827</v>
      </c>
      <c r="E550" s="59" t="s">
        <v>2844</v>
      </c>
      <c r="F550" s="61" t="s">
        <v>2881</v>
      </c>
      <c r="G550" s="81" t="s">
        <v>692</v>
      </c>
      <c r="H550" s="81" t="s">
        <v>692</v>
      </c>
      <c r="I550" s="81" t="s">
        <v>692</v>
      </c>
      <c r="J550" s="81" t="s">
        <v>692</v>
      </c>
      <c r="K550" s="81" t="s">
        <v>692</v>
      </c>
      <c r="L550" s="53" t="str">
        <f t="shared" si="60"/>
        <v>Mobiliários</v>
      </c>
      <c r="M550" s="53" t="str">
        <f t="shared" si="60"/>
        <v>Mobílias</v>
      </c>
      <c r="N550" s="53" t="str">
        <f t="shared" si="58"/>
        <v>Mob Residenciais</v>
      </c>
      <c r="O550" s="53" t="str">
        <f t="shared" si="58"/>
        <v>Armário de Ferramentas</v>
      </c>
      <c r="P550" s="54" t="s">
        <v>2882</v>
      </c>
      <c r="Q550" s="54" t="s">
        <v>2883</v>
      </c>
      <c r="R550" s="54" t="s">
        <v>6532</v>
      </c>
      <c r="S550" s="54" t="s">
        <v>692</v>
      </c>
      <c r="T550" s="55" t="str">
        <f t="shared" si="61"/>
        <v>Mobiliários</v>
      </c>
      <c r="U550" s="55" t="str">
        <f t="shared" si="61"/>
        <v>Mobílias</v>
      </c>
      <c r="V550" s="55" t="str">
        <f t="shared" si="61"/>
        <v>Mob Residenciais</v>
      </c>
      <c r="W550" s="54" t="s">
        <v>7259</v>
      </c>
      <c r="X550" s="84" t="str">
        <f t="shared" si="59"/>
        <v>Key-COD-CT-550</v>
      </c>
      <c r="Y550" s="84" t="s">
        <v>5566</v>
      </c>
      <c r="Z550" s="84" t="s">
        <v>692</v>
      </c>
      <c r="AA550" s="84" t="s">
        <v>5827</v>
      </c>
      <c r="AB550" s="84" t="s">
        <v>692</v>
      </c>
      <c r="AC550" s="84" t="s">
        <v>692</v>
      </c>
      <c r="AD550" s="54" t="s">
        <v>692</v>
      </c>
    </row>
    <row r="551" spans="1:30" ht="6.75" customHeight="1" x14ac:dyDescent="0.25">
      <c r="A551" s="85">
        <v>551</v>
      </c>
      <c r="B551" s="59" t="s">
        <v>5419</v>
      </c>
      <c r="C551" s="59" t="s">
        <v>982</v>
      </c>
      <c r="D551" s="59" t="s">
        <v>2827</v>
      </c>
      <c r="E551" s="59" t="s">
        <v>2844</v>
      </c>
      <c r="F551" s="61" t="s">
        <v>2884</v>
      </c>
      <c r="G551" s="81" t="s">
        <v>692</v>
      </c>
      <c r="H551" s="81" t="s">
        <v>692</v>
      </c>
      <c r="I551" s="81" t="s">
        <v>692</v>
      </c>
      <c r="J551" s="81" t="s">
        <v>692</v>
      </c>
      <c r="K551" s="81" t="s">
        <v>692</v>
      </c>
      <c r="L551" s="53" t="str">
        <f t="shared" si="60"/>
        <v>Mobiliários</v>
      </c>
      <c r="M551" s="53" t="str">
        <f t="shared" si="60"/>
        <v>Mobílias</v>
      </c>
      <c r="N551" s="53" t="str">
        <f t="shared" si="58"/>
        <v>Mob Residenciais</v>
      </c>
      <c r="O551" s="53" t="str">
        <f t="shared" si="58"/>
        <v>Prateleira</v>
      </c>
      <c r="P551" s="54" t="s">
        <v>2885</v>
      </c>
      <c r="Q551" s="54" t="s">
        <v>2886</v>
      </c>
      <c r="R551" s="54" t="s">
        <v>6533</v>
      </c>
      <c r="S551" s="54" t="s">
        <v>692</v>
      </c>
      <c r="T551" s="55" t="str">
        <f t="shared" si="61"/>
        <v>Mobiliários</v>
      </c>
      <c r="U551" s="55" t="str">
        <f t="shared" si="61"/>
        <v>Mobílias</v>
      </c>
      <c r="V551" s="55" t="str">
        <f t="shared" si="61"/>
        <v>Mob Residenciais</v>
      </c>
      <c r="W551" s="54" t="s">
        <v>7259</v>
      </c>
      <c r="X551" s="84" t="str">
        <f t="shared" si="59"/>
        <v>Key-COD-CT-551</v>
      </c>
      <c r="Y551" s="84" t="s">
        <v>5565</v>
      </c>
      <c r="Z551" s="84" t="s">
        <v>692</v>
      </c>
      <c r="AA551" s="84" t="s">
        <v>5828</v>
      </c>
      <c r="AB551" s="84" t="s">
        <v>692</v>
      </c>
      <c r="AC551" s="84" t="s">
        <v>692</v>
      </c>
      <c r="AD551" s="54" t="s">
        <v>692</v>
      </c>
    </row>
    <row r="552" spans="1:30" ht="6.75" customHeight="1" x14ac:dyDescent="0.25">
      <c r="A552" s="85">
        <v>552</v>
      </c>
      <c r="B552" s="59" t="s">
        <v>5419</v>
      </c>
      <c r="C552" s="59" t="s">
        <v>982</v>
      </c>
      <c r="D552" s="59" t="s">
        <v>2827</v>
      </c>
      <c r="E552" s="59" t="s">
        <v>2887</v>
      </c>
      <c r="F552" s="61" t="s">
        <v>2888</v>
      </c>
      <c r="G552" s="81" t="s">
        <v>692</v>
      </c>
      <c r="H552" s="81" t="s">
        <v>692</v>
      </c>
      <c r="I552" s="81" t="s">
        <v>692</v>
      </c>
      <c r="J552" s="81" t="s">
        <v>2889</v>
      </c>
      <c r="K552" s="81" t="s">
        <v>692</v>
      </c>
      <c r="L552" s="53" t="str">
        <f t="shared" si="60"/>
        <v>Mobiliários</v>
      </c>
      <c r="M552" s="53" t="str">
        <f t="shared" si="60"/>
        <v>Mobílias</v>
      </c>
      <c r="N552" s="53" t="str">
        <f t="shared" si="58"/>
        <v>Mob Ensino</v>
      </c>
      <c r="O552" s="53" t="str">
        <f t="shared" si="58"/>
        <v>Cadeira Aula</v>
      </c>
      <c r="P552" s="54" t="s">
        <v>2890</v>
      </c>
      <c r="Q552" s="54" t="s">
        <v>2891</v>
      </c>
      <c r="R552" s="54" t="s">
        <v>6534</v>
      </c>
      <c r="S552" s="54" t="s">
        <v>692</v>
      </c>
      <c r="T552" s="55" t="str">
        <f t="shared" si="61"/>
        <v>Mobiliários</v>
      </c>
      <c r="U552" s="55" t="str">
        <f t="shared" si="61"/>
        <v>Mobílias</v>
      </c>
      <c r="V552" s="55" t="str">
        <f t="shared" si="61"/>
        <v>Mob Ensino</v>
      </c>
      <c r="W552" s="54" t="s">
        <v>7259</v>
      </c>
      <c r="X552" s="84" t="str">
        <f t="shared" si="59"/>
        <v>Key-COD-CT-552</v>
      </c>
      <c r="Y552" s="84" t="s">
        <v>5565</v>
      </c>
      <c r="Z552" s="84" t="s">
        <v>692</v>
      </c>
      <c r="AA552" s="84" t="s">
        <v>5822</v>
      </c>
      <c r="AB552" s="84" t="s">
        <v>692</v>
      </c>
      <c r="AC552" s="84" t="s">
        <v>692</v>
      </c>
      <c r="AD552" s="54" t="s">
        <v>692</v>
      </c>
    </row>
    <row r="553" spans="1:30" ht="6.75" customHeight="1" x14ac:dyDescent="0.25">
      <c r="A553" s="85">
        <v>553</v>
      </c>
      <c r="B553" s="59" t="s">
        <v>5419</v>
      </c>
      <c r="C553" s="59" t="s">
        <v>982</v>
      </c>
      <c r="D553" s="59" t="s">
        <v>2827</v>
      </c>
      <c r="E553" s="59" t="s">
        <v>2887</v>
      </c>
      <c r="F553" s="61" t="s">
        <v>2892</v>
      </c>
      <c r="G553" s="81" t="s">
        <v>692</v>
      </c>
      <c r="H553" s="81" t="s">
        <v>692</v>
      </c>
      <c r="I553" s="81" t="s">
        <v>692</v>
      </c>
      <c r="J553" s="81" t="s">
        <v>692</v>
      </c>
      <c r="K553" s="81" t="s">
        <v>692</v>
      </c>
      <c r="L553" s="53" t="str">
        <f t="shared" si="60"/>
        <v>Mobiliários</v>
      </c>
      <c r="M553" s="53" t="str">
        <f t="shared" si="60"/>
        <v>Mobílias</v>
      </c>
      <c r="N553" s="53" t="str">
        <f t="shared" si="58"/>
        <v>Mob Ensino</v>
      </c>
      <c r="O553" s="53" t="str">
        <f t="shared" si="58"/>
        <v>Mesa Desenho</v>
      </c>
      <c r="P553" s="54" t="s">
        <v>2893</v>
      </c>
      <c r="Q553" s="54" t="s">
        <v>2894</v>
      </c>
      <c r="R553" s="54" t="s">
        <v>6535</v>
      </c>
      <c r="S553" s="54" t="s">
        <v>692</v>
      </c>
      <c r="T553" s="55" t="str">
        <f t="shared" si="61"/>
        <v>Mobiliários</v>
      </c>
      <c r="U553" s="55" t="str">
        <f t="shared" si="61"/>
        <v>Mobílias</v>
      </c>
      <c r="V553" s="55" t="str">
        <f t="shared" si="61"/>
        <v>Mob Ensino</v>
      </c>
      <c r="W553" s="54" t="s">
        <v>7259</v>
      </c>
      <c r="X553" s="84" t="str">
        <f t="shared" si="59"/>
        <v>Key-COD-CT-553</v>
      </c>
      <c r="Y553" s="84" t="s">
        <v>5565</v>
      </c>
      <c r="Z553" s="84" t="s">
        <v>692</v>
      </c>
      <c r="AA553" s="84" t="s">
        <v>5823</v>
      </c>
      <c r="AB553" s="84" t="s">
        <v>692</v>
      </c>
      <c r="AC553" s="84" t="s">
        <v>692</v>
      </c>
      <c r="AD553" s="54" t="s">
        <v>692</v>
      </c>
    </row>
    <row r="554" spans="1:30" ht="6.75" customHeight="1" x14ac:dyDescent="0.25">
      <c r="A554" s="85">
        <v>554</v>
      </c>
      <c r="B554" s="59" t="s">
        <v>5419</v>
      </c>
      <c r="C554" s="59" t="s">
        <v>982</v>
      </c>
      <c r="D554" s="59" t="s">
        <v>2827</v>
      </c>
      <c r="E554" s="59" t="s">
        <v>2887</v>
      </c>
      <c r="F554" s="61" t="s">
        <v>2895</v>
      </c>
      <c r="G554" s="81" t="s">
        <v>692</v>
      </c>
      <c r="H554" s="81" t="s">
        <v>692</v>
      </c>
      <c r="I554" s="81" t="s">
        <v>692</v>
      </c>
      <c r="J554" s="81" t="s">
        <v>692</v>
      </c>
      <c r="K554" s="81" t="s">
        <v>692</v>
      </c>
      <c r="L554" s="53" t="str">
        <f t="shared" si="60"/>
        <v>Mobiliários</v>
      </c>
      <c r="M554" s="53" t="str">
        <f t="shared" si="60"/>
        <v>Mobílias</v>
      </c>
      <c r="N554" s="53" t="str">
        <f t="shared" si="58"/>
        <v>Mob Ensino</v>
      </c>
      <c r="O554" s="53" t="str">
        <f t="shared" si="58"/>
        <v>Mesa Computador</v>
      </c>
      <c r="P554" s="54" t="s">
        <v>2896</v>
      </c>
      <c r="Q554" s="54" t="s">
        <v>2897</v>
      </c>
      <c r="R554" s="54" t="s">
        <v>6536</v>
      </c>
      <c r="S554" s="54" t="s">
        <v>692</v>
      </c>
      <c r="T554" s="55" t="str">
        <f t="shared" si="61"/>
        <v>Mobiliários</v>
      </c>
      <c r="U554" s="55" t="str">
        <f t="shared" si="61"/>
        <v>Mobílias</v>
      </c>
      <c r="V554" s="55" t="str">
        <f t="shared" si="61"/>
        <v>Mob Ensino</v>
      </c>
      <c r="W554" s="54" t="s">
        <v>7259</v>
      </c>
      <c r="X554" s="84" t="str">
        <f t="shared" si="59"/>
        <v>Key-COD-CT-554</v>
      </c>
      <c r="Y554" s="84" t="s">
        <v>5565</v>
      </c>
      <c r="Z554" s="84" t="s">
        <v>692</v>
      </c>
      <c r="AA554" s="84" t="s">
        <v>5825</v>
      </c>
      <c r="AB554" s="84" t="s">
        <v>692</v>
      </c>
      <c r="AC554" s="84" t="s">
        <v>692</v>
      </c>
      <c r="AD554" s="54" t="s">
        <v>692</v>
      </c>
    </row>
    <row r="555" spans="1:30" ht="6.75" customHeight="1" x14ac:dyDescent="0.25">
      <c r="A555" s="85">
        <v>555</v>
      </c>
      <c r="B555" s="59" t="s">
        <v>5419</v>
      </c>
      <c r="C555" s="59" t="s">
        <v>982</v>
      </c>
      <c r="D555" s="59" t="s">
        <v>2827</v>
      </c>
      <c r="E555" s="59" t="s">
        <v>2887</v>
      </c>
      <c r="F555" s="61" t="s">
        <v>2898</v>
      </c>
      <c r="G555" s="81" t="s">
        <v>692</v>
      </c>
      <c r="H555" s="81" t="s">
        <v>692</v>
      </c>
      <c r="I555" s="81" t="s">
        <v>692</v>
      </c>
      <c r="J555" s="81" t="s">
        <v>692</v>
      </c>
      <c r="K555" s="81" t="s">
        <v>692</v>
      </c>
      <c r="L555" s="53" t="str">
        <f t="shared" si="60"/>
        <v>Mobiliários</v>
      </c>
      <c r="M555" s="53" t="str">
        <f t="shared" si="60"/>
        <v>Mobílias</v>
      </c>
      <c r="N555" s="53" t="str">
        <f t="shared" si="58"/>
        <v>Mob Ensino</v>
      </c>
      <c r="O555" s="53" t="str">
        <f t="shared" si="58"/>
        <v>Armário Modelos</v>
      </c>
      <c r="P555" s="54" t="s">
        <v>2899</v>
      </c>
      <c r="Q555" s="54" t="s">
        <v>2899</v>
      </c>
      <c r="R555" s="54" t="s">
        <v>6537</v>
      </c>
      <c r="S555" s="54" t="s">
        <v>692</v>
      </c>
      <c r="T555" s="55" t="str">
        <f t="shared" si="61"/>
        <v>Mobiliários</v>
      </c>
      <c r="U555" s="55" t="str">
        <f t="shared" si="61"/>
        <v>Mobílias</v>
      </c>
      <c r="V555" s="55" t="str">
        <f t="shared" si="61"/>
        <v>Mob Ensino</v>
      </c>
      <c r="W555" s="54" t="s">
        <v>7259</v>
      </c>
      <c r="X555" s="84" t="str">
        <f t="shared" si="59"/>
        <v>Key-COD-CT-555</v>
      </c>
      <c r="Y555" s="84" t="s">
        <v>5566</v>
      </c>
      <c r="Z555" s="84" t="s">
        <v>692</v>
      </c>
      <c r="AA555" s="84" t="s">
        <v>5826</v>
      </c>
      <c r="AB555" s="84" t="s">
        <v>692</v>
      </c>
      <c r="AC555" s="84" t="s">
        <v>692</v>
      </c>
      <c r="AD555" s="54" t="s">
        <v>692</v>
      </c>
    </row>
    <row r="556" spans="1:30" ht="6.75" customHeight="1" x14ac:dyDescent="0.25">
      <c r="A556" s="85">
        <v>556</v>
      </c>
      <c r="B556" s="59" t="s">
        <v>5419</v>
      </c>
      <c r="C556" s="59" t="s">
        <v>982</v>
      </c>
      <c r="D556" s="59" t="s">
        <v>2827</v>
      </c>
      <c r="E556" s="59" t="s">
        <v>2887</v>
      </c>
      <c r="F556" s="61" t="s">
        <v>2900</v>
      </c>
      <c r="G556" s="81" t="s">
        <v>692</v>
      </c>
      <c r="H556" s="81" t="s">
        <v>692</v>
      </c>
      <c r="I556" s="81" t="s">
        <v>692</v>
      </c>
      <c r="J556" s="81" t="s">
        <v>692</v>
      </c>
      <c r="K556" s="81" t="s">
        <v>692</v>
      </c>
      <c r="L556" s="53" t="str">
        <f t="shared" si="60"/>
        <v>Mobiliários</v>
      </c>
      <c r="M556" s="53" t="str">
        <f t="shared" si="60"/>
        <v>Mobílias</v>
      </c>
      <c r="N556" s="53" t="str">
        <f t="shared" si="58"/>
        <v>Mob Ensino</v>
      </c>
      <c r="O556" s="53" t="str">
        <f t="shared" si="58"/>
        <v>Armário Livros</v>
      </c>
      <c r="P556" s="54" t="s">
        <v>2901</v>
      </c>
      <c r="Q556" s="54" t="s">
        <v>2901</v>
      </c>
      <c r="R556" s="54" t="s">
        <v>6538</v>
      </c>
      <c r="S556" s="54" t="s">
        <v>692</v>
      </c>
      <c r="T556" s="55" t="str">
        <f t="shared" si="61"/>
        <v>Mobiliários</v>
      </c>
      <c r="U556" s="55" t="str">
        <f t="shared" si="61"/>
        <v>Mobílias</v>
      </c>
      <c r="V556" s="55" t="str">
        <f t="shared" si="61"/>
        <v>Mob Ensino</v>
      </c>
      <c r="W556" s="54" t="s">
        <v>7259</v>
      </c>
      <c r="X556" s="84" t="str">
        <f t="shared" si="59"/>
        <v>Key-COD-CT-556</v>
      </c>
      <c r="Y556" s="84" t="s">
        <v>5566</v>
      </c>
      <c r="Z556" s="84" t="s">
        <v>692</v>
      </c>
      <c r="AA556" s="84" t="s">
        <v>5827</v>
      </c>
      <c r="AB556" s="84" t="s">
        <v>692</v>
      </c>
      <c r="AC556" s="84" t="s">
        <v>692</v>
      </c>
      <c r="AD556" s="54" t="s">
        <v>692</v>
      </c>
    </row>
    <row r="557" spans="1:30" ht="6.75" customHeight="1" x14ac:dyDescent="0.25">
      <c r="A557" s="85">
        <v>557</v>
      </c>
      <c r="B557" s="59" t="s">
        <v>5419</v>
      </c>
      <c r="C557" s="59" t="s">
        <v>982</v>
      </c>
      <c r="D557" s="59" t="s">
        <v>2827</v>
      </c>
      <c r="E557" s="59" t="s">
        <v>2887</v>
      </c>
      <c r="F557" s="61" t="s">
        <v>2902</v>
      </c>
      <c r="G557" s="81" t="s">
        <v>692</v>
      </c>
      <c r="H557" s="81" t="s">
        <v>692</v>
      </c>
      <c r="I557" s="81" t="s">
        <v>692</v>
      </c>
      <c r="J557" s="81" t="s">
        <v>692</v>
      </c>
      <c r="K557" s="81" t="s">
        <v>692</v>
      </c>
      <c r="L557" s="53" t="str">
        <f t="shared" si="60"/>
        <v>Mobiliários</v>
      </c>
      <c r="M557" s="53" t="str">
        <f t="shared" si="60"/>
        <v>Mobílias</v>
      </c>
      <c r="N557" s="53" t="str">
        <f t="shared" si="58"/>
        <v>Mob Ensino</v>
      </c>
      <c r="O557" s="53" t="str">
        <f t="shared" si="58"/>
        <v>Prateleira Livros</v>
      </c>
      <c r="P557" s="54" t="s">
        <v>2903</v>
      </c>
      <c r="Q557" s="54" t="s">
        <v>2904</v>
      </c>
      <c r="R557" s="54" t="s">
        <v>6539</v>
      </c>
      <c r="S557" s="54" t="s">
        <v>692</v>
      </c>
      <c r="T557" s="55" t="str">
        <f t="shared" si="61"/>
        <v>Mobiliários</v>
      </c>
      <c r="U557" s="55" t="str">
        <f t="shared" si="61"/>
        <v>Mobílias</v>
      </c>
      <c r="V557" s="55" t="str">
        <f t="shared" si="61"/>
        <v>Mob Ensino</v>
      </c>
      <c r="W557" s="54" t="s">
        <v>7259</v>
      </c>
      <c r="X557" s="84" t="str">
        <f t="shared" si="59"/>
        <v>Key-COD-CT-557</v>
      </c>
      <c r="Y557" s="84" t="s">
        <v>5565</v>
      </c>
      <c r="Z557" s="84" t="s">
        <v>692</v>
      </c>
      <c r="AA557" s="84" t="s">
        <v>5828</v>
      </c>
      <c r="AB557" s="84" t="s">
        <v>692</v>
      </c>
      <c r="AC557" s="84" t="s">
        <v>692</v>
      </c>
      <c r="AD557" s="54" t="s">
        <v>692</v>
      </c>
    </row>
    <row r="558" spans="1:30" ht="6.75" customHeight="1" x14ac:dyDescent="0.25">
      <c r="A558" s="85">
        <v>558</v>
      </c>
      <c r="B558" s="59" t="s">
        <v>5419</v>
      </c>
      <c r="C558" s="59" t="s">
        <v>982</v>
      </c>
      <c r="D558" s="59" t="s">
        <v>2827</v>
      </c>
      <c r="E558" s="59" t="s">
        <v>2905</v>
      </c>
      <c r="F558" s="61" t="s">
        <v>2906</v>
      </c>
      <c r="G558" s="81" t="s">
        <v>692</v>
      </c>
      <c r="H558" s="81" t="s">
        <v>692</v>
      </c>
      <c r="I558" s="81" t="s">
        <v>692</v>
      </c>
      <c r="J558" s="81" t="s">
        <v>2618</v>
      </c>
      <c r="K558" s="81" t="s">
        <v>692</v>
      </c>
      <c r="L558" s="53" t="str">
        <f t="shared" si="60"/>
        <v>Mobiliários</v>
      </c>
      <c r="M558" s="53" t="str">
        <f t="shared" si="60"/>
        <v>Mobílias</v>
      </c>
      <c r="N558" s="53" t="str">
        <f t="shared" si="58"/>
        <v>Mob Hospital</v>
      </c>
      <c r="O558" s="53" t="str">
        <f t="shared" si="58"/>
        <v>Cama Hospitalar</v>
      </c>
      <c r="P558" s="54" t="s">
        <v>2907</v>
      </c>
      <c r="Q558" s="54" t="s">
        <v>2907</v>
      </c>
      <c r="R558" s="54" t="s">
        <v>6540</v>
      </c>
      <c r="S558" s="54" t="s">
        <v>692</v>
      </c>
      <c r="T558" s="55" t="str">
        <f t="shared" si="61"/>
        <v>Mobiliários</v>
      </c>
      <c r="U558" s="55" t="str">
        <f t="shared" si="61"/>
        <v>Mobílias</v>
      </c>
      <c r="V558" s="55" t="str">
        <f t="shared" si="61"/>
        <v>Mob Hospital</v>
      </c>
      <c r="W558" s="54" t="s">
        <v>7259</v>
      </c>
      <c r="X558" s="84" t="str">
        <f t="shared" si="59"/>
        <v>Key-COD-CT-558</v>
      </c>
      <c r="Y558" s="84" t="s">
        <v>5565</v>
      </c>
      <c r="Z558" s="84" t="s">
        <v>692</v>
      </c>
      <c r="AA558" s="84" t="s">
        <v>5821</v>
      </c>
      <c r="AB558" s="84" t="s">
        <v>692</v>
      </c>
      <c r="AC558" s="84" t="s">
        <v>692</v>
      </c>
      <c r="AD558" s="54" t="s">
        <v>692</v>
      </c>
    </row>
    <row r="559" spans="1:30" ht="6.75" customHeight="1" x14ac:dyDescent="0.25">
      <c r="A559" s="85">
        <v>559</v>
      </c>
      <c r="B559" s="59" t="s">
        <v>5419</v>
      </c>
      <c r="C559" s="59" t="s">
        <v>982</v>
      </c>
      <c r="D559" s="59" t="s">
        <v>2827</v>
      </c>
      <c r="E559" s="59" t="s">
        <v>2905</v>
      </c>
      <c r="F559" s="61" t="s">
        <v>2908</v>
      </c>
      <c r="G559" s="81" t="s">
        <v>692</v>
      </c>
      <c r="H559" s="81" t="s">
        <v>692</v>
      </c>
      <c r="I559" s="81" t="s">
        <v>692</v>
      </c>
      <c r="J559" s="81" t="s">
        <v>692</v>
      </c>
      <c r="K559" s="81" t="s">
        <v>692</v>
      </c>
      <c r="L559" s="53" t="str">
        <f t="shared" si="60"/>
        <v>Mobiliários</v>
      </c>
      <c r="M559" s="53" t="str">
        <f t="shared" si="60"/>
        <v>Mobílias</v>
      </c>
      <c r="N559" s="53" t="str">
        <f t="shared" si="58"/>
        <v>Mob Hospital</v>
      </c>
      <c r="O559" s="53" t="str">
        <f t="shared" si="58"/>
        <v>Maca</v>
      </c>
      <c r="P559" s="54" t="s">
        <v>2909</v>
      </c>
      <c r="Q559" s="54" t="s">
        <v>2910</v>
      </c>
      <c r="R559" s="54" t="s">
        <v>6541</v>
      </c>
      <c r="S559" s="54" t="s">
        <v>692</v>
      </c>
      <c r="T559" s="55" t="str">
        <f t="shared" si="61"/>
        <v>Mobiliários</v>
      </c>
      <c r="U559" s="55" t="str">
        <f t="shared" si="61"/>
        <v>Mobílias</v>
      </c>
      <c r="V559" s="55" t="str">
        <f t="shared" si="61"/>
        <v>Mob Hospital</v>
      </c>
      <c r="W559" s="54" t="s">
        <v>7259</v>
      </c>
      <c r="X559" s="84" t="str">
        <f t="shared" si="59"/>
        <v>Key-COD-CT-559</v>
      </c>
      <c r="Y559" s="84" t="s">
        <v>5565</v>
      </c>
      <c r="Z559" s="84" t="s">
        <v>692</v>
      </c>
      <c r="AA559" s="84" t="s">
        <v>5821</v>
      </c>
      <c r="AB559" s="84" t="s">
        <v>692</v>
      </c>
      <c r="AC559" s="84" t="s">
        <v>692</v>
      </c>
      <c r="AD559" s="54" t="s">
        <v>692</v>
      </c>
    </row>
    <row r="560" spans="1:30" ht="6.75" customHeight="1" x14ac:dyDescent="0.25">
      <c r="A560" s="85">
        <v>560</v>
      </c>
      <c r="B560" s="59" t="s">
        <v>5419</v>
      </c>
      <c r="C560" s="59" t="s">
        <v>982</v>
      </c>
      <c r="D560" s="59" t="s">
        <v>2827</v>
      </c>
      <c r="E560" s="59" t="s">
        <v>2905</v>
      </c>
      <c r="F560" s="61" t="s">
        <v>2911</v>
      </c>
      <c r="G560" s="81" t="s">
        <v>692</v>
      </c>
      <c r="H560" s="81" t="s">
        <v>692</v>
      </c>
      <c r="I560" s="81" t="s">
        <v>692</v>
      </c>
      <c r="J560" s="81" t="s">
        <v>692</v>
      </c>
      <c r="K560" s="81" t="s">
        <v>692</v>
      </c>
      <c r="L560" s="53" t="str">
        <f t="shared" si="60"/>
        <v>Mobiliários</v>
      </c>
      <c r="M560" s="53" t="str">
        <f t="shared" si="60"/>
        <v>Mobílias</v>
      </c>
      <c r="N560" s="53" t="str">
        <f t="shared" si="58"/>
        <v>Mob Hospital</v>
      </c>
      <c r="O560" s="53" t="str">
        <f t="shared" si="58"/>
        <v>Cadeira Paciente</v>
      </c>
      <c r="P560" s="54" t="s">
        <v>2912</v>
      </c>
      <c r="Q560" s="54" t="s">
        <v>2913</v>
      </c>
      <c r="R560" s="54" t="s">
        <v>6542</v>
      </c>
      <c r="S560" s="54" t="s">
        <v>692</v>
      </c>
      <c r="T560" s="55" t="str">
        <f t="shared" si="61"/>
        <v>Mobiliários</v>
      </c>
      <c r="U560" s="55" t="str">
        <f t="shared" si="61"/>
        <v>Mobílias</v>
      </c>
      <c r="V560" s="55" t="str">
        <f t="shared" si="61"/>
        <v>Mob Hospital</v>
      </c>
      <c r="W560" s="54" t="s">
        <v>7259</v>
      </c>
      <c r="X560" s="84" t="str">
        <f t="shared" si="59"/>
        <v>Key-COD-CT-560</v>
      </c>
      <c r="Y560" s="84" t="s">
        <v>5565</v>
      </c>
      <c r="Z560" s="84" t="s">
        <v>692</v>
      </c>
      <c r="AA560" s="84" t="s">
        <v>5822</v>
      </c>
      <c r="AB560" s="84" t="s">
        <v>692</v>
      </c>
      <c r="AC560" s="84" t="s">
        <v>692</v>
      </c>
      <c r="AD560" s="54" t="s">
        <v>692</v>
      </c>
    </row>
    <row r="561" spans="1:30" ht="6.75" customHeight="1" x14ac:dyDescent="0.25">
      <c r="A561" s="85">
        <v>561</v>
      </c>
      <c r="B561" s="59" t="s">
        <v>5419</v>
      </c>
      <c r="C561" s="59" t="s">
        <v>982</v>
      </c>
      <c r="D561" s="59" t="s">
        <v>2827</v>
      </c>
      <c r="E561" s="59" t="s">
        <v>2905</v>
      </c>
      <c r="F561" s="61" t="s">
        <v>2914</v>
      </c>
      <c r="G561" s="81" t="s">
        <v>692</v>
      </c>
      <c r="H561" s="81" t="s">
        <v>692</v>
      </c>
      <c r="I561" s="81" t="s">
        <v>692</v>
      </c>
      <c r="J561" s="81" t="s">
        <v>692</v>
      </c>
      <c r="K561" s="81" t="s">
        <v>692</v>
      </c>
      <c r="L561" s="53" t="str">
        <f t="shared" si="60"/>
        <v>Mobiliários</v>
      </c>
      <c r="M561" s="53" t="str">
        <f t="shared" si="60"/>
        <v>Mobílias</v>
      </c>
      <c r="N561" s="53" t="str">
        <f t="shared" si="58"/>
        <v>Mob Hospital</v>
      </c>
      <c r="O561" s="53" t="str">
        <f t="shared" si="58"/>
        <v>Poltrona Paciente</v>
      </c>
      <c r="P561" s="54" t="s">
        <v>2915</v>
      </c>
      <c r="Q561" s="54" t="s">
        <v>2916</v>
      </c>
      <c r="R561" s="54" t="s">
        <v>6543</v>
      </c>
      <c r="S561" s="54" t="s">
        <v>692</v>
      </c>
      <c r="T561" s="55" t="str">
        <f t="shared" si="61"/>
        <v>Mobiliários</v>
      </c>
      <c r="U561" s="55" t="str">
        <f t="shared" si="61"/>
        <v>Mobílias</v>
      </c>
      <c r="V561" s="55" t="str">
        <f t="shared" si="61"/>
        <v>Mob Hospital</v>
      </c>
      <c r="W561" s="54" t="s">
        <v>7259</v>
      </c>
      <c r="X561" s="84" t="str">
        <f t="shared" si="59"/>
        <v>Key-COD-CT-561</v>
      </c>
      <c r="Y561" s="84" t="s">
        <v>5565</v>
      </c>
      <c r="Z561" s="84" t="s">
        <v>692</v>
      </c>
      <c r="AA561" s="84" t="s">
        <v>5824</v>
      </c>
      <c r="AB561" s="84" t="s">
        <v>692</v>
      </c>
      <c r="AC561" s="84" t="s">
        <v>692</v>
      </c>
      <c r="AD561" s="54" t="s">
        <v>692</v>
      </c>
    </row>
    <row r="562" spans="1:30" ht="6.75" customHeight="1" x14ac:dyDescent="0.25">
      <c r="A562" s="85">
        <v>562</v>
      </c>
      <c r="B562" s="59" t="s">
        <v>5419</v>
      </c>
      <c r="C562" s="59" t="s">
        <v>982</v>
      </c>
      <c r="D562" s="59" t="s">
        <v>2827</v>
      </c>
      <c r="E562" s="59" t="s">
        <v>2905</v>
      </c>
      <c r="F562" s="61" t="s">
        <v>2917</v>
      </c>
      <c r="G562" s="81" t="s">
        <v>692</v>
      </c>
      <c r="H562" s="81" t="s">
        <v>692</v>
      </c>
      <c r="I562" s="81" t="s">
        <v>692</v>
      </c>
      <c r="J562" s="81" t="s">
        <v>692</v>
      </c>
      <c r="K562" s="81" t="s">
        <v>692</v>
      </c>
      <c r="L562" s="53" t="str">
        <f t="shared" si="60"/>
        <v>Mobiliários</v>
      </c>
      <c r="M562" s="53" t="str">
        <f t="shared" si="60"/>
        <v>Mobílias</v>
      </c>
      <c r="N562" s="53" t="str">
        <f t="shared" si="58"/>
        <v>Mob Hospital</v>
      </c>
      <c r="O562" s="53" t="str">
        <f t="shared" si="58"/>
        <v>Mesa Atendimento</v>
      </c>
      <c r="P562" s="54" t="s">
        <v>2918</v>
      </c>
      <c r="Q562" s="54" t="s">
        <v>2919</v>
      </c>
      <c r="R562" s="54" t="s">
        <v>6544</v>
      </c>
      <c r="S562" s="54" t="s">
        <v>692</v>
      </c>
      <c r="T562" s="55" t="str">
        <f t="shared" si="61"/>
        <v>Mobiliários</v>
      </c>
      <c r="U562" s="55" t="str">
        <f t="shared" si="61"/>
        <v>Mobílias</v>
      </c>
      <c r="V562" s="55" t="str">
        <f t="shared" si="61"/>
        <v>Mob Hospital</v>
      </c>
      <c r="W562" s="54" t="s">
        <v>7259</v>
      </c>
      <c r="X562" s="84" t="str">
        <f t="shared" si="59"/>
        <v>Key-COD-CT-562</v>
      </c>
      <c r="Y562" s="84" t="s">
        <v>5565</v>
      </c>
      <c r="Z562" s="84" t="s">
        <v>692</v>
      </c>
      <c r="AA562" s="84" t="s">
        <v>5825</v>
      </c>
      <c r="AB562" s="84" t="s">
        <v>692</v>
      </c>
      <c r="AC562" s="84" t="s">
        <v>692</v>
      </c>
      <c r="AD562" s="54" t="s">
        <v>692</v>
      </c>
    </row>
    <row r="563" spans="1:30" ht="6.75" customHeight="1" x14ac:dyDescent="0.25">
      <c r="A563" s="85">
        <v>563</v>
      </c>
      <c r="B563" s="59" t="s">
        <v>5419</v>
      </c>
      <c r="C563" s="59" t="s">
        <v>982</v>
      </c>
      <c r="D563" s="59" t="s">
        <v>2827</v>
      </c>
      <c r="E563" s="59" t="s">
        <v>2905</v>
      </c>
      <c r="F563" s="61" t="s">
        <v>2920</v>
      </c>
      <c r="G563" s="81" t="s">
        <v>692</v>
      </c>
      <c r="H563" s="81" t="s">
        <v>692</v>
      </c>
      <c r="I563" s="81" t="s">
        <v>692</v>
      </c>
      <c r="J563" s="81" t="s">
        <v>692</v>
      </c>
      <c r="K563" s="81" t="s">
        <v>692</v>
      </c>
      <c r="L563" s="53" t="str">
        <f t="shared" si="60"/>
        <v>Mobiliários</v>
      </c>
      <c r="M563" s="53" t="str">
        <f t="shared" si="60"/>
        <v>Mobílias</v>
      </c>
      <c r="N563" s="53" t="str">
        <f t="shared" si="58"/>
        <v>Mob Hospital</v>
      </c>
      <c r="O563" s="53" t="str">
        <f t="shared" si="58"/>
        <v>Armário de Roupa</v>
      </c>
      <c r="P563" s="54" t="s">
        <v>2921</v>
      </c>
      <c r="Q563" s="54" t="s">
        <v>2922</v>
      </c>
      <c r="R563" s="54" t="s">
        <v>6545</v>
      </c>
      <c r="S563" s="54" t="s">
        <v>692</v>
      </c>
      <c r="T563" s="55" t="str">
        <f t="shared" si="61"/>
        <v>Mobiliários</v>
      </c>
      <c r="U563" s="55" t="str">
        <f t="shared" si="61"/>
        <v>Mobílias</v>
      </c>
      <c r="V563" s="55" t="str">
        <f t="shared" si="61"/>
        <v>Mob Hospital</v>
      </c>
      <c r="W563" s="54" t="s">
        <v>7259</v>
      </c>
      <c r="X563" s="84" t="str">
        <f t="shared" si="59"/>
        <v>Key-COD-CT-563</v>
      </c>
      <c r="Y563" s="84" t="s">
        <v>5566</v>
      </c>
      <c r="Z563" s="84" t="s">
        <v>692</v>
      </c>
      <c r="AA563" s="84" t="s">
        <v>5826</v>
      </c>
      <c r="AB563" s="84" t="s">
        <v>692</v>
      </c>
      <c r="AC563" s="84" t="s">
        <v>692</v>
      </c>
      <c r="AD563" s="54" t="s">
        <v>692</v>
      </c>
    </row>
    <row r="564" spans="1:30" ht="6.75" customHeight="1" x14ac:dyDescent="0.25">
      <c r="A564" s="85">
        <v>564</v>
      </c>
      <c r="B564" s="59" t="s">
        <v>5419</v>
      </c>
      <c r="C564" s="59" t="s">
        <v>982</v>
      </c>
      <c r="D564" s="59" t="s">
        <v>2827</v>
      </c>
      <c r="E564" s="59" t="s">
        <v>2905</v>
      </c>
      <c r="F564" s="61" t="s">
        <v>2923</v>
      </c>
      <c r="G564" s="81" t="s">
        <v>692</v>
      </c>
      <c r="H564" s="81" t="s">
        <v>692</v>
      </c>
      <c r="I564" s="81" t="s">
        <v>692</v>
      </c>
      <c r="J564" s="81" t="s">
        <v>692</v>
      </c>
      <c r="K564" s="81" t="s">
        <v>692</v>
      </c>
      <c r="L564" s="53" t="str">
        <f t="shared" si="60"/>
        <v>Mobiliários</v>
      </c>
      <c r="M564" s="53" t="str">
        <f t="shared" si="60"/>
        <v>Mobílias</v>
      </c>
      <c r="N564" s="53" t="str">
        <f t="shared" si="58"/>
        <v>Mob Hospital</v>
      </c>
      <c r="O564" s="53" t="str">
        <f t="shared" si="58"/>
        <v>Armário de Medicinas</v>
      </c>
      <c r="P564" s="54" t="s">
        <v>2924</v>
      </c>
      <c r="Q564" s="54" t="s">
        <v>2925</v>
      </c>
      <c r="R564" s="54" t="s">
        <v>6546</v>
      </c>
      <c r="S564" s="54" t="s">
        <v>692</v>
      </c>
      <c r="T564" s="55" t="str">
        <f t="shared" si="61"/>
        <v>Mobiliários</v>
      </c>
      <c r="U564" s="55" t="str">
        <f t="shared" si="61"/>
        <v>Mobílias</v>
      </c>
      <c r="V564" s="55" t="str">
        <f t="shared" si="61"/>
        <v>Mob Hospital</v>
      </c>
      <c r="W564" s="54" t="s">
        <v>7259</v>
      </c>
      <c r="X564" s="84" t="str">
        <f t="shared" si="59"/>
        <v>Key-COD-CT-564</v>
      </c>
      <c r="Y564" s="84" t="s">
        <v>5566</v>
      </c>
      <c r="Z564" s="84" t="s">
        <v>692</v>
      </c>
      <c r="AA564" s="84" t="s">
        <v>5827</v>
      </c>
      <c r="AB564" s="84" t="s">
        <v>692</v>
      </c>
      <c r="AC564" s="84" t="s">
        <v>692</v>
      </c>
      <c r="AD564" s="54" t="s">
        <v>692</v>
      </c>
    </row>
    <row r="565" spans="1:30" ht="6.75" customHeight="1" x14ac:dyDescent="0.25">
      <c r="A565" s="85">
        <v>565</v>
      </c>
      <c r="B565" s="59" t="s">
        <v>5419</v>
      </c>
      <c r="C565" s="59" t="s">
        <v>982</v>
      </c>
      <c r="D565" s="59" t="s">
        <v>2827</v>
      </c>
      <c r="E565" s="59" t="s">
        <v>2905</v>
      </c>
      <c r="F565" s="61" t="s">
        <v>2926</v>
      </c>
      <c r="G565" s="81" t="s">
        <v>692</v>
      </c>
      <c r="H565" s="81" t="s">
        <v>692</v>
      </c>
      <c r="I565" s="81" t="s">
        <v>692</v>
      </c>
      <c r="J565" s="81" t="s">
        <v>692</v>
      </c>
      <c r="K565" s="81" t="s">
        <v>692</v>
      </c>
      <c r="L565" s="53" t="str">
        <f t="shared" si="60"/>
        <v>Mobiliários</v>
      </c>
      <c r="M565" s="53" t="str">
        <f t="shared" si="60"/>
        <v>Mobílias</v>
      </c>
      <c r="N565" s="53" t="str">
        <f t="shared" si="58"/>
        <v>Mob Hospital</v>
      </c>
      <c r="O565" s="53" t="str">
        <f t="shared" si="58"/>
        <v>Prateleira Medicinas</v>
      </c>
      <c r="P565" s="54" t="s">
        <v>2927</v>
      </c>
      <c r="Q565" s="54" t="s">
        <v>2886</v>
      </c>
      <c r="R565" s="54" t="s">
        <v>6547</v>
      </c>
      <c r="S565" s="54" t="s">
        <v>692</v>
      </c>
      <c r="T565" s="55" t="str">
        <f t="shared" si="61"/>
        <v>Mobiliários</v>
      </c>
      <c r="U565" s="55" t="str">
        <f t="shared" si="61"/>
        <v>Mobílias</v>
      </c>
      <c r="V565" s="55" t="str">
        <f t="shared" si="61"/>
        <v>Mob Hospital</v>
      </c>
      <c r="W565" s="54" t="s">
        <v>7259</v>
      </c>
      <c r="X565" s="84" t="str">
        <f t="shared" si="59"/>
        <v>Key-COD-CT-565</v>
      </c>
      <c r="Y565" s="84" t="s">
        <v>5565</v>
      </c>
      <c r="Z565" s="84" t="s">
        <v>692</v>
      </c>
      <c r="AA565" s="84" t="s">
        <v>5828</v>
      </c>
      <c r="AB565" s="84" t="s">
        <v>692</v>
      </c>
      <c r="AC565" s="84" t="s">
        <v>692</v>
      </c>
      <c r="AD565" s="54" t="s">
        <v>692</v>
      </c>
    </row>
    <row r="566" spans="1:30" ht="6.75" customHeight="1" x14ac:dyDescent="0.25">
      <c r="A566" s="85">
        <v>566</v>
      </c>
      <c r="B566" s="59" t="s">
        <v>5419</v>
      </c>
      <c r="C566" s="59" t="s">
        <v>2928</v>
      </c>
      <c r="D566" s="59" t="s">
        <v>2929</v>
      </c>
      <c r="E566" s="59" t="s">
        <v>2930</v>
      </c>
      <c r="F566" s="61" t="s">
        <v>2931</v>
      </c>
      <c r="G566" s="81" t="s">
        <v>692</v>
      </c>
      <c r="H566" s="81" t="s">
        <v>692</v>
      </c>
      <c r="I566" s="81" t="s">
        <v>692</v>
      </c>
      <c r="J566" s="81" t="s">
        <v>692</v>
      </c>
      <c r="K566" s="81" t="s">
        <v>692</v>
      </c>
      <c r="L566" s="53" t="str">
        <f t="shared" si="60"/>
        <v>Coberturas</v>
      </c>
      <c r="M566" s="53" t="str">
        <f t="shared" si="60"/>
        <v>Telhados</v>
      </c>
      <c r="N566" s="53" t="str">
        <f t="shared" si="58"/>
        <v>Formas</v>
      </c>
      <c r="O566" s="53" t="str">
        <f t="shared" si="58"/>
        <v>Telhado</v>
      </c>
      <c r="P566" s="54" t="s">
        <v>2932</v>
      </c>
      <c r="Q566" s="54" t="s">
        <v>2933</v>
      </c>
      <c r="R566" s="54" t="s">
        <v>6548</v>
      </c>
      <c r="S566" s="54" t="s">
        <v>692</v>
      </c>
      <c r="T566" s="55" t="str">
        <f t="shared" si="61"/>
        <v>Coberturas</v>
      </c>
      <c r="U566" s="55" t="str">
        <f t="shared" si="61"/>
        <v>Telhados</v>
      </c>
      <c r="V566" s="55" t="str">
        <f t="shared" si="61"/>
        <v>Formas</v>
      </c>
      <c r="W566" s="54" t="s">
        <v>7259</v>
      </c>
      <c r="X566" s="84" t="str">
        <f t="shared" si="59"/>
        <v>Key-COD-CT-566</v>
      </c>
      <c r="Y566" s="84" t="s">
        <v>5567</v>
      </c>
      <c r="Z566" s="84" t="s">
        <v>692</v>
      </c>
      <c r="AA566" s="84" t="s">
        <v>5829</v>
      </c>
      <c r="AB566" s="84" t="s">
        <v>692</v>
      </c>
      <c r="AC566" s="84" t="s">
        <v>692</v>
      </c>
      <c r="AD566" s="54" t="s">
        <v>692</v>
      </c>
    </row>
    <row r="567" spans="1:30" ht="6.75" customHeight="1" x14ac:dyDescent="0.25">
      <c r="A567" s="85">
        <v>567</v>
      </c>
      <c r="B567" s="59" t="s">
        <v>5419</v>
      </c>
      <c r="C567" s="59" t="s">
        <v>2928</v>
      </c>
      <c r="D567" s="59" t="s">
        <v>2929</v>
      </c>
      <c r="E567" s="59" t="s">
        <v>2930</v>
      </c>
      <c r="F567" s="61" t="s">
        <v>2934</v>
      </c>
      <c r="G567" s="81" t="s">
        <v>692</v>
      </c>
      <c r="H567" s="81" t="s">
        <v>692</v>
      </c>
      <c r="I567" s="81" t="s">
        <v>692</v>
      </c>
      <c r="J567" s="81" t="s">
        <v>692</v>
      </c>
      <c r="K567" s="81" t="s">
        <v>692</v>
      </c>
      <c r="L567" s="53" t="str">
        <f t="shared" si="60"/>
        <v>Coberturas</v>
      </c>
      <c r="M567" s="53" t="str">
        <f t="shared" si="60"/>
        <v>Telhados</v>
      </c>
      <c r="N567" s="53" t="str">
        <f t="shared" si="58"/>
        <v>Formas</v>
      </c>
      <c r="O567" s="53" t="str">
        <f t="shared" si="58"/>
        <v>Telhado Verde</v>
      </c>
      <c r="P567" s="54" t="s">
        <v>2935</v>
      </c>
      <c r="Q567" s="54" t="s">
        <v>2936</v>
      </c>
      <c r="R567" s="54" t="s">
        <v>6549</v>
      </c>
      <c r="S567" s="54" t="s">
        <v>692</v>
      </c>
      <c r="T567" s="55" t="str">
        <f t="shared" si="61"/>
        <v>Coberturas</v>
      </c>
      <c r="U567" s="55" t="str">
        <f t="shared" si="61"/>
        <v>Telhados</v>
      </c>
      <c r="V567" s="55" t="str">
        <f t="shared" si="61"/>
        <v>Formas</v>
      </c>
      <c r="W567" s="54" t="s">
        <v>7259</v>
      </c>
      <c r="X567" s="84" t="str">
        <f t="shared" si="59"/>
        <v>Key-COD-CT-567</v>
      </c>
      <c r="Y567" s="84" t="s">
        <v>5567</v>
      </c>
      <c r="Z567" s="84" t="s">
        <v>692</v>
      </c>
      <c r="AA567" s="84" t="s">
        <v>5829</v>
      </c>
      <c r="AB567" s="84" t="s">
        <v>692</v>
      </c>
      <c r="AC567" s="84" t="s">
        <v>692</v>
      </c>
      <c r="AD567" s="54" t="s">
        <v>692</v>
      </c>
    </row>
    <row r="568" spans="1:30" ht="6.75" customHeight="1" x14ac:dyDescent="0.25">
      <c r="A568" s="85">
        <v>568</v>
      </c>
      <c r="B568" s="59" t="s">
        <v>5419</v>
      </c>
      <c r="C568" s="59" t="s">
        <v>2928</v>
      </c>
      <c r="D568" s="59" t="s">
        <v>2929</v>
      </c>
      <c r="E568" s="59" t="s">
        <v>2930</v>
      </c>
      <c r="F568" s="61" t="s">
        <v>2937</v>
      </c>
      <c r="G568" s="81" t="s">
        <v>692</v>
      </c>
      <c r="H568" s="81" t="s">
        <v>692</v>
      </c>
      <c r="I568" s="81" t="s">
        <v>692</v>
      </c>
      <c r="J568" s="81" t="s">
        <v>692</v>
      </c>
      <c r="K568" s="81" t="s">
        <v>692</v>
      </c>
      <c r="L568" s="53" t="str">
        <f t="shared" si="60"/>
        <v>Coberturas</v>
      </c>
      <c r="M568" s="53" t="str">
        <f t="shared" si="60"/>
        <v>Telhados</v>
      </c>
      <c r="N568" s="53" t="str">
        <f t="shared" si="58"/>
        <v>Formas</v>
      </c>
      <c r="O568" s="53" t="str">
        <f t="shared" si="58"/>
        <v>Telhado Barril</v>
      </c>
      <c r="P568" s="54" t="s">
        <v>2938</v>
      </c>
      <c r="Q568" s="54" t="s">
        <v>2939</v>
      </c>
      <c r="R568" s="54" t="s">
        <v>6550</v>
      </c>
      <c r="S568" s="54" t="s">
        <v>692</v>
      </c>
      <c r="T568" s="55" t="str">
        <f t="shared" si="61"/>
        <v>Coberturas</v>
      </c>
      <c r="U568" s="55" t="str">
        <f t="shared" si="61"/>
        <v>Telhados</v>
      </c>
      <c r="V568" s="55" t="str">
        <f t="shared" si="61"/>
        <v>Formas</v>
      </c>
      <c r="W568" s="54" t="s">
        <v>7259</v>
      </c>
      <c r="X568" s="84" t="str">
        <f t="shared" si="59"/>
        <v>Key-COD-CT-568</v>
      </c>
      <c r="Y568" s="84" t="s">
        <v>5567</v>
      </c>
      <c r="Z568" s="84" t="s">
        <v>692</v>
      </c>
      <c r="AA568" s="84" t="s">
        <v>5830</v>
      </c>
      <c r="AB568" s="84" t="s">
        <v>692</v>
      </c>
      <c r="AC568" s="84" t="s">
        <v>692</v>
      </c>
      <c r="AD568" s="54" t="s">
        <v>692</v>
      </c>
    </row>
    <row r="569" spans="1:30" ht="6.75" customHeight="1" x14ac:dyDescent="0.25">
      <c r="A569" s="85">
        <v>569</v>
      </c>
      <c r="B569" s="59" t="s">
        <v>5419</v>
      </c>
      <c r="C569" s="59" t="s">
        <v>2928</v>
      </c>
      <c r="D569" s="59" t="s">
        <v>2929</v>
      </c>
      <c r="E569" s="59" t="s">
        <v>2930</v>
      </c>
      <c r="F569" s="61" t="s">
        <v>2940</v>
      </c>
      <c r="G569" s="81" t="s">
        <v>692</v>
      </c>
      <c r="H569" s="81" t="s">
        <v>692</v>
      </c>
      <c r="I569" s="81" t="s">
        <v>692</v>
      </c>
      <c r="J569" s="81" t="s">
        <v>692</v>
      </c>
      <c r="K569" s="81" t="s">
        <v>692</v>
      </c>
      <c r="L569" s="53" t="str">
        <f t="shared" si="60"/>
        <v>Coberturas</v>
      </c>
      <c r="M569" s="53" t="str">
        <f t="shared" si="60"/>
        <v>Telhados</v>
      </c>
      <c r="N569" s="53" t="str">
        <f t="shared" si="58"/>
        <v>Formas</v>
      </c>
      <c r="O569" s="53" t="str">
        <f t="shared" si="58"/>
        <v>Telhado Borboleta</v>
      </c>
      <c r="P569" s="54" t="s">
        <v>2865</v>
      </c>
      <c r="Q569" s="54" t="s">
        <v>2941</v>
      </c>
      <c r="R569" s="54" t="s">
        <v>6526</v>
      </c>
      <c r="S569" s="54" t="s">
        <v>692</v>
      </c>
      <c r="T569" s="55" t="str">
        <f t="shared" si="61"/>
        <v>Coberturas</v>
      </c>
      <c r="U569" s="55" t="str">
        <f t="shared" si="61"/>
        <v>Telhados</v>
      </c>
      <c r="V569" s="55" t="str">
        <f t="shared" si="61"/>
        <v>Formas</v>
      </c>
      <c r="W569" s="54" t="s">
        <v>7259</v>
      </c>
      <c r="X569" s="84" t="str">
        <f t="shared" si="59"/>
        <v>Key-COD-CT-569</v>
      </c>
      <c r="Y569" s="84" t="s">
        <v>5567</v>
      </c>
      <c r="Z569" s="84" t="s">
        <v>692</v>
      </c>
      <c r="AA569" s="84" t="s">
        <v>5831</v>
      </c>
      <c r="AB569" s="84" t="s">
        <v>692</v>
      </c>
      <c r="AC569" s="84" t="s">
        <v>692</v>
      </c>
      <c r="AD569" s="54" t="s">
        <v>692</v>
      </c>
    </row>
    <row r="570" spans="1:30" ht="6.75" customHeight="1" x14ac:dyDescent="0.25">
      <c r="A570" s="85">
        <v>570</v>
      </c>
      <c r="B570" s="59" t="s">
        <v>5419</v>
      </c>
      <c r="C570" s="59" t="s">
        <v>2928</v>
      </c>
      <c r="D570" s="59" t="s">
        <v>2929</v>
      </c>
      <c r="E570" s="59" t="s">
        <v>2930</v>
      </c>
      <c r="F570" s="61" t="s">
        <v>2942</v>
      </c>
      <c r="G570" s="81" t="s">
        <v>692</v>
      </c>
      <c r="H570" s="81" t="s">
        <v>692</v>
      </c>
      <c r="I570" s="81" t="s">
        <v>692</v>
      </c>
      <c r="J570" s="81" t="s">
        <v>692</v>
      </c>
      <c r="K570" s="81" t="s">
        <v>692</v>
      </c>
      <c r="L570" s="53" t="str">
        <f t="shared" si="60"/>
        <v>Coberturas</v>
      </c>
      <c r="M570" s="53" t="str">
        <f t="shared" si="60"/>
        <v>Telhados</v>
      </c>
      <c r="N570" s="53" t="str">
        <f t="shared" si="58"/>
        <v>Formas</v>
      </c>
      <c r="O570" s="53" t="str">
        <f t="shared" si="58"/>
        <v>Telhado Cúpula</v>
      </c>
      <c r="P570" s="54" t="s">
        <v>2943</v>
      </c>
      <c r="Q570" s="54" t="s">
        <v>2944</v>
      </c>
      <c r="R570" s="54" t="s">
        <v>6551</v>
      </c>
      <c r="S570" s="54" t="s">
        <v>692</v>
      </c>
      <c r="T570" s="55" t="str">
        <f t="shared" si="61"/>
        <v>Coberturas</v>
      </c>
      <c r="U570" s="55" t="str">
        <f t="shared" si="61"/>
        <v>Telhados</v>
      </c>
      <c r="V570" s="55" t="str">
        <f t="shared" si="61"/>
        <v>Formas</v>
      </c>
      <c r="W570" s="54" t="s">
        <v>7259</v>
      </c>
      <c r="X570" s="84" t="str">
        <f t="shared" si="59"/>
        <v>Key-COD-CT-570</v>
      </c>
      <c r="Y570" s="84" t="s">
        <v>5567</v>
      </c>
      <c r="Z570" s="84" t="s">
        <v>692</v>
      </c>
      <c r="AA570" s="84" t="s">
        <v>5832</v>
      </c>
      <c r="AB570" s="84" t="s">
        <v>692</v>
      </c>
      <c r="AC570" s="84" t="s">
        <v>692</v>
      </c>
      <c r="AD570" s="54" t="s">
        <v>692</v>
      </c>
    </row>
    <row r="571" spans="1:30" ht="6.75" customHeight="1" x14ac:dyDescent="0.25">
      <c r="A571" s="85">
        <v>571</v>
      </c>
      <c r="B571" s="59" t="s">
        <v>5419</v>
      </c>
      <c r="C571" s="59" t="s">
        <v>2928</v>
      </c>
      <c r="D571" s="59" t="s">
        <v>2929</v>
      </c>
      <c r="E571" s="59" t="s">
        <v>2930</v>
      </c>
      <c r="F571" s="61" t="s">
        <v>2945</v>
      </c>
      <c r="G571" s="81" t="s">
        <v>692</v>
      </c>
      <c r="H571" s="81" t="s">
        <v>692</v>
      </c>
      <c r="I571" s="81" t="s">
        <v>692</v>
      </c>
      <c r="J571" s="81" t="s">
        <v>692</v>
      </c>
      <c r="K571" s="81" t="s">
        <v>692</v>
      </c>
      <c r="L571" s="53" t="str">
        <f t="shared" si="60"/>
        <v>Coberturas</v>
      </c>
      <c r="M571" s="53" t="str">
        <f t="shared" si="60"/>
        <v>Telhados</v>
      </c>
      <c r="N571" s="53" t="str">
        <f t="shared" ref="N571:O634" si="62">(SUBSTITUTE(SUBSTITUTE(CONCATENATE("",E571),"."," ")," De "," de "))</f>
        <v>Formas</v>
      </c>
      <c r="O571" s="53" t="str">
        <f t="shared" si="62"/>
        <v>Telhado Plano</v>
      </c>
      <c r="P571" s="54" t="s">
        <v>2946</v>
      </c>
      <c r="Q571" s="54" t="s">
        <v>2947</v>
      </c>
      <c r="R571" s="54" t="s">
        <v>6552</v>
      </c>
      <c r="S571" s="54" t="s">
        <v>692</v>
      </c>
      <c r="T571" s="55" t="str">
        <f t="shared" si="61"/>
        <v>Coberturas</v>
      </c>
      <c r="U571" s="55" t="str">
        <f t="shared" si="61"/>
        <v>Telhados</v>
      </c>
      <c r="V571" s="55" t="str">
        <f t="shared" si="61"/>
        <v>Formas</v>
      </c>
      <c r="W571" s="54" t="s">
        <v>7259</v>
      </c>
      <c r="X571" s="84" t="str">
        <f t="shared" si="59"/>
        <v>Key-COD-CT-571</v>
      </c>
      <c r="Y571" s="84" t="s">
        <v>5567</v>
      </c>
      <c r="Z571" s="84" t="s">
        <v>692</v>
      </c>
      <c r="AA571" s="84" t="s">
        <v>5833</v>
      </c>
      <c r="AB571" s="84" t="s">
        <v>692</v>
      </c>
      <c r="AC571" s="84" t="s">
        <v>692</v>
      </c>
      <c r="AD571" s="54" t="s">
        <v>692</v>
      </c>
    </row>
    <row r="572" spans="1:30" ht="6.75" customHeight="1" x14ac:dyDescent="0.25">
      <c r="A572" s="85">
        <v>572</v>
      </c>
      <c r="B572" s="59" t="s">
        <v>5419</v>
      </c>
      <c r="C572" s="59" t="s">
        <v>2928</v>
      </c>
      <c r="D572" s="59" t="s">
        <v>2929</v>
      </c>
      <c r="E572" s="59" t="s">
        <v>2930</v>
      </c>
      <c r="F572" s="61" t="s">
        <v>2948</v>
      </c>
      <c r="G572" s="81" t="s">
        <v>692</v>
      </c>
      <c r="H572" s="81" t="s">
        <v>692</v>
      </c>
      <c r="I572" s="81" t="s">
        <v>692</v>
      </c>
      <c r="J572" s="81" t="s">
        <v>692</v>
      </c>
      <c r="K572" s="81" t="s">
        <v>692</v>
      </c>
      <c r="L572" s="53" t="str">
        <f t="shared" si="60"/>
        <v>Coberturas</v>
      </c>
      <c r="M572" s="53" t="str">
        <f t="shared" si="60"/>
        <v>Telhados</v>
      </c>
      <c r="N572" s="53" t="str">
        <f t="shared" si="62"/>
        <v>Formas</v>
      </c>
      <c r="O572" s="53" t="str">
        <f t="shared" si="62"/>
        <v>Telhado Livre</v>
      </c>
      <c r="P572" s="54" t="s">
        <v>2949</v>
      </c>
      <c r="Q572" s="54" t="s">
        <v>2950</v>
      </c>
      <c r="R572" s="54" t="s">
        <v>6553</v>
      </c>
      <c r="S572" s="54" t="s">
        <v>692</v>
      </c>
      <c r="T572" s="55" t="str">
        <f t="shared" si="61"/>
        <v>Coberturas</v>
      </c>
      <c r="U572" s="55" t="str">
        <f t="shared" si="61"/>
        <v>Telhados</v>
      </c>
      <c r="V572" s="55" t="str">
        <f t="shared" si="61"/>
        <v>Formas</v>
      </c>
      <c r="W572" s="54" t="s">
        <v>7259</v>
      </c>
      <c r="X572" s="84" t="str">
        <f t="shared" si="59"/>
        <v>Key-COD-CT-572</v>
      </c>
      <c r="Y572" s="84" t="s">
        <v>5567</v>
      </c>
      <c r="Z572" s="84" t="s">
        <v>692</v>
      </c>
      <c r="AA572" s="84" t="s">
        <v>5834</v>
      </c>
      <c r="AB572" s="84" t="s">
        <v>692</v>
      </c>
      <c r="AC572" s="84" t="s">
        <v>692</v>
      </c>
      <c r="AD572" s="54" t="s">
        <v>692</v>
      </c>
    </row>
    <row r="573" spans="1:30" ht="6.75" customHeight="1" x14ac:dyDescent="0.25">
      <c r="A573" s="85">
        <v>573</v>
      </c>
      <c r="B573" s="59" t="s">
        <v>5419</v>
      </c>
      <c r="C573" s="59" t="s">
        <v>2928</v>
      </c>
      <c r="D573" s="59" t="s">
        <v>2929</v>
      </c>
      <c r="E573" s="59" t="s">
        <v>2930</v>
      </c>
      <c r="F573" s="61" t="s">
        <v>2951</v>
      </c>
      <c r="G573" s="81" t="s">
        <v>692</v>
      </c>
      <c r="H573" s="81" t="s">
        <v>692</v>
      </c>
      <c r="I573" s="81" t="s">
        <v>692</v>
      </c>
      <c r="J573" s="81" t="s">
        <v>692</v>
      </c>
      <c r="K573" s="81" t="s">
        <v>692</v>
      </c>
      <c r="L573" s="53" t="str">
        <f t="shared" si="60"/>
        <v>Coberturas</v>
      </c>
      <c r="M573" s="53" t="str">
        <f t="shared" si="60"/>
        <v>Telhados</v>
      </c>
      <c r="N573" s="53" t="str">
        <f t="shared" si="62"/>
        <v>Formas</v>
      </c>
      <c r="O573" s="53" t="str">
        <f t="shared" si="62"/>
        <v>Telhado Inclinado</v>
      </c>
      <c r="P573" s="54" t="s">
        <v>2952</v>
      </c>
      <c r="Q573" s="54" t="s">
        <v>2953</v>
      </c>
      <c r="R573" s="54" t="s">
        <v>6554</v>
      </c>
      <c r="S573" s="54" t="s">
        <v>692</v>
      </c>
      <c r="T573" s="55" t="str">
        <f t="shared" si="61"/>
        <v>Coberturas</v>
      </c>
      <c r="U573" s="55" t="str">
        <f t="shared" si="61"/>
        <v>Telhados</v>
      </c>
      <c r="V573" s="55" t="str">
        <f t="shared" si="61"/>
        <v>Formas</v>
      </c>
      <c r="W573" s="54" t="s">
        <v>7259</v>
      </c>
      <c r="X573" s="84" t="str">
        <f t="shared" si="59"/>
        <v>Key-COD-CT-573</v>
      </c>
      <c r="Y573" s="84" t="s">
        <v>5567</v>
      </c>
      <c r="Z573" s="84" t="s">
        <v>692</v>
      </c>
      <c r="AA573" s="84" t="s">
        <v>5835</v>
      </c>
      <c r="AB573" s="84" t="s">
        <v>692</v>
      </c>
      <c r="AC573" s="84" t="s">
        <v>692</v>
      </c>
      <c r="AD573" s="54" t="s">
        <v>692</v>
      </c>
    </row>
    <row r="574" spans="1:30" ht="6.75" customHeight="1" x14ac:dyDescent="0.25">
      <c r="A574" s="85">
        <v>574</v>
      </c>
      <c r="B574" s="59" t="s">
        <v>5419</v>
      </c>
      <c r="C574" s="59" t="s">
        <v>2928</v>
      </c>
      <c r="D574" s="59" t="s">
        <v>2929</v>
      </c>
      <c r="E574" s="59" t="s">
        <v>2930</v>
      </c>
      <c r="F574" s="61" t="s">
        <v>2954</v>
      </c>
      <c r="G574" s="81" t="s">
        <v>692</v>
      </c>
      <c r="H574" s="81" t="s">
        <v>692</v>
      </c>
      <c r="I574" s="81" t="s">
        <v>692</v>
      </c>
      <c r="J574" s="81" t="s">
        <v>692</v>
      </c>
      <c r="K574" s="81" t="s">
        <v>692</v>
      </c>
      <c r="L574" s="53" t="str">
        <f t="shared" si="60"/>
        <v>Coberturas</v>
      </c>
      <c r="M574" s="53" t="str">
        <f t="shared" si="60"/>
        <v>Telhados</v>
      </c>
      <c r="N574" s="53" t="str">
        <f t="shared" si="62"/>
        <v>Formas</v>
      </c>
      <c r="O574" s="53" t="str">
        <f t="shared" si="62"/>
        <v>Telhado 2 Aguas</v>
      </c>
      <c r="P574" s="54" t="s">
        <v>2955</v>
      </c>
      <c r="Q574" s="54" t="s">
        <v>2956</v>
      </c>
      <c r="R574" s="54" t="s">
        <v>6555</v>
      </c>
      <c r="S574" s="54" t="s">
        <v>692</v>
      </c>
      <c r="T574" s="55" t="str">
        <f t="shared" si="61"/>
        <v>Coberturas</v>
      </c>
      <c r="U574" s="55" t="str">
        <f t="shared" si="61"/>
        <v>Telhados</v>
      </c>
      <c r="V574" s="55" t="str">
        <f t="shared" si="61"/>
        <v>Formas</v>
      </c>
      <c r="W574" s="54" t="s">
        <v>7259</v>
      </c>
      <c r="X574" s="84" t="str">
        <f t="shared" si="59"/>
        <v>Key-COD-CT-574</v>
      </c>
      <c r="Y574" s="84" t="s">
        <v>5567</v>
      </c>
      <c r="Z574" s="84" t="s">
        <v>692</v>
      </c>
      <c r="AA574" s="84" t="s">
        <v>5836</v>
      </c>
      <c r="AB574" s="84" t="s">
        <v>692</v>
      </c>
      <c r="AC574" s="84" t="s">
        <v>692</v>
      </c>
      <c r="AD574" s="54" t="s">
        <v>692</v>
      </c>
    </row>
    <row r="575" spans="1:30" ht="6.75" customHeight="1" x14ac:dyDescent="0.25">
      <c r="A575" s="85">
        <v>575</v>
      </c>
      <c r="B575" s="59" t="s">
        <v>5419</v>
      </c>
      <c r="C575" s="59" t="s">
        <v>2928</v>
      </c>
      <c r="D575" s="59" t="s">
        <v>2929</v>
      </c>
      <c r="E575" s="59" t="s">
        <v>2930</v>
      </c>
      <c r="F575" s="61" t="s">
        <v>2957</v>
      </c>
      <c r="G575" s="81" t="s">
        <v>692</v>
      </c>
      <c r="H575" s="81" t="s">
        <v>692</v>
      </c>
      <c r="I575" s="81" t="s">
        <v>692</v>
      </c>
      <c r="J575" s="81" t="s">
        <v>692</v>
      </c>
      <c r="K575" s="81" t="s">
        <v>692</v>
      </c>
      <c r="L575" s="53" t="str">
        <f t="shared" si="60"/>
        <v>Coberturas</v>
      </c>
      <c r="M575" s="53" t="str">
        <f t="shared" si="60"/>
        <v>Telhados</v>
      </c>
      <c r="N575" s="53" t="str">
        <f t="shared" si="62"/>
        <v>Formas</v>
      </c>
      <c r="O575" s="53" t="str">
        <f t="shared" si="62"/>
        <v>Telhado 4 Aguas</v>
      </c>
      <c r="P575" s="54" t="s">
        <v>2958</v>
      </c>
      <c r="Q575" s="54" t="s">
        <v>2959</v>
      </c>
      <c r="R575" s="54" t="s">
        <v>6556</v>
      </c>
      <c r="S575" s="54" t="s">
        <v>692</v>
      </c>
      <c r="T575" s="55" t="str">
        <f t="shared" si="61"/>
        <v>Coberturas</v>
      </c>
      <c r="U575" s="55" t="str">
        <f t="shared" si="61"/>
        <v>Telhados</v>
      </c>
      <c r="V575" s="55" t="str">
        <f t="shared" si="61"/>
        <v>Formas</v>
      </c>
      <c r="W575" s="54" t="s">
        <v>7259</v>
      </c>
      <c r="X575" s="84" t="str">
        <f t="shared" si="59"/>
        <v>Key-COD-CT-575</v>
      </c>
      <c r="Y575" s="84" t="s">
        <v>5567</v>
      </c>
      <c r="Z575" s="84" t="s">
        <v>692</v>
      </c>
      <c r="AA575" s="84" t="s">
        <v>5837</v>
      </c>
      <c r="AB575" s="84" t="s">
        <v>692</v>
      </c>
      <c r="AC575" s="84" t="s">
        <v>692</v>
      </c>
      <c r="AD575" s="54" t="s">
        <v>692</v>
      </c>
    </row>
    <row r="576" spans="1:30" ht="6.75" customHeight="1" x14ac:dyDescent="0.25">
      <c r="A576" s="85">
        <v>576</v>
      </c>
      <c r="B576" s="59" t="s">
        <v>5419</v>
      </c>
      <c r="C576" s="59" t="s">
        <v>2928</v>
      </c>
      <c r="D576" s="59" t="s">
        <v>2929</v>
      </c>
      <c r="E576" s="59" t="s">
        <v>2930</v>
      </c>
      <c r="F576" s="61" t="s">
        <v>2960</v>
      </c>
      <c r="G576" s="81" t="s">
        <v>692</v>
      </c>
      <c r="H576" s="81" t="s">
        <v>692</v>
      </c>
      <c r="I576" s="81" t="s">
        <v>692</v>
      </c>
      <c r="J576" s="81" t="s">
        <v>692</v>
      </c>
      <c r="K576" s="81" t="s">
        <v>692</v>
      </c>
      <c r="L576" s="53" t="str">
        <f t="shared" si="60"/>
        <v>Coberturas</v>
      </c>
      <c r="M576" s="53" t="str">
        <f t="shared" si="60"/>
        <v>Telhados</v>
      </c>
      <c r="N576" s="53" t="str">
        <f t="shared" si="62"/>
        <v>Formas</v>
      </c>
      <c r="O576" s="53" t="str">
        <f t="shared" si="62"/>
        <v>Telhado Agua Furtada</v>
      </c>
      <c r="P576" s="54" t="s">
        <v>2961</v>
      </c>
      <c r="Q576" s="54" t="s">
        <v>2962</v>
      </c>
      <c r="R576" s="54" t="s">
        <v>6557</v>
      </c>
      <c r="S576" s="54" t="s">
        <v>692</v>
      </c>
      <c r="T576" s="55" t="str">
        <f t="shared" si="61"/>
        <v>Coberturas</v>
      </c>
      <c r="U576" s="55" t="str">
        <f t="shared" si="61"/>
        <v>Telhados</v>
      </c>
      <c r="V576" s="55" t="str">
        <f t="shared" si="61"/>
        <v>Formas</v>
      </c>
      <c r="W576" s="54" t="s">
        <v>7259</v>
      </c>
      <c r="X576" s="84" t="str">
        <f t="shared" si="59"/>
        <v>Key-COD-CT-576</v>
      </c>
      <c r="Y576" s="84" t="s">
        <v>5567</v>
      </c>
      <c r="Z576" s="84" t="s">
        <v>692</v>
      </c>
      <c r="AA576" s="84" t="s">
        <v>5838</v>
      </c>
      <c r="AB576" s="84" t="s">
        <v>692</v>
      </c>
      <c r="AC576" s="84" t="s">
        <v>692</v>
      </c>
      <c r="AD576" s="54" t="s">
        <v>692</v>
      </c>
    </row>
    <row r="577" spans="1:30" ht="6.75" customHeight="1" x14ac:dyDescent="0.25">
      <c r="A577" s="85">
        <v>577</v>
      </c>
      <c r="B577" s="59" t="s">
        <v>5419</v>
      </c>
      <c r="C577" s="59" t="s">
        <v>2928</v>
      </c>
      <c r="D577" s="59" t="s">
        <v>2929</v>
      </c>
      <c r="E577" s="59" t="s">
        <v>2930</v>
      </c>
      <c r="F577" s="61" t="s">
        <v>2963</v>
      </c>
      <c r="G577" s="81" t="s">
        <v>692</v>
      </c>
      <c r="H577" s="81" t="s">
        <v>692</v>
      </c>
      <c r="I577" s="81" t="s">
        <v>692</v>
      </c>
      <c r="J577" s="81" t="s">
        <v>692</v>
      </c>
      <c r="K577" s="81" t="s">
        <v>692</v>
      </c>
      <c r="L577" s="53" t="str">
        <f t="shared" si="60"/>
        <v>Coberturas</v>
      </c>
      <c r="M577" s="53" t="str">
        <f t="shared" si="60"/>
        <v>Telhados</v>
      </c>
      <c r="N577" s="53" t="str">
        <f t="shared" si="62"/>
        <v>Formas</v>
      </c>
      <c r="O577" s="53" t="str">
        <f t="shared" si="62"/>
        <v>Telhado Mansarda</v>
      </c>
      <c r="P577" s="54" t="s">
        <v>2964</v>
      </c>
      <c r="Q577" s="54" t="s">
        <v>2965</v>
      </c>
      <c r="R577" s="54" t="s">
        <v>6558</v>
      </c>
      <c r="S577" s="54" t="s">
        <v>692</v>
      </c>
      <c r="T577" s="55" t="str">
        <f t="shared" si="61"/>
        <v>Coberturas</v>
      </c>
      <c r="U577" s="55" t="str">
        <f t="shared" si="61"/>
        <v>Telhados</v>
      </c>
      <c r="V577" s="55" t="str">
        <f t="shared" si="61"/>
        <v>Formas</v>
      </c>
      <c r="W577" s="54" t="s">
        <v>7259</v>
      </c>
      <c r="X577" s="84" t="str">
        <f t="shared" si="59"/>
        <v>Key-COD-CT-577</v>
      </c>
      <c r="Y577" s="84" t="s">
        <v>5567</v>
      </c>
      <c r="Z577" s="84" t="s">
        <v>692</v>
      </c>
      <c r="AA577" s="84" t="s">
        <v>5839</v>
      </c>
      <c r="AB577" s="84" t="s">
        <v>692</v>
      </c>
      <c r="AC577" s="84" t="s">
        <v>692</v>
      </c>
      <c r="AD577" s="54" t="s">
        <v>692</v>
      </c>
    </row>
    <row r="578" spans="1:30" ht="6.75" customHeight="1" x14ac:dyDescent="0.25">
      <c r="A578" s="85">
        <v>578</v>
      </c>
      <c r="B578" s="59" t="s">
        <v>5419</v>
      </c>
      <c r="C578" s="59" t="s">
        <v>2928</v>
      </c>
      <c r="D578" s="59" t="s">
        <v>2929</v>
      </c>
      <c r="E578" s="59" t="s">
        <v>2930</v>
      </c>
      <c r="F578" s="61" t="s">
        <v>2966</v>
      </c>
      <c r="G578" s="81" t="s">
        <v>692</v>
      </c>
      <c r="H578" s="81" t="s">
        <v>692</v>
      </c>
      <c r="I578" s="81" t="s">
        <v>692</v>
      </c>
      <c r="J578" s="81" t="s">
        <v>692</v>
      </c>
      <c r="K578" s="81" t="s">
        <v>692</v>
      </c>
      <c r="L578" s="53" t="str">
        <f t="shared" si="60"/>
        <v>Coberturas</v>
      </c>
      <c r="M578" s="53" t="str">
        <f t="shared" si="60"/>
        <v>Telhados</v>
      </c>
      <c r="N578" s="53" t="str">
        <f t="shared" si="62"/>
        <v>Formas</v>
      </c>
      <c r="O578" s="53" t="str">
        <f t="shared" si="62"/>
        <v>Telhado Mansarda Americana</v>
      </c>
      <c r="P578" s="54" t="s">
        <v>2955</v>
      </c>
      <c r="Q578" s="54" t="s">
        <v>2967</v>
      </c>
      <c r="R578" s="54" t="s">
        <v>6555</v>
      </c>
      <c r="S578" s="54" t="s">
        <v>692</v>
      </c>
      <c r="T578" s="55" t="str">
        <f t="shared" si="61"/>
        <v>Coberturas</v>
      </c>
      <c r="U578" s="55" t="str">
        <f t="shared" si="61"/>
        <v>Telhados</v>
      </c>
      <c r="V578" s="55" t="str">
        <f t="shared" si="61"/>
        <v>Formas</v>
      </c>
      <c r="W578" s="54" t="s">
        <v>7259</v>
      </c>
      <c r="X578" s="84" t="str">
        <f t="shared" si="59"/>
        <v>Key-COD-CT-578</v>
      </c>
      <c r="Y578" s="84" t="s">
        <v>5567</v>
      </c>
      <c r="Z578" s="84" t="s">
        <v>692</v>
      </c>
      <c r="AA578" s="84" t="s">
        <v>5840</v>
      </c>
      <c r="AB578" s="84" t="s">
        <v>692</v>
      </c>
      <c r="AC578" s="84" t="s">
        <v>692</v>
      </c>
      <c r="AD578" s="54" t="s">
        <v>692</v>
      </c>
    </row>
    <row r="579" spans="1:30" ht="6.75" customHeight="1" x14ac:dyDescent="0.25">
      <c r="A579" s="85">
        <v>579</v>
      </c>
      <c r="B579" s="59" t="s">
        <v>5419</v>
      </c>
      <c r="C579" s="59" t="s">
        <v>2928</v>
      </c>
      <c r="D579" s="59" t="s">
        <v>2929</v>
      </c>
      <c r="E579" s="59" t="s">
        <v>2930</v>
      </c>
      <c r="F579" s="61" t="s">
        <v>2968</v>
      </c>
      <c r="G579" s="81" t="s">
        <v>692</v>
      </c>
      <c r="H579" s="81" t="s">
        <v>692</v>
      </c>
      <c r="I579" s="81" t="s">
        <v>692</v>
      </c>
      <c r="J579" s="81" t="s">
        <v>692</v>
      </c>
      <c r="K579" s="81" t="s">
        <v>692</v>
      </c>
      <c r="L579" s="53" t="str">
        <f t="shared" si="60"/>
        <v>Coberturas</v>
      </c>
      <c r="M579" s="53" t="str">
        <f t="shared" si="60"/>
        <v>Telhados</v>
      </c>
      <c r="N579" s="53" t="str">
        <f t="shared" si="62"/>
        <v>Formas</v>
      </c>
      <c r="O579" s="53" t="str">
        <f t="shared" si="62"/>
        <v>Telhado Pavilhão</v>
      </c>
      <c r="P579" s="54" t="s">
        <v>2969</v>
      </c>
      <c r="Q579" s="54" t="s">
        <v>2970</v>
      </c>
      <c r="R579" s="54" t="s">
        <v>6559</v>
      </c>
      <c r="S579" s="54" t="s">
        <v>692</v>
      </c>
      <c r="T579" s="55" t="str">
        <f t="shared" si="61"/>
        <v>Coberturas</v>
      </c>
      <c r="U579" s="55" t="str">
        <f t="shared" si="61"/>
        <v>Telhados</v>
      </c>
      <c r="V579" s="55" t="str">
        <f t="shared" si="61"/>
        <v>Formas</v>
      </c>
      <c r="W579" s="54" t="s">
        <v>7259</v>
      </c>
      <c r="X579" s="84" t="str">
        <f t="shared" ref="X579:X642" si="63">CONCATENATE("Key-COD-CT-",A579)</f>
        <v>Key-COD-CT-579</v>
      </c>
      <c r="Y579" s="84" t="s">
        <v>5567</v>
      </c>
      <c r="Z579" s="84" t="s">
        <v>692</v>
      </c>
      <c r="AA579" s="84" t="s">
        <v>5841</v>
      </c>
      <c r="AB579" s="84" t="s">
        <v>692</v>
      </c>
      <c r="AC579" s="84" t="s">
        <v>692</v>
      </c>
      <c r="AD579" s="54" t="s">
        <v>692</v>
      </c>
    </row>
    <row r="580" spans="1:30" ht="6.75" customHeight="1" x14ac:dyDescent="0.25">
      <c r="A580" s="85">
        <v>580</v>
      </c>
      <c r="B580" s="59" t="s">
        <v>5419</v>
      </c>
      <c r="C580" s="59" t="s">
        <v>2928</v>
      </c>
      <c r="D580" s="59" t="s">
        <v>2929</v>
      </c>
      <c r="E580" s="59" t="s">
        <v>2930</v>
      </c>
      <c r="F580" s="61" t="s">
        <v>2971</v>
      </c>
      <c r="G580" s="81" t="s">
        <v>692</v>
      </c>
      <c r="H580" s="81" t="s">
        <v>692</v>
      </c>
      <c r="I580" s="81" t="s">
        <v>692</v>
      </c>
      <c r="J580" s="81" t="s">
        <v>692</v>
      </c>
      <c r="K580" s="81" t="s">
        <v>692</v>
      </c>
      <c r="L580" s="53" t="str">
        <f t="shared" si="60"/>
        <v>Coberturas</v>
      </c>
      <c r="M580" s="53" t="str">
        <f t="shared" si="60"/>
        <v>Telhados</v>
      </c>
      <c r="N580" s="53" t="str">
        <f t="shared" si="62"/>
        <v>Formas</v>
      </c>
      <c r="O580" s="53" t="str">
        <f t="shared" si="62"/>
        <v>Telhado Arco Iris</v>
      </c>
      <c r="P580" s="54" t="s">
        <v>2972</v>
      </c>
      <c r="Q580" s="54" t="s">
        <v>2973</v>
      </c>
      <c r="R580" s="54" t="s">
        <v>6560</v>
      </c>
      <c r="S580" s="54" t="s">
        <v>692</v>
      </c>
      <c r="T580" s="55" t="str">
        <f t="shared" si="61"/>
        <v>Coberturas</v>
      </c>
      <c r="U580" s="55" t="str">
        <f t="shared" si="61"/>
        <v>Telhados</v>
      </c>
      <c r="V580" s="55" t="str">
        <f t="shared" si="61"/>
        <v>Formas</v>
      </c>
      <c r="W580" s="54" t="s">
        <v>7259</v>
      </c>
      <c r="X580" s="84" t="str">
        <f t="shared" si="63"/>
        <v>Key-COD-CT-580</v>
      </c>
      <c r="Y580" s="84" t="s">
        <v>5567</v>
      </c>
      <c r="Z580" s="84" t="s">
        <v>692</v>
      </c>
      <c r="AA580" s="84" t="s">
        <v>5842</v>
      </c>
      <c r="AB580" s="84" t="s">
        <v>692</v>
      </c>
      <c r="AC580" s="84" t="s">
        <v>692</v>
      </c>
      <c r="AD580" s="54" t="s">
        <v>692</v>
      </c>
    </row>
    <row r="581" spans="1:30" ht="6.75" customHeight="1" x14ac:dyDescent="0.25">
      <c r="A581" s="85">
        <v>581</v>
      </c>
      <c r="B581" s="59" t="s">
        <v>5419</v>
      </c>
      <c r="C581" s="59" t="s">
        <v>2928</v>
      </c>
      <c r="D581" s="59" t="s">
        <v>2929</v>
      </c>
      <c r="E581" s="59" t="s">
        <v>2974</v>
      </c>
      <c r="F581" s="80" t="s">
        <v>2975</v>
      </c>
      <c r="G581" s="81" t="s">
        <v>692</v>
      </c>
      <c r="H581" s="81" t="s">
        <v>692</v>
      </c>
      <c r="I581" s="81" t="s">
        <v>692</v>
      </c>
      <c r="J581" s="81" t="s">
        <v>692</v>
      </c>
      <c r="K581" s="81" t="s">
        <v>692</v>
      </c>
      <c r="L581" s="53" t="str">
        <f t="shared" si="60"/>
        <v>Coberturas</v>
      </c>
      <c r="M581" s="53" t="str">
        <f t="shared" si="60"/>
        <v>Telhados</v>
      </c>
      <c r="N581" s="53" t="str">
        <f t="shared" si="62"/>
        <v>Beiral</v>
      </c>
      <c r="O581" s="53" t="str">
        <f t="shared" si="62"/>
        <v>Beiral Frente</v>
      </c>
      <c r="P581" s="54" t="s">
        <v>2976</v>
      </c>
      <c r="Q581" s="54" t="s">
        <v>2977</v>
      </c>
      <c r="R581" s="54" t="s">
        <v>6561</v>
      </c>
      <c r="S581" s="54" t="s">
        <v>692</v>
      </c>
      <c r="T581" s="55" t="str">
        <f t="shared" si="61"/>
        <v>Coberturas</v>
      </c>
      <c r="U581" s="55" t="str">
        <f t="shared" si="61"/>
        <v>Telhados</v>
      </c>
      <c r="V581" s="55" t="str">
        <f t="shared" si="61"/>
        <v>Beiral</v>
      </c>
      <c r="W581" s="54" t="s">
        <v>7259</v>
      </c>
      <c r="X581" s="84" t="str">
        <f t="shared" si="63"/>
        <v>Key-COD-CT-581</v>
      </c>
      <c r="Y581" s="84" t="s">
        <v>5568</v>
      </c>
      <c r="Z581" s="84" t="s">
        <v>692</v>
      </c>
      <c r="AA581" s="84" t="s">
        <v>5829</v>
      </c>
      <c r="AB581" s="84" t="s">
        <v>692</v>
      </c>
      <c r="AC581" s="84" t="s">
        <v>692</v>
      </c>
      <c r="AD581" s="54" t="s">
        <v>692</v>
      </c>
    </row>
    <row r="582" spans="1:30" ht="6.75" customHeight="1" x14ac:dyDescent="0.25">
      <c r="A582" s="85">
        <v>582</v>
      </c>
      <c r="B582" s="59" t="s">
        <v>5419</v>
      </c>
      <c r="C582" s="59" t="s">
        <v>2928</v>
      </c>
      <c r="D582" s="59" t="s">
        <v>2929</v>
      </c>
      <c r="E582" s="59" t="s">
        <v>2974</v>
      </c>
      <c r="F582" s="80" t="s">
        <v>2978</v>
      </c>
      <c r="G582" s="81" t="s">
        <v>692</v>
      </c>
      <c r="H582" s="81" t="s">
        <v>692</v>
      </c>
      <c r="I582" s="81" t="s">
        <v>692</v>
      </c>
      <c r="J582" s="81" t="s">
        <v>692</v>
      </c>
      <c r="K582" s="81" t="s">
        <v>692</v>
      </c>
      <c r="L582" s="53" t="str">
        <f t="shared" si="60"/>
        <v>Coberturas</v>
      </c>
      <c r="M582" s="53" t="str">
        <f t="shared" si="60"/>
        <v>Telhados</v>
      </c>
      <c r="N582" s="53" t="str">
        <f t="shared" si="62"/>
        <v>Beiral</v>
      </c>
      <c r="O582" s="53" t="str">
        <f t="shared" si="62"/>
        <v>Beiral Forro</v>
      </c>
      <c r="P582" s="54" t="s">
        <v>2979</v>
      </c>
      <c r="Q582" s="54" t="s">
        <v>2980</v>
      </c>
      <c r="R582" s="54" t="s">
        <v>6562</v>
      </c>
      <c r="S582" s="54" t="s">
        <v>692</v>
      </c>
      <c r="T582" s="55" t="str">
        <f t="shared" si="61"/>
        <v>Coberturas</v>
      </c>
      <c r="U582" s="55" t="str">
        <f t="shared" si="61"/>
        <v>Telhados</v>
      </c>
      <c r="V582" s="55" t="str">
        <f t="shared" si="61"/>
        <v>Beiral</v>
      </c>
      <c r="W582" s="54" t="s">
        <v>7259</v>
      </c>
      <c r="X582" s="84" t="str">
        <f t="shared" si="63"/>
        <v>Key-COD-CT-582</v>
      </c>
      <c r="Y582" s="84" t="s">
        <v>5569</v>
      </c>
      <c r="Z582" s="84" t="s">
        <v>692</v>
      </c>
      <c r="AA582" s="84" t="s">
        <v>5829</v>
      </c>
      <c r="AB582" s="84" t="s">
        <v>692</v>
      </c>
      <c r="AC582" s="84" t="s">
        <v>692</v>
      </c>
      <c r="AD582" s="54" t="s">
        <v>692</v>
      </c>
    </row>
    <row r="583" spans="1:30" ht="6.75" customHeight="1" x14ac:dyDescent="0.25">
      <c r="A583" s="85">
        <v>583</v>
      </c>
      <c r="B583" s="59" t="s">
        <v>5419</v>
      </c>
      <c r="C583" s="59" t="s">
        <v>2928</v>
      </c>
      <c r="D583" s="59" t="s">
        <v>2929</v>
      </c>
      <c r="E583" s="59" t="s">
        <v>2981</v>
      </c>
      <c r="F583" s="80" t="s">
        <v>2982</v>
      </c>
      <c r="G583" s="81" t="s">
        <v>692</v>
      </c>
      <c r="H583" s="81" t="s">
        <v>692</v>
      </c>
      <c r="I583" s="81" t="s">
        <v>692</v>
      </c>
      <c r="J583" s="81" t="s">
        <v>692</v>
      </c>
      <c r="K583" s="81" t="s">
        <v>692</v>
      </c>
      <c r="L583" s="53" t="str">
        <f t="shared" ref="L583:M646" si="64">CONCATENATE("", C583)</f>
        <v>Coberturas</v>
      </c>
      <c r="M583" s="53" t="str">
        <f t="shared" si="64"/>
        <v>Telhados</v>
      </c>
      <c r="N583" s="53" t="str">
        <f t="shared" si="62"/>
        <v>Calhas</v>
      </c>
      <c r="O583" s="53" t="str">
        <f t="shared" si="62"/>
        <v>Calha Moldura</v>
      </c>
      <c r="P583" s="54" t="s">
        <v>2983</v>
      </c>
      <c r="Q583" s="54" t="s">
        <v>2984</v>
      </c>
      <c r="R583" s="54" t="s">
        <v>6563</v>
      </c>
      <c r="S583" s="54" t="s">
        <v>692</v>
      </c>
      <c r="T583" s="55" t="str">
        <f t="shared" si="61"/>
        <v>Coberturas</v>
      </c>
      <c r="U583" s="55" t="str">
        <f t="shared" si="61"/>
        <v>Telhados</v>
      </c>
      <c r="V583" s="55" t="str">
        <f t="shared" si="61"/>
        <v>Calhas</v>
      </c>
      <c r="W583" s="54" t="s">
        <v>7259</v>
      </c>
      <c r="X583" s="84" t="str">
        <f t="shared" si="63"/>
        <v>Key-COD-CT-583</v>
      </c>
      <c r="Y583" s="84" t="s">
        <v>5570</v>
      </c>
      <c r="Z583" s="84" t="s">
        <v>692</v>
      </c>
      <c r="AA583" s="84" t="s">
        <v>5829</v>
      </c>
      <c r="AB583" s="84" t="s">
        <v>692</v>
      </c>
      <c r="AC583" s="84" t="s">
        <v>692</v>
      </c>
      <c r="AD583" s="54" t="s">
        <v>692</v>
      </c>
    </row>
    <row r="584" spans="1:30" ht="6.75" customHeight="1" x14ac:dyDescent="0.25">
      <c r="A584" s="85">
        <v>584</v>
      </c>
      <c r="B584" s="59" t="s">
        <v>5419</v>
      </c>
      <c r="C584" s="59" t="s">
        <v>2928</v>
      </c>
      <c r="D584" s="59" t="s">
        <v>2929</v>
      </c>
      <c r="E584" s="59" t="s">
        <v>2981</v>
      </c>
      <c r="F584" s="80" t="s">
        <v>2985</v>
      </c>
      <c r="G584" s="81" t="s">
        <v>692</v>
      </c>
      <c r="H584" s="81" t="s">
        <v>692</v>
      </c>
      <c r="I584" s="81" t="s">
        <v>692</v>
      </c>
      <c r="J584" s="81" t="s">
        <v>692</v>
      </c>
      <c r="K584" s="81" t="s">
        <v>692</v>
      </c>
      <c r="L584" s="53" t="str">
        <f t="shared" si="64"/>
        <v>Coberturas</v>
      </c>
      <c r="M584" s="53" t="str">
        <f t="shared" si="64"/>
        <v>Telhados</v>
      </c>
      <c r="N584" s="53" t="str">
        <f t="shared" si="62"/>
        <v>Calhas</v>
      </c>
      <c r="O584" s="53" t="str">
        <f t="shared" si="62"/>
        <v>Calha Americana</v>
      </c>
      <c r="P584" s="54" t="s">
        <v>2986</v>
      </c>
      <c r="Q584" s="54" t="s">
        <v>2987</v>
      </c>
      <c r="R584" s="54" t="s">
        <v>6564</v>
      </c>
      <c r="S584" s="54" t="s">
        <v>692</v>
      </c>
      <c r="T584" s="55" t="str">
        <f t="shared" si="61"/>
        <v>Coberturas</v>
      </c>
      <c r="U584" s="55" t="str">
        <f t="shared" si="61"/>
        <v>Telhados</v>
      </c>
      <c r="V584" s="55" t="str">
        <f t="shared" si="61"/>
        <v>Calhas</v>
      </c>
      <c r="W584" s="54" t="s">
        <v>7259</v>
      </c>
      <c r="X584" s="84" t="str">
        <f t="shared" si="63"/>
        <v>Key-COD-CT-584</v>
      </c>
      <c r="Y584" s="84" t="s">
        <v>5570</v>
      </c>
      <c r="Z584" s="84" t="s">
        <v>692</v>
      </c>
      <c r="AA584" s="84" t="s">
        <v>5829</v>
      </c>
      <c r="AB584" s="84" t="s">
        <v>692</v>
      </c>
      <c r="AC584" s="84" t="s">
        <v>692</v>
      </c>
      <c r="AD584" s="54" t="s">
        <v>692</v>
      </c>
    </row>
    <row r="585" spans="1:30" ht="6.75" customHeight="1" x14ac:dyDescent="0.25">
      <c r="A585" s="85">
        <v>585</v>
      </c>
      <c r="B585" s="59" t="s">
        <v>5419</v>
      </c>
      <c r="C585" s="59" t="s">
        <v>2928</v>
      </c>
      <c r="D585" s="59" t="s">
        <v>2929</v>
      </c>
      <c r="E585" s="59" t="s">
        <v>2981</v>
      </c>
      <c r="F585" s="80" t="s">
        <v>2988</v>
      </c>
      <c r="G585" s="81" t="s">
        <v>692</v>
      </c>
      <c r="H585" s="81" t="s">
        <v>692</v>
      </c>
      <c r="I585" s="81" t="s">
        <v>692</v>
      </c>
      <c r="J585" s="81" t="s">
        <v>692</v>
      </c>
      <c r="K585" s="81" t="s">
        <v>692</v>
      </c>
      <c r="L585" s="53" t="str">
        <f t="shared" si="64"/>
        <v>Coberturas</v>
      </c>
      <c r="M585" s="53" t="str">
        <f t="shared" si="64"/>
        <v>Telhados</v>
      </c>
      <c r="N585" s="53" t="str">
        <f t="shared" si="62"/>
        <v>Calhas</v>
      </c>
      <c r="O585" s="53" t="str">
        <f t="shared" si="62"/>
        <v>Calha Quadrada</v>
      </c>
      <c r="P585" s="54" t="s">
        <v>2989</v>
      </c>
      <c r="Q585" s="54" t="s">
        <v>2990</v>
      </c>
      <c r="R585" s="54" t="s">
        <v>6565</v>
      </c>
      <c r="S585" s="54" t="s">
        <v>692</v>
      </c>
      <c r="T585" s="55" t="str">
        <f t="shared" si="61"/>
        <v>Coberturas</v>
      </c>
      <c r="U585" s="55" t="str">
        <f t="shared" si="61"/>
        <v>Telhados</v>
      </c>
      <c r="V585" s="55" t="str">
        <f t="shared" si="61"/>
        <v>Calhas</v>
      </c>
      <c r="W585" s="54" t="s">
        <v>7259</v>
      </c>
      <c r="X585" s="84" t="str">
        <f t="shared" si="63"/>
        <v>Key-COD-CT-585</v>
      </c>
      <c r="Y585" s="84" t="s">
        <v>5570</v>
      </c>
      <c r="Z585" s="84" t="s">
        <v>692</v>
      </c>
      <c r="AA585" s="84" t="s">
        <v>5829</v>
      </c>
      <c r="AB585" s="84" t="s">
        <v>692</v>
      </c>
      <c r="AC585" s="84" t="s">
        <v>692</v>
      </c>
      <c r="AD585" s="54" t="s">
        <v>692</v>
      </c>
    </row>
    <row r="586" spans="1:30" ht="6.75" customHeight="1" x14ac:dyDescent="0.25">
      <c r="A586" s="85">
        <v>586</v>
      </c>
      <c r="B586" s="59" t="s">
        <v>5419</v>
      </c>
      <c r="C586" s="59" t="s">
        <v>2928</v>
      </c>
      <c r="D586" s="59" t="s">
        <v>2929</v>
      </c>
      <c r="E586" s="59" t="s">
        <v>2981</v>
      </c>
      <c r="F586" s="80" t="s">
        <v>2991</v>
      </c>
      <c r="G586" s="81" t="s">
        <v>692</v>
      </c>
      <c r="H586" s="81" t="s">
        <v>692</v>
      </c>
      <c r="I586" s="81" t="s">
        <v>692</v>
      </c>
      <c r="J586" s="81" t="s">
        <v>692</v>
      </c>
      <c r="K586" s="81" t="s">
        <v>692</v>
      </c>
      <c r="L586" s="53" t="str">
        <f t="shared" si="64"/>
        <v>Coberturas</v>
      </c>
      <c r="M586" s="53" t="str">
        <f t="shared" si="64"/>
        <v>Telhados</v>
      </c>
      <c r="N586" s="53" t="str">
        <f t="shared" si="62"/>
        <v>Calhas</v>
      </c>
      <c r="O586" s="53" t="str">
        <f t="shared" si="62"/>
        <v>Calha Rincão</v>
      </c>
      <c r="P586" s="54" t="s">
        <v>2992</v>
      </c>
      <c r="Q586" s="54" t="s">
        <v>2993</v>
      </c>
      <c r="R586" s="54" t="s">
        <v>6566</v>
      </c>
      <c r="S586" s="54" t="s">
        <v>692</v>
      </c>
      <c r="T586" s="55" t="str">
        <f t="shared" si="61"/>
        <v>Coberturas</v>
      </c>
      <c r="U586" s="55" t="str">
        <f t="shared" si="61"/>
        <v>Telhados</v>
      </c>
      <c r="V586" s="55" t="str">
        <f t="shared" si="61"/>
        <v>Calhas</v>
      </c>
      <c r="W586" s="54" t="s">
        <v>7259</v>
      </c>
      <c r="X586" s="84" t="str">
        <f t="shared" si="63"/>
        <v>Key-COD-CT-586</v>
      </c>
      <c r="Y586" s="84" t="s">
        <v>5570</v>
      </c>
      <c r="Z586" s="84" t="s">
        <v>692</v>
      </c>
      <c r="AA586" s="84" t="s">
        <v>5829</v>
      </c>
      <c r="AB586" s="84" t="s">
        <v>692</v>
      </c>
      <c r="AC586" s="84" t="s">
        <v>692</v>
      </c>
      <c r="AD586" s="54" t="s">
        <v>692</v>
      </c>
    </row>
    <row r="587" spans="1:30" ht="6.75" customHeight="1" x14ac:dyDescent="0.25">
      <c r="A587" s="85">
        <v>587</v>
      </c>
      <c r="B587" s="59" t="s">
        <v>5419</v>
      </c>
      <c r="C587" s="59" t="s">
        <v>2928</v>
      </c>
      <c r="D587" s="59" t="s">
        <v>2929</v>
      </c>
      <c r="E587" s="59" t="s">
        <v>2994</v>
      </c>
      <c r="F587" s="80" t="s">
        <v>2995</v>
      </c>
      <c r="G587" s="81" t="s">
        <v>692</v>
      </c>
      <c r="H587" s="81" t="s">
        <v>692</v>
      </c>
      <c r="I587" s="81" t="s">
        <v>692</v>
      </c>
      <c r="J587" s="81" t="s">
        <v>692</v>
      </c>
      <c r="K587" s="81" t="s">
        <v>692</v>
      </c>
      <c r="L587" s="53" t="str">
        <f t="shared" si="64"/>
        <v>Coberturas</v>
      </c>
      <c r="M587" s="53" t="str">
        <f t="shared" si="64"/>
        <v>Telhados</v>
      </c>
      <c r="N587" s="53" t="str">
        <f t="shared" si="62"/>
        <v>Perímetro</v>
      </c>
      <c r="O587" s="53" t="str">
        <f t="shared" si="62"/>
        <v>Telhado Abertura</v>
      </c>
      <c r="P587" s="54" t="s">
        <v>2996</v>
      </c>
      <c r="Q587" s="54" t="s">
        <v>2997</v>
      </c>
      <c r="R587" s="54" t="s">
        <v>6567</v>
      </c>
      <c r="S587" s="54" t="s">
        <v>692</v>
      </c>
      <c r="T587" s="55" t="str">
        <f t="shared" si="61"/>
        <v>Coberturas</v>
      </c>
      <c r="U587" s="55" t="str">
        <f t="shared" si="61"/>
        <v>Telhados</v>
      </c>
      <c r="V587" s="55" t="str">
        <f t="shared" si="61"/>
        <v>Perímetro</v>
      </c>
      <c r="W587" s="54" t="s">
        <v>7259</v>
      </c>
      <c r="X587" s="84" t="str">
        <f t="shared" si="63"/>
        <v>Key-COD-CT-587</v>
      </c>
      <c r="Y587" s="84" t="s">
        <v>5571</v>
      </c>
      <c r="Z587" s="84" t="s">
        <v>692</v>
      </c>
      <c r="AA587" s="84" t="s">
        <v>5829</v>
      </c>
      <c r="AB587" s="84" t="s">
        <v>692</v>
      </c>
      <c r="AC587" s="84" t="s">
        <v>692</v>
      </c>
      <c r="AD587" s="54" t="s">
        <v>692</v>
      </c>
    </row>
    <row r="588" spans="1:30" ht="6.75" customHeight="1" x14ac:dyDescent="0.25">
      <c r="A588" s="85">
        <v>588</v>
      </c>
      <c r="B588" s="59" t="s">
        <v>5419</v>
      </c>
      <c r="C588" s="59" t="s">
        <v>2928</v>
      </c>
      <c r="D588" s="59" t="s">
        <v>2929</v>
      </c>
      <c r="E588" s="59" t="s">
        <v>2994</v>
      </c>
      <c r="F588" s="80" t="s">
        <v>2998</v>
      </c>
      <c r="G588" s="81" t="s">
        <v>692</v>
      </c>
      <c r="H588" s="81" t="s">
        <v>692</v>
      </c>
      <c r="I588" s="81" t="s">
        <v>692</v>
      </c>
      <c r="J588" s="81" t="s">
        <v>692</v>
      </c>
      <c r="K588" s="81" t="s">
        <v>692</v>
      </c>
      <c r="L588" s="53" t="str">
        <f t="shared" si="64"/>
        <v>Coberturas</v>
      </c>
      <c r="M588" s="53" t="str">
        <f t="shared" si="64"/>
        <v>Telhados</v>
      </c>
      <c r="N588" s="53" t="str">
        <f t="shared" si="62"/>
        <v>Perímetro</v>
      </c>
      <c r="O588" s="53" t="str">
        <f t="shared" si="62"/>
        <v>Telhado Perímetro</v>
      </c>
      <c r="P588" s="54" t="s">
        <v>2999</v>
      </c>
      <c r="Q588" s="54" t="s">
        <v>3000</v>
      </c>
      <c r="R588" s="54" t="s">
        <v>6568</v>
      </c>
      <c r="S588" s="54" t="s">
        <v>692</v>
      </c>
      <c r="T588" s="55" t="str">
        <f t="shared" si="61"/>
        <v>Coberturas</v>
      </c>
      <c r="U588" s="55" t="str">
        <f t="shared" si="61"/>
        <v>Telhados</v>
      </c>
      <c r="V588" s="55" t="str">
        <f t="shared" si="61"/>
        <v>Perímetro</v>
      </c>
      <c r="W588" s="54" t="s">
        <v>7259</v>
      </c>
      <c r="X588" s="84" t="str">
        <f t="shared" si="63"/>
        <v>Key-COD-CT-588</v>
      </c>
      <c r="Y588" s="84" t="s">
        <v>5572</v>
      </c>
      <c r="Z588" s="84" t="s">
        <v>692</v>
      </c>
      <c r="AA588" s="84" t="s">
        <v>5829</v>
      </c>
      <c r="AB588" s="84" t="s">
        <v>692</v>
      </c>
      <c r="AC588" s="84" t="s">
        <v>692</v>
      </c>
      <c r="AD588" s="54" t="s">
        <v>692</v>
      </c>
    </row>
    <row r="589" spans="1:30" ht="6.75" customHeight="1" x14ac:dyDescent="0.25">
      <c r="A589" s="85">
        <v>589</v>
      </c>
      <c r="B589" s="59" t="s">
        <v>5419</v>
      </c>
      <c r="C589" s="59" t="s">
        <v>2928</v>
      </c>
      <c r="D589" s="59" t="s">
        <v>2929</v>
      </c>
      <c r="E589" s="59" t="s">
        <v>3001</v>
      </c>
      <c r="F589" s="80" t="s">
        <v>3002</v>
      </c>
      <c r="G589" s="81" t="s">
        <v>692</v>
      </c>
      <c r="H589" s="81" t="s">
        <v>692</v>
      </c>
      <c r="I589" s="81" t="s">
        <v>692</v>
      </c>
      <c r="J589" s="81" t="s">
        <v>692</v>
      </c>
      <c r="K589" s="81" t="s">
        <v>692</v>
      </c>
      <c r="L589" s="53" t="str">
        <f t="shared" si="64"/>
        <v>Coberturas</v>
      </c>
      <c r="M589" s="53" t="str">
        <f t="shared" si="64"/>
        <v>Telhados</v>
      </c>
      <c r="N589" s="53" t="str">
        <f t="shared" si="62"/>
        <v>Camada de Telhado</v>
      </c>
      <c r="O589" s="53" t="str">
        <f t="shared" si="62"/>
        <v>Telhado Projeção</v>
      </c>
      <c r="P589" s="54" t="s">
        <v>3003</v>
      </c>
      <c r="Q589" s="54" t="s">
        <v>3004</v>
      </c>
      <c r="R589" s="54" t="s">
        <v>6569</v>
      </c>
      <c r="S589" s="54" t="s">
        <v>692</v>
      </c>
      <c r="T589" s="55" t="str">
        <f t="shared" si="61"/>
        <v>Coberturas</v>
      </c>
      <c r="U589" s="55" t="str">
        <f t="shared" si="61"/>
        <v>Telhados</v>
      </c>
      <c r="V589" s="55" t="str">
        <f t="shared" si="61"/>
        <v>Camada de Telhado</v>
      </c>
      <c r="W589" s="54" t="s">
        <v>7259</v>
      </c>
      <c r="X589" s="84" t="str">
        <f t="shared" si="63"/>
        <v>Key-COD-CT-589</v>
      </c>
      <c r="Y589" s="84" t="s">
        <v>5573</v>
      </c>
      <c r="Z589" s="84" t="s">
        <v>692</v>
      </c>
      <c r="AA589" s="84" t="s">
        <v>5829</v>
      </c>
      <c r="AB589" s="84" t="s">
        <v>692</v>
      </c>
      <c r="AC589" s="84" t="s">
        <v>692</v>
      </c>
      <c r="AD589" s="54" t="s">
        <v>692</v>
      </c>
    </row>
    <row r="590" spans="1:30" ht="6.75" customHeight="1" x14ac:dyDescent="0.25">
      <c r="A590" s="85">
        <v>590</v>
      </c>
      <c r="B590" s="59" t="s">
        <v>5419</v>
      </c>
      <c r="C590" s="59" t="s">
        <v>2928</v>
      </c>
      <c r="D590" s="59" t="s">
        <v>2929</v>
      </c>
      <c r="E590" s="59" t="s">
        <v>3001</v>
      </c>
      <c r="F590" s="59" t="s">
        <v>3005</v>
      </c>
      <c r="G590" s="81" t="s">
        <v>692</v>
      </c>
      <c r="H590" s="81" t="s">
        <v>692</v>
      </c>
      <c r="I590" s="81" t="s">
        <v>692</v>
      </c>
      <c r="J590" s="81" t="s">
        <v>692</v>
      </c>
      <c r="K590" s="81" t="s">
        <v>692</v>
      </c>
      <c r="L590" s="53" t="str">
        <f t="shared" si="64"/>
        <v>Coberturas</v>
      </c>
      <c r="M590" s="53" t="str">
        <f t="shared" si="64"/>
        <v>Telhados</v>
      </c>
      <c r="N590" s="53" t="str">
        <f t="shared" si="62"/>
        <v>Camada de Telhado</v>
      </c>
      <c r="O590" s="53" t="str">
        <f t="shared" si="62"/>
        <v>Telhado Núcleo</v>
      </c>
      <c r="P590" s="54" t="s">
        <v>3006</v>
      </c>
      <c r="Q590" s="54" t="s">
        <v>3007</v>
      </c>
      <c r="R590" s="54" t="s">
        <v>6570</v>
      </c>
      <c r="S590" s="54" t="s">
        <v>692</v>
      </c>
      <c r="T590" s="55" t="str">
        <f t="shared" si="61"/>
        <v>Coberturas</v>
      </c>
      <c r="U590" s="55" t="str">
        <f t="shared" si="61"/>
        <v>Telhados</v>
      </c>
      <c r="V590" s="55" t="str">
        <f t="shared" si="61"/>
        <v>Camada de Telhado</v>
      </c>
      <c r="W590" s="54" t="s">
        <v>7259</v>
      </c>
      <c r="X590" s="84" t="str">
        <f t="shared" si="63"/>
        <v>Key-COD-CT-590</v>
      </c>
      <c r="Y590" s="84" t="s">
        <v>5574</v>
      </c>
      <c r="Z590" s="84" t="s">
        <v>692</v>
      </c>
      <c r="AA590" s="84" t="s">
        <v>5829</v>
      </c>
      <c r="AB590" s="84" t="s">
        <v>692</v>
      </c>
      <c r="AC590" s="84" t="s">
        <v>692</v>
      </c>
      <c r="AD590" s="54" t="s">
        <v>692</v>
      </c>
    </row>
    <row r="591" spans="1:30" ht="6.75" customHeight="1" x14ac:dyDescent="0.25">
      <c r="A591" s="85">
        <v>591</v>
      </c>
      <c r="B591" s="59" t="s">
        <v>5419</v>
      </c>
      <c r="C591" s="59" t="s">
        <v>2928</v>
      </c>
      <c r="D591" s="59" t="s">
        <v>2929</v>
      </c>
      <c r="E591" s="59" t="s">
        <v>3001</v>
      </c>
      <c r="F591" s="59" t="s">
        <v>3008</v>
      </c>
      <c r="G591" s="81" t="s">
        <v>692</v>
      </c>
      <c r="H591" s="81" t="s">
        <v>692</v>
      </c>
      <c r="I591" s="81" t="s">
        <v>692</v>
      </c>
      <c r="J591" s="81" t="s">
        <v>692</v>
      </c>
      <c r="K591" s="81" t="s">
        <v>692</v>
      </c>
      <c r="L591" s="53" t="str">
        <f t="shared" si="64"/>
        <v>Coberturas</v>
      </c>
      <c r="M591" s="53" t="str">
        <f t="shared" si="64"/>
        <v>Telhados</v>
      </c>
      <c r="N591" s="53" t="str">
        <f t="shared" si="62"/>
        <v>Camada de Telhado</v>
      </c>
      <c r="O591" s="53" t="str">
        <f t="shared" si="62"/>
        <v>Telhado Substrato</v>
      </c>
      <c r="P591" s="54" t="s">
        <v>3009</v>
      </c>
      <c r="Q591" s="54" t="s">
        <v>3010</v>
      </c>
      <c r="R591" s="54" t="s">
        <v>6571</v>
      </c>
      <c r="S591" s="54" t="s">
        <v>692</v>
      </c>
      <c r="T591" s="55" t="str">
        <f t="shared" si="61"/>
        <v>Coberturas</v>
      </c>
      <c r="U591" s="55" t="str">
        <f t="shared" si="61"/>
        <v>Telhados</v>
      </c>
      <c r="V591" s="55" t="str">
        <f t="shared" si="61"/>
        <v>Camada de Telhado</v>
      </c>
      <c r="W591" s="54" t="s">
        <v>7259</v>
      </c>
      <c r="X591" s="84" t="str">
        <f t="shared" si="63"/>
        <v>Key-COD-CT-591</v>
      </c>
      <c r="Y591" s="84" t="s">
        <v>5575</v>
      </c>
      <c r="Z591" s="84" t="s">
        <v>692</v>
      </c>
      <c r="AA591" s="84" t="s">
        <v>5829</v>
      </c>
      <c r="AB591" s="84" t="s">
        <v>692</v>
      </c>
      <c r="AC591" s="84" t="s">
        <v>692</v>
      </c>
      <c r="AD591" s="54" t="s">
        <v>692</v>
      </c>
    </row>
    <row r="592" spans="1:30" ht="6.75" customHeight="1" x14ac:dyDescent="0.25">
      <c r="A592" s="85">
        <v>592</v>
      </c>
      <c r="B592" s="59" t="s">
        <v>5419</v>
      </c>
      <c r="C592" s="59" t="s">
        <v>5422</v>
      </c>
      <c r="D592" s="59" t="s">
        <v>3011</v>
      </c>
      <c r="E592" s="59" t="s">
        <v>3012</v>
      </c>
      <c r="F592" s="61" t="s">
        <v>3013</v>
      </c>
      <c r="G592" s="81" t="s">
        <v>692</v>
      </c>
      <c r="H592" s="81" t="s">
        <v>2472</v>
      </c>
      <c r="I592" s="81" t="s">
        <v>692</v>
      </c>
      <c r="J592" s="81" t="s">
        <v>3014</v>
      </c>
      <c r="K592" s="81" t="s">
        <v>692</v>
      </c>
      <c r="L592" s="53" t="str">
        <f t="shared" si="64"/>
        <v>Luminotécnicos</v>
      </c>
      <c r="M592" s="53" t="str">
        <f t="shared" si="64"/>
        <v>Iluminação</v>
      </c>
      <c r="N592" s="53" t="str">
        <f t="shared" si="62"/>
        <v>Lâmpadas</v>
      </c>
      <c r="O592" s="53" t="str">
        <f t="shared" si="62"/>
        <v>Lâmpada</v>
      </c>
      <c r="P592" s="54" t="s">
        <v>3015</v>
      </c>
      <c r="Q592" s="54" t="s">
        <v>3016</v>
      </c>
      <c r="R592" s="54" t="s">
        <v>6572</v>
      </c>
      <c r="S592" s="54" t="s">
        <v>692</v>
      </c>
      <c r="T592" s="55" t="str">
        <f t="shared" si="61"/>
        <v>Luminotécnicos</v>
      </c>
      <c r="U592" s="55" t="str">
        <f t="shared" si="61"/>
        <v>Iluminação</v>
      </c>
      <c r="V592" s="55" t="str">
        <f t="shared" si="61"/>
        <v>Lâmpadas</v>
      </c>
      <c r="W592" s="54" t="s">
        <v>7259</v>
      </c>
      <c r="X592" s="84" t="str">
        <f t="shared" si="63"/>
        <v>Key-COD-CT-592</v>
      </c>
      <c r="Y592" s="84" t="s">
        <v>5472</v>
      </c>
      <c r="Z592" s="84" t="s">
        <v>692</v>
      </c>
      <c r="AA592" s="84" t="s">
        <v>5843</v>
      </c>
      <c r="AB592" s="84" t="s">
        <v>692</v>
      </c>
      <c r="AC592" s="84" t="s">
        <v>692</v>
      </c>
      <c r="AD592" s="54" t="s">
        <v>692</v>
      </c>
    </row>
    <row r="593" spans="1:30" ht="6.75" customHeight="1" x14ac:dyDescent="0.25">
      <c r="A593" s="85">
        <v>593</v>
      </c>
      <c r="B593" s="59" t="s">
        <v>5419</v>
      </c>
      <c r="C593" s="59" t="s">
        <v>5422</v>
      </c>
      <c r="D593" s="59" t="s">
        <v>3011</v>
      </c>
      <c r="E593" s="59" t="s">
        <v>3012</v>
      </c>
      <c r="F593" s="61" t="s">
        <v>3017</v>
      </c>
      <c r="G593" s="81" t="s">
        <v>692</v>
      </c>
      <c r="H593" s="81" t="s">
        <v>692</v>
      </c>
      <c r="I593" s="81" t="s">
        <v>692</v>
      </c>
      <c r="J593" s="81" t="s">
        <v>692</v>
      </c>
      <c r="K593" s="81" t="s">
        <v>692</v>
      </c>
      <c r="L593" s="53" t="str">
        <f t="shared" si="64"/>
        <v>Luminotécnicos</v>
      </c>
      <c r="M593" s="53" t="str">
        <f t="shared" si="64"/>
        <v>Iluminação</v>
      </c>
      <c r="N593" s="53" t="str">
        <f t="shared" si="62"/>
        <v>Lâmpadas</v>
      </c>
      <c r="O593" s="53" t="str">
        <f t="shared" si="62"/>
        <v>Lâmpada Fluorescente Compacta</v>
      </c>
      <c r="P593" s="54" t="s">
        <v>3018</v>
      </c>
      <c r="Q593" s="54" t="s">
        <v>3019</v>
      </c>
      <c r="R593" s="54" t="s">
        <v>6573</v>
      </c>
      <c r="S593" s="54" t="s">
        <v>692</v>
      </c>
      <c r="T593" s="55" t="str">
        <f t="shared" si="61"/>
        <v>Luminotécnicos</v>
      </c>
      <c r="U593" s="55" t="str">
        <f t="shared" si="61"/>
        <v>Iluminação</v>
      </c>
      <c r="V593" s="55" t="str">
        <f t="shared" si="61"/>
        <v>Lâmpadas</v>
      </c>
      <c r="W593" s="54" t="s">
        <v>7259</v>
      </c>
      <c r="X593" s="84" t="str">
        <f t="shared" si="63"/>
        <v>Key-COD-CT-593</v>
      </c>
      <c r="Y593" s="84" t="s">
        <v>5472</v>
      </c>
      <c r="Z593" s="84" t="s">
        <v>692</v>
      </c>
      <c r="AA593" s="84" t="s">
        <v>5844</v>
      </c>
      <c r="AB593" s="84" t="s">
        <v>692</v>
      </c>
      <c r="AC593" s="84" t="s">
        <v>692</v>
      </c>
      <c r="AD593" s="54" t="s">
        <v>692</v>
      </c>
    </row>
    <row r="594" spans="1:30" ht="6.75" customHeight="1" x14ac:dyDescent="0.25">
      <c r="A594" s="85">
        <v>594</v>
      </c>
      <c r="B594" s="59" t="s">
        <v>5419</v>
      </c>
      <c r="C594" s="59" t="s">
        <v>5422</v>
      </c>
      <c r="D594" s="59" t="s">
        <v>3011</v>
      </c>
      <c r="E594" s="59" t="s">
        <v>3012</v>
      </c>
      <c r="F594" s="61" t="s">
        <v>3020</v>
      </c>
      <c r="G594" s="81" t="s">
        <v>692</v>
      </c>
      <c r="H594" s="81" t="s">
        <v>692</v>
      </c>
      <c r="I594" s="81" t="s">
        <v>692</v>
      </c>
      <c r="J594" s="81" t="s">
        <v>692</v>
      </c>
      <c r="K594" s="81" t="s">
        <v>692</v>
      </c>
      <c r="L594" s="53" t="str">
        <f t="shared" si="64"/>
        <v>Luminotécnicos</v>
      </c>
      <c r="M594" s="53" t="str">
        <f t="shared" si="64"/>
        <v>Iluminação</v>
      </c>
      <c r="N594" s="53" t="str">
        <f t="shared" si="62"/>
        <v>Lâmpadas</v>
      </c>
      <c r="O594" s="53" t="str">
        <f t="shared" si="62"/>
        <v>Lâmpada Fluorescente</v>
      </c>
      <c r="P594" s="54" t="s">
        <v>3021</v>
      </c>
      <c r="Q594" s="54" t="s">
        <v>3022</v>
      </c>
      <c r="R594" s="54" t="s">
        <v>6574</v>
      </c>
      <c r="S594" s="54" t="s">
        <v>692</v>
      </c>
      <c r="T594" s="55" t="str">
        <f t="shared" si="61"/>
        <v>Luminotécnicos</v>
      </c>
      <c r="U594" s="55" t="str">
        <f t="shared" si="61"/>
        <v>Iluminação</v>
      </c>
      <c r="V594" s="55" t="str">
        <f t="shared" si="61"/>
        <v>Lâmpadas</v>
      </c>
      <c r="W594" s="54" t="s">
        <v>7259</v>
      </c>
      <c r="X594" s="84" t="str">
        <f t="shared" si="63"/>
        <v>Key-COD-CT-594</v>
      </c>
      <c r="Y594" s="84" t="s">
        <v>5472</v>
      </c>
      <c r="Z594" s="84" t="s">
        <v>692</v>
      </c>
      <c r="AA594" s="84" t="s">
        <v>5845</v>
      </c>
      <c r="AB594" s="84" t="s">
        <v>692</v>
      </c>
      <c r="AC594" s="84" t="s">
        <v>692</v>
      </c>
      <c r="AD594" s="54" t="s">
        <v>692</v>
      </c>
    </row>
    <row r="595" spans="1:30" ht="6.75" customHeight="1" x14ac:dyDescent="0.25">
      <c r="A595" s="85">
        <v>595</v>
      </c>
      <c r="B595" s="59" t="s">
        <v>5419</v>
      </c>
      <c r="C595" s="59" t="s">
        <v>5422</v>
      </c>
      <c r="D595" s="59" t="s">
        <v>3011</v>
      </c>
      <c r="E595" s="59" t="s">
        <v>3012</v>
      </c>
      <c r="F595" s="61" t="s">
        <v>3023</v>
      </c>
      <c r="G595" s="81" t="s">
        <v>692</v>
      </c>
      <c r="H595" s="81" t="s">
        <v>692</v>
      </c>
      <c r="I595" s="81" t="s">
        <v>692</v>
      </c>
      <c r="J595" s="81" t="s">
        <v>692</v>
      </c>
      <c r="K595" s="81" t="s">
        <v>692</v>
      </c>
      <c r="L595" s="53" t="str">
        <f t="shared" si="64"/>
        <v>Luminotécnicos</v>
      </c>
      <c r="M595" s="53" t="str">
        <f t="shared" si="64"/>
        <v>Iluminação</v>
      </c>
      <c r="N595" s="53" t="str">
        <f t="shared" si="62"/>
        <v>Lâmpadas</v>
      </c>
      <c r="O595" s="53" t="str">
        <f t="shared" si="62"/>
        <v>Lâmpada Alta Pressão Mercúrio</v>
      </c>
      <c r="P595" s="54" t="s">
        <v>3024</v>
      </c>
      <c r="Q595" s="54" t="s">
        <v>3025</v>
      </c>
      <c r="R595" s="54" t="s">
        <v>6575</v>
      </c>
      <c r="S595" s="54" t="s">
        <v>692</v>
      </c>
      <c r="T595" s="55" t="str">
        <f t="shared" si="61"/>
        <v>Luminotécnicos</v>
      </c>
      <c r="U595" s="55" t="str">
        <f t="shared" si="61"/>
        <v>Iluminação</v>
      </c>
      <c r="V595" s="55" t="str">
        <f t="shared" si="61"/>
        <v>Lâmpadas</v>
      </c>
      <c r="W595" s="54" t="s">
        <v>7259</v>
      </c>
      <c r="X595" s="84" t="str">
        <f t="shared" si="63"/>
        <v>Key-COD-CT-595</v>
      </c>
      <c r="Y595" s="84" t="s">
        <v>5472</v>
      </c>
      <c r="Z595" s="84" t="s">
        <v>692</v>
      </c>
      <c r="AA595" s="84" t="s">
        <v>5846</v>
      </c>
      <c r="AB595" s="84" t="s">
        <v>692</v>
      </c>
      <c r="AC595" s="84" t="s">
        <v>692</v>
      </c>
      <c r="AD595" s="54" t="s">
        <v>692</v>
      </c>
    </row>
    <row r="596" spans="1:30" ht="6.75" customHeight="1" x14ac:dyDescent="0.25">
      <c r="A596" s="85">
        <v>596</v>
      </c>
      <c r="B596" s="59" t="s">
        <v>5419</v>
      </c>
      <c r="C596" s="59" t="s">
        <v>5422</v>
      </c>
      <c r="D596" s="59" t="s">
        <v>3011</v>
      </c>
      <c r="E596" s="59" t="s">
        <v>3012</v>
      </c>
      <c r="F596" s="61" t="s">
        <v>3026</v>
      </c>
      <c r="G596" s="81" t="s">
        <v>692</v>
      </c>
      <c r="H596" s="81" t="s">
        <v>692</v>
      </c>
      <c r="I596" s="81" t="s">
        <v>692</v>
      </c>
      <c r="J596" s="81" t="s">
        <v>692</v>
      </c>
      <c r="K596" s="81" t="s">
        <v>692</v>
      </c>
      <c r="L596" s="53" t="str">
        <f t="shared" si="64"/>
        <v>Luminotécnicos</v>
      </c>
      <c r="M596" s="53" t="str">
        <f t="shared" si="64"/>
        <v>Iluminação</v>
      </c>
      <c r="N596" s="53" t="str">
        <f t="shared" si="62"/>
        <v>Lâmpadas</v>
      </c>
      <c r="O596" s="53" t="str">
        <f t="shared" si="62"/>
        <v>Lâmpada Alta Pressão Sódio</v>
      </c>
      <c r="P596" s="54" t="s">
        <v>3027</v>
      </c>
      <c r="Q596" s="54" t="s">
        <v>3028</v>
      </c>
      <c r="R596" s="54" t="s">
        <v>6576</v>
      </c>
      <c r="S596" s="54" t="s">
        <v>692</v>
      </c>
      <c r="T596" s="55" t="str">
        <f t="shared" si="61"/>
        <v>Luminotécnicos</v>
      </c>
      <c r="U596" s="55" t="str">
        <f t="shared" si="61"/>
        <v>Iluminação</v>
      </c>
      <c r="V596" s="55" t="str">
        <f t="shared" si="61"/>
        <v>Lâmpadas</v>
      </c>
      <c r="W596" s="54" t="s">
        <v>7259</v>
      </c>
      <c r="X596" s="84" t="str">
        <f t="shared" si="63"/>
        <v>Key-COD-CT-596</v>
      </c>
      <c r="Y596" s="84" t="s">
        <v>5472</v>
      </c>
      <c r="Z596" s="84" t="s">
        <v>692</v>
      </c>
      <c r="AA596" s="84" t="s">
        <v>5847</v>
      </c>
      <c r="AB596" s="84" t="s">
        <v>692</v>
      </c>
      <c r="AC596" s="84" t="s">
        <v>692</v>
      </c>
      <c r="AD596" s="54" t="s">
        <v>692</v>
      </c>
    </row>
    <row r="597" spans="1:30" ht="6.75" customHeight="1" x14ac:dyDescent="0.25">
      <c r="A597" s="85">
        <v>597</v>
      </c>
      <c r="B597" s="59" t="s">
        <v>5419</v>
      </c>
      <c r="C597" s="59" t="s">
        <v>5422</v>
      </c>
      <c r="D597" s="59" t="s">
        <v>3011</v>
      </c>
      <c r="E597" s="59" t="s">
        <v>3012</v>
      </c>
      <c r="F597" s="61" t="s">
        <v>3029</v>
      </c>
      <c r="G597" s="81" t="s">
        <v>692</v>
      </c>
      <c r="H597" s="81" t="s">
        <v>692</v>
      </c>
      <c r="I597" s="81" t="s">
        <v>692</v>
      </c>
      <c r="J597" s="81" t="s">
        <v>692</v>
      </c>
      <c r="K597" s="81" t="s">
        <v>692</v>
      </c>
      <c r="L597" s="53" t="str">
        <f t="shared" si="64"/>
        <v>Luminotécnicos</v>
      </c>
      <c r="M597" s="53" t="str">
        <f t="shared" si="64"/>
        <v>Iluminação</v>
      </c>
      <c r="N597" s="53" t="str">
        <f t="shared" si="62"/>
        <v>Lâmpadas</v>
      </c>
      <c r="O597" s="53" t="str">
        <f t="shared" si="62"/>
        <v>Lâmpada LED</v>
      </c>
      <c r="P597" s="54" t="s">
        <v>3030</v>
      </c>
      <c r="Q597" s="54" t="s">
        <v>3031</v>
      </c>
      <c r="R597" s="54" t="s">
        <v>6577</v>
      </c>
      <c r="S597" s="54" t="s">
        <v>692</v>
      </c>
      <c r="T597" s="55" t="str">
        <f t="shared" si="61"/>
        <v>Luminotécnicos</v>
      </c>
      <c r="U597" s="55" t="str">
        <f t="shared" si="61"/>
        <v>Iluminação</v>
      </c>
      <c r="V597" s="55" t="str">
        <f t="shared" si="61"/>
        <v>Lâmpadas</v>
      </c>
      <c r="W597" s="54" t="s">
        <v>7259</v>
      </c>
      <c r="X597" s="84" t="str">
        <f t="shared" si="63"/>
        <v>Key-COD-CT-597</v>
      </c>
      <c r="Y597" s="84" t="s">
        <v>5472</v>
      </c>
      <c r="Z597" s="84" t="s">
        <v>692</v>
      </c>
      <c r="AA597" s="84" t="s">
        <v>5848</v>
      </c>
      <c r="AB597" s="84" t="s">
        <v>692</v>
      </c>
      <c r="AC597" s="84" t="s">
        <v>692</v>
      </c>
      <c r="AD597" s="54" t="s">
        <v>692</v>
      </c>
    </row>
    <row r="598" spans="1:30" ht="6.75" customHeight="1" x14ac:dyDescent="0.25">
      <c r="A598" s="85">
        <v>598</v>
      </c>
      <c r="B598" s="59" t="s">
        <v>5419</v>
      </c>
      <c r="C598" s="59" t="s">
        <v>5422</v>
      </c>
      <c r="D598" s="59" t="s">
        <v>3011</v>
      </c>
      <c r="E598" s="59" t="s">
        <v>3012</v>
      </c>
      <c r="F598" s="61" t="s">
        <v>3032</v>
      </c>
      <c r="G598" s="81" t="s">
        <v>692</v>
      </c>
      <c r="H598" s="81" t="s">
        <v>692</v>
      </c>
      <c r="I598" s="81" t="s">
        <v>692</v>
      </c>
      <c r="J598" s="81" t="s">
        <v>692</v>
      </c>
      <c r="K598" s="81" t="s">
        <v>692</v>
      </c>
      <c r="L598" s="53" t="str">
        <f t="shared" si="64"/>
        <v>Luminotécnicos</v>
      </c>
      <c r="M598" s="53" t="str">
        <f t="shared" si="64"/>
        <v>Iluminação</v>
      </c>
      <c r="N598" s="53" t="str">
        <f t="shared" si="62"/>
        <v>Lâmpadas</v>
      </c>
      <c r="O598" s="53" t="str">
        <f t="shared" si="62"/>
        <v>Lâmpada OLED</v>
      </c>
      <c r="P598" s="54" t="s">
        <v>3033</v>
      </c>
      <c r="Q598" s="54" t="s">
        <v>3031</v>
      </c>
      <c r="R598" s="54" t="s">
        <v>6578</v>
      </c>
      <c r="S598" s="54" t="s">
        <v>692</v>
      </c>
      <c r="T598" s="55" t="str">
        <f t="shared" si="61"/>
        <v>Luminotécnicos</v>
      </c>
      <c r="U598" s="55" t="str">
        <f t="shared" si="61"/>
        <v>Iluminação</v>
      </c>
      <c r="V598" s="55" t="str">
        <f t="shared" si="61"/>
        <v>Lâmpadas</v>
      </c>
      <c r="W598" s="54" t="s">
        <v>7259</v>
      </c>
      <c r="X598" s="84" t="str">
        <f t="shared" si="63"/>
        <v>Key-COD-CT-598</v>
      </c>
      <c r="Y598" s="84" t="s">
        <v>5472</v>
      </c>
      <c r="Z598" s="84" t="s">
        <v>692</v>
      </c>
      <c r="AA598" s="84" t="s">
        <v>5849</v>
      </c>
      <c r="AB598" s="84" t="s">
        <v>692</v>
      </c>
      <c r="AC598" s="84" t="s">
        <v>692</v>
      </c>
      <c r="AD598" s="54" t="s">
        <v>692</v>
      </c>
    </row>
    <row r="599" spans="1:30" ht="6.75" customHeight="1" x14ac:dyDescent="0.25">
      <c r="A599" s="85">
        <v>599</v>
      </c>
      <c r="B599" s="59" t="s">
        <v>5419</v>
      </c>
      <c r="C599" s="59" t="s">
        <v>5422</v>
      </c>
      <c r="D599" s="59" t="s">
        <v>3011</v>
      </c>
      <c r="E599" s="59" t="s">
        <v>3012</v>
      </c>
      <c r="F599" s="61" t="s">
        <v>3034</v>
      </c>
      <c r="G599" s="81" t="s">
        <v>692</v>
      </c>
      <c r="H599" s="81" t="s">
        <v>692</v>
      </c>
      <c r="I599" s="81" t="s">
        <v>692</v>
      </c>
      <c r="J599" s="81" t="s">
        <v>692</v>
      </c>
      <c r="K599" s="81" t="s">
        <v>692</v>
      </c>
      <c r="L599" s="53" t="str">
        <f t="shared" si="64"/>
        <v>Luminotécnicos</v>
      </c>
      <c r="M599" s="53" t="str">
        <f t="shared" si="64"/>
        <v>Iluminação</v>
      </c>
      <c r="N599" s="53" t="str">
        <f t="shared" si="62"/>
        <v>Lâmpadas</v>
      </c>
      <c r="O599" s="53" t="str">
        <f t="shared" si="62"/>
        <v>Lâmpada Halógena</v>
      </c>
      <c r="P599" s="54" t="s">
        <v>3035</v>
      </c>
      <c r="Q599" s="54" t="s">
        <v>3036</v>
      </c>
      <c r="R599" s="54" t="s">
        <v>6579</v>
      </c>
      <c r="S599" s="54" t="s">
        <v>692</v>
      </c>
      <c r="T599" s="55" t="str">
        <f t="shared" si="61"/>
        <v>Luminotécnicos</v>
      </c>
      <c r="U599" s="55" t="str">
        <f t="shared" si="61"/>
        <v>Iluminação</v>
      </c>
      <c r="V599" s="55" t="str">
        <f t="shared" si="61"/>
        <v>Lâmpadas</v>
      </c>
      <c r="W599" s="54" t="s">
        <v>7259</v>
      </c>
      <c r="X599" s="84" t="str">
        <f t="shared" si="63"/>
        <v>Key-COD-CT-599</v>
      </c>
      <c r="Y599" s="84" t="s">
        <v>5472</v>
      </c>
      <c r="Z599" s="84" t="s">
        <v>692</v>
      </c>
      <c r="AA599" s="84" t="s">
        <v>5850</v>
      </c>
      <c r="AB599" s="84" t="s">
        <v>692</v>
      </c>
      <c r="AC599" s="84" t="s">
        <v>692</v>
      </c>
      <c r="AD599" s="54" t="s">
        <v>692</v>
      </c>
    </row>
    <row r="600" spans="1:30" ht="6.75" customHeight="1" x14ac:dyDescent="0.25">
      <c r="A600" s="85">
        <v>600</v>
      </c>
      <c r="B600" s="59" t="s">
        <v>5419</v>
      </c>
      <c r="C600" s="59" t="s">
        <v>5422</v>
      </c>
      <c r="D600" s="59" t="s">
        <v>3011</v>
      </c>
      <c r="E600" s="59" t="s">
        <v>3012</v>
      </c>
      <c r="F600" s="61" t="s">
        <v>3037</v>
      </c>
      <c r="G600" s="81" t="s">
        <v>692</v>
      </c>
      <c r="H600" s="81" t="s">
        <v>692</v>
      </c>
      <c r="I600" s="81" t="s">
        <v>692</v>
      </c>
      <c r="J600" s="81" t="s">
        <v>692</v>
      </c>
      <c r="K600" s="81" t="s">
        <v>692</v>
      </c>
      <c r="L600" s="53" t="str">
        <f t="shared" si="64"/>
        <v>Luminotécnicos</v>
      </c>
      <c r="M600" s="53" t="str">
        <f t="shared" si="64"/>
        <v>Iluminação</v>
      </c>
      <c r="N600" s="53" t="str">
        <f t="shared" si="62"/>
        <v>Lâmpadas</v>
      </c>
      <c r="O600" s="53" t="str">
        <f t="shared" si="62"/>
        <v>Lâmpada Iodetos Metálicos</v>
      </c>
      <c r="P600" s="54" t="s">
        <v>3038</v>
      </c>
      <c r="Q600" s="54" t="s">
        <v>3039</v>
      </c>
      <c r="R600" s="54" t="s">
        <v>6580</v>
      </c>
      <c r="S600" s="54" t="s">
        <v>692</v>
      </c>
      <c r="T600" s="55" t="str">
        <f t="shared" si="61"/>
        <v>Luminotécnicos</v>
      </c>
      <c r="U600" s="55" t="str">
        <f t="shared" si="61"/>
        <v>Iluminação</v>
      </c>
      <c r="V600" s="55" t="str">
        <f t="shared" si="61"/>
        <v>Lâmpadas</v>
      </c>
      <c r="W600" s="54" t="s">
        <v>7259</v>
      </c>
      <c r="X600" s="84" t="str">
        <f t="shared" si="63"/>
        <v>Key-COD-CT-600</v>
      </c>
      <c r="Y600" s="84" t="s">
        <v>5472</v>
      </c>
      <c r="Z600" s="84" t="s">
        <v>692</v>
      </c>
      <c r="AA600" s="84" t="s">
        <v>5851</v>
      </c>
      <c r="AB600" s="84" t="s">
        <v>692</v>
      </c>
      <c r="AC600" s="84" t="s">
        <v>692</v>
      </c>
      <c r="AD600" s="54" t="s">
        <v>692</v>
      </c>
    </row>
    <row r="601" spans="1:30" ht="6.75" customHeight="1" x14ac:dyDescent="0.25">
      <c r="A601" s="85">
        <v>601</v>
      </c>
      <c r="B601" s="59" t="s">
        <v>5419</v>
      </c>
      <c r="C601" s="59" t="s">
        <v>5422</v>
      </c>
      <c r="D601" s="59" t="s">
        <v>3011</v>
      </c>
      <c r="E601" s="59" t="s">
        <v>3012</v>
      </c>
      <c r="F601" s="61" t="s">
        <v>3040</v>
      </c>
      <c r="G601" s="81" t="s">
        <v>692</v>
      </c>
      <c r="H601" s="81" t="s">
        <v>692</v>
      </c>
      <c r="I601" s="81" t="s">
        <v>692</v>
      </c>
      <c r="J601" s="81" t="s">
        <v>692</v>
      </c>
      <c r="K601" s="81" t="s">
        <v>692</v>
      </c>
      <c r="L601" s="53" t="str">
        <f t="shared" si="64"/>
        <v>Luminotécnicos</v>
      </c>
      <c r="M601" s="53" t="str">
        <f t="shared" si="64"/>
        <v>Iluminação</v>
      </c>
      <c r="N601" s="53" t="str">
        <f t="shared" si="62"/>
        <v>Lâmpadas</v>
      </c>
      <c r="O601" s="53" t="str">
        <f t="shared" si="62"/>
        <v>Lâmpada Incandescente</v>
      </c>
      <c r="P601" s="54" t="s">
        <v>3041</v>
      </c>
      <c r="Q601" s="54" t="s">
        <v>3042</v>
      </c>
      <c r="R601" s="54" t="s">
        <v>6581</v>
      </c>
      <c r="S601" s="54" t="s">
        <v>692</v>
      </c>
      <c r="T601" s="55" t="str">
        <f t="shared" si="61"/>
        <v>Luminotécnicos</v>
      </c>
      <c r="U601" s="55" t="str">
        <f t="shared" si="61"/>
        <v>Iluminação</v>
      </c>
      <c r="V601" s="55" t="str">
        <f t="shared" si="61"/>
        <v>Lâmpadas</v>
      </c>
      <c r="W601" s="54" t="s">
        <v>7259</v>
      </c>
      <c r="X601" s="84" t="str">
        <f t="shared" si="63"/>
        <v>Key-COD-CT-601</v>
      </c>
      <c r="Y601" s="84" t="s">
        <v>5472</v>
      </c>
      <c r="Z601" s="84" t="s">
        <v>692</v>
      </c>
      <c r="AA601" s="84" t="s">
        <v>5852</v>
      </c>
      <c r="AB601" s="84" t="s">
        <v>692</v>
      </c>
      <c r="AC601" s="84" t="s">
        <v>692</v>
      </c>
      <c r="AD601" s="54" t="s">
        <v>692</v>
      </c>
    </row>
    <row r="602" spans="1:30" ht="6.75" customHeight="1" x14ac:dyDescent="0.25">
      <c r="A602" s="85">
        <v>602</v>
      </c>
      <c r="B602" s="59" t="s">
        <v>5419</v>
      </c>
      <c r="C602" s="59" t="s">
        <v>5422</v>
      </c>
      <c r="D602" s="59" t="s">
        <v>3011</v>
      </c>
      <c r="E602" s="59" t="s">
        <v>3043</v>
      </c>
      <c r="F602" s="61" t="s">
        <v>51</v>
      </c>
      <c r="G602" s="81" t="s">
        <v>692</v>
      </c>
      <c r="H602" s="81" t="s">
        <v>692</v>
      </c>
      <c r="I602" s="81" t="s">
        <v>692</v>
      </c>
      <c r="J602" s="81" t="s">
        <v>692</v>
      </c>
      <c r="K602" s="81" t="s">
        <v>692</v>
      </c>
      <c r="L602" s="53" t="str">
        <f t="shared" si="64"/>
        <v>Luminotécnicos</v>
      </c>
      <c r="M602" s="53" t="str">
        <f t="shared" si="64"/>
        <v>Iluminação</v>
      </c>
      <c r="N602" s="53" t="str">
        <f t="shared" si="62"/>
        <v>Luminárias</v>
      </c>
      <c r="O602" s="53" t="str">
        <f t="shared" si="62"/>
        <v>Luminária</v>
      </c>
      <c r="P602" s="54" t="s">
        <v>3044</v>
      </c>
      <c r="Q602" s="54" t="s">
        <v>3045</v>
      </c>
      <c r="R602" s="54" t="s">
        <v>6582</v>
      </c>
      <c r="S602" s="54" t="s">
        <v>692</v>
      </c>
      <c r="T602" s="55" t="str">
        <f t="shared" si="61"/>
        <v>Luminotécnicos</v>
      </c>
      <c r="U602" s="55" t="str">
        <f t="shared" si="61"/>
        <v>Iluminação</v>
      </c>
      <c r="V602" s="55" t="str">
        <f t="shared" si="61"/>
        <v>Luminárias</v>
      </c>
      <c r="W602" s="54" t="s">
        <v>7259</v>
      </c>
      <c r="X602" s="84" t="str">
        <f t="shared" si="63"/>
        <v>Key-COD-CT-602</v>
      </c>
      <c r="Y602" s="84" t="s">
        <v>5576</v>
      </c>
      <c r="Z602" s="84" t="s">
        <v>692</v>
      </c>
      <c r="AA602" s="84" t="s">
        <v>5471</v>
      </c>
      <c r="AB602" s="84" t="s">
        <v>692</v>
      </c>
      <c r="AC602" s="84" t="s">
        <v>692</v>
      </c>
      <c r="AD602" s="54" t="s">
        <v>692</v>
      </c>
    </row>
    <row r="603" spans="1:30" ht="6.75" customHeight="1" x14ac:dyDescent="0.25">
      <c r="A603" s="85">
        <v>603</v>
      </c>
      <c r="B603" s="59" t="s">
        <v>5419</v>
      </c>
      <c r="C603" s="59" t="s">
        <v>5422</v>
      </c>
      <c r="D603" s="59" t="s">
        <v>3011</v>
      </c>
      <c r="E603" s="59" t="s">
        <v>3043</v>
      </c>
      <c r="F603" s="61" t="s">
        <v>3046</v>
      </c>
      <c r="G603" s="81" t="s">
        <v>692</v>
      </c>
      <c r="H603" s="81" t="s">
        <v>692</v>
      </c>
      <c r="I603" s="81" t="s">
        <v>692</v>
      </c>
      <c r="J603" s="81" t="s">
        <v>692</v>
      </c>
      <c r="K603" s="81" t="s">
        <v>692</v>
      </c>
      <c r="L603" s="53" t="str">
        <f t="shared" si="64"/>
        <v>Luminotécnicos</v>
      </c>
      <c r="M603" s="53" t="str">
        <f t="shared" si="64"/>
        <v>Iluminação</v>
      </c>
      <c r="N603" s="53" t="str">
        <f t="shared" si="62"/>
        <v>Luminárias</v>
      </c>
      <c r="O603" s="53" t="str">
        <f t="shared" si="62"/>
        <v>Luminária Direcional</v>
      </c>
      <c r="P603" s="54" t="s">
        <v>3047</v>
      </c>
      <c r="Q603" s="54" t="s">
        <v>3048</v>
      </c>
      <c r="R603" s="54" t="s">
        <v>6583</v>
      </c>
      <c r="S603" s="54" t="s">
        <v>692</v>
      </c>
      <c r="T603" s="55" t="str">
        <f t="shared" si="61"/>
        <v>Luminotécnicos</v>
      </c>
      <c r="U603" s="55" t="str">
        <f t="shared" si="61"/>
        <v>Iluminação</v>
      </c>
      <c r="V603" s="55" t="str">
        <f t="shared" si="61"/>
        <v>Luminárias</v>
      </c>
      <c r="W603" s="54" t="s">
        <v>7259</v>
      </c>
      <c r="X603" s="84" t="str">
        <f t="shared" si="63"/>
        <v>Key-COD-CT-603</v>
      </c>
      <c r="Y603" s="84" t="s">
        <v>5576</v>
      </c>
      <c r="Z603" s="84" t="s">
        <v>692</v>
      </c>
      <c r="AA603" s="84" t="s">
        <v>5853</v>
      </c>
      <c r="AB603" s="84" t="s">
        <v>692</v>
      </c>
      <c r="AC603" s="84" t="s">
        <v>692</v>
      </c>
      <c r="AD603" s="54" t="s">
        <v>692</v>
      </c>
    </row>
    <row r="604" spans="1:30" ht="6.75" customHeight="1" x14ac:dyDescent="0.25">
      <c r="A604" s="85">
        <v>604</v>
      </c>
      <c r="B604" s="59" t="s">
        <v>5419</v>
      </c>
      <c r="C604" s="59" t="s">
        <v>5422</v>
      </c>
      <c r="D604" s="59" t="s">
        <v>3011</v>
      </c>
      <c r="E604" s="59" t="s">
        <v>3043</v>
      </c>
      <c r="F604" s="61" t="s">
        <v>3049</v>
      </c>
      <c r="G604" s="81" t="s">
        <v>692</v>
      </c>
      <c r="H604" s="81" t="s">
        <v>692</v>
      </c>
      <c r="I604" s="81" t="s">
        <v>692</v>
      </c>
      <c r="J604" s="81" t="s">
        <v>692</v>
      </c>
      <c r="K604" s="81" t="s">
        <v>692</v>
      </c>
      <c r="L604" s="53" t="str">
        <f t="shared" si="64"/>
        <v>Luminotécnicos</v>
      </c>
      <c r="M604" s="53" t="str">
        <f t="shared" si="64"/>
        <v>Iluminação</v>
      </c>
      <c r="N604" s="53" t="str">
        <f t="shared" si="62"/>
        <v>Luminárias</v>
      </c>
      <c r="O604" s="53" t="str">
        <f t="shared" si="62"/>
        <v>Luminária Spot</v>
      </c>
      <c r="P604" s="54" t="s">
        <v>3050</v>
      </c>
      <c r="Q604" s="54" t="s">
        <v>3051</v>
      </c>
      <c r="R604" s="54" t="s">
        <v>6584</v>
      </c>
      <c r="S604" s="54" t="s">
        <v>692</v>
      </c>
      <c r="T604" s="55" t="str">
        <f t="shared" si="61"/>
        <v>Luminotécnicos</v>
      </c>
      <c r="U604" s="55" t="str">
        <f t="shared" si="61"/>
        <v>Iluminação</v>
      </c>
      <c r="V604" s="55" t="str">
        <f t="shared" si="61"/>
        <v>Luminárias</v>
      </c>
      <c r="W604" s="54" t="s">
        <v>7259</v>
      </c>
      <c r="X604" s="84" t="str">
        <f t="shared" si="63"/>
        <v>Key-COD-CT-604</v>
      </c>
      <c r="Y604" s="84" t="s">
        <v>5576</v>
      </c>
      <c r="Z604" s="84" t="s">
        <v>692</v>
      </c>
      <c r="AA604" s="84" t="s">
        <v>5854</v>
      </c>
      <c r="AB604" s="84" t="s">
        <v>692</v>
      </c>
      <c r="AC604" s="84" t="s">
        <v>692</v>
      </c>
      <c r="AD604" s="54" t="s">
        <v>692</v>
      </c>
    </row>
    <row r="605" spans="1:30" ht="6.75" customHeight="1" x14ac:dyDescent="0.25">
      <c r="A605" s="85">
        <v>605</v>
      </c>
      <c r="B605" s="59" t="s">
        <v>5419</v>
      </c>
      <c r="C605" s="59" t="s">
        <v>5422</v>
      </c>
      <c r="D605" s="59" t="s">
        <v>3011</v>
      </c>
      <c r="E605" s="59" t="s">
        <v>3043</v>
      </c>
      <c r="F605" s="61" t="s">
        <v>3052</v>
      </c>
      <c r="G605" s="81" t="s">
        <v>692</v>
      </c>
      <c r="H605" s="81" t="s">
        <v>692</v>
      </c>
      <c r="I605" s="81" t="s">
        <v>692</v>
      </c>
      <c r="J605" s="81" t="s">
        <v>692</v>
      </c>
      <c r="K605" s="81" t="s">
        <v>692</v>
      </c>
      <c r="L605" s="53" t="str">
        <f t="shared" si="64"/>
        <v>Luminotécnicos</v>
      </c>
      <c r="M605" s="53" t="str">
        <f t="shared" si="64"/>
        <v>Iluminação</v>
      </c>
      <c r="N605" s="53" t="str">
        <f t="shared" si="62"/>
        <v>Luminárias</v>
      </c>
      <c r="O605" s="53" t="str">
        <f t="shared" si="62"/>
        <v>Luminária de Segurança</v>
      </c>
      <c r="P605" s="54" t="s">
        <v>3053</v>
      </c>
      <c r="Q605" s="54" t="s">
        <v>3054</v>
      </c>
      <c r="R605" s="54" t="s">
        <v>6585</v>
      </c>
      <c r="S605" s="54" t="s">
        <v>692</v>
      </c>
      <c r="T605" s="55" t="str">
        <f t="shared" si="61"/>
        <v>Luminotécnicos</v>
      </c>
      <c r="U605" s="55" t="str">
        <f t="shared" si="61"/>
        <v>Iluminação</v>
      </c>
      <c r="V605" s="55" t="str">
        <f t="shared" si="61"/>
        <v>Luminárias</v>
      </c>
      <c r="W605" s="54" t="s">
        <v>7259</v>
      </c>
      <c r="X605" s="84" t="str">
        <f t="shared" si="63"/>
        <v>Key-COD-CT-605</v>
      </c>
      <c r="Y605" s="84" t="s">
        <v>5576</v>
      </c>
      <c r="Z605" s="84" t="s">
        <v>692</v>
      </c>
      <c r="AA605" s="84" t="s">
        <v>5855</v>
      </c>
      <c r="AB605" s="84" t="s">
        <v>692</v>
      </c>
      <c r="AC605" s="84" t="s">
        <v>692</v>
      </c>
      <c r="AD605" s="54" t="s">
        <v>692</v>
      </c>
    </row>
    <row r="606" spans="1:30" ht="6.75" customHeight="1" x14ac:dyDescent="0.25">
      <c r="A606" s="85">
        <v>606</v>
      </c>
      <c r="B606" s="59" t="s">
        <v>5419</v>
      </c>
      <c r="C606" s="59" t="s">
        <v>5422</v>
      </c>
      <c r="D606" s="59" t="s">
        <v>3011</v>
      </c>
      <c r="E606" s="59" t="s">
        <v>3043</v>
      </c>
      <c r="F606" s="80" t="s">
        <v>3055</v>
      </c>
      <c r="G606" s="81" t="s">
        <v>692</v>
      </c>
      <c r="H606" s="81" t="s">
        <v>692</v>
      </c>
      <c r="I606" s="81" t="s">
        <v>692</v>
      </c>
      <c r="J606" s="81" t="s">
        <v>692</v>
      </c>
      <c r="K606" s="81" t="s">
        <v>692</v>
      </c>
      <c r="L606" s="53" t="str">
        <f t="shared" si="64"/>
        <v>Luminotécnicos</v>
      </c>
      <c r="M606" s="53" t="str">
        <f t="shared" si="64"/>
        <v>Iluminação</v>
      </c>
      <c r="N606" s="53" t="str">
        <f t="shared" si="62"/>
        <v>Luminárias</v>
      </c>
      <c r="O606" s="53" t="str">
        <f t="shared" si="62"/>
        <v>Fonte de Iluminação</v>
      </c>
      <c r="P606" s="54" t="s">
        <v>3056</v>
      </c>
      <c r="Q606" s="54" t="s">
        <v>3057</v>
      </c>
      <c r="R606" s="54" t="s">
        <v>6586</v>
      </c>
      <c r="S606" s="54" t="s">
        <v>692</v>
      </c>
      <c r="T606" s="55" t="str">
        <f t="shared" si="61"/>
        <v>Luminotécnicos</v>
      </c>
      <c r="U606" s="55" t="str">
        <f t="shared" si="61"/>
        <v>Iluminação</v>
      </c>
      <c r="V606" s="55" t="str">
        <f t="shared" si="61"/>
        <v>Luminárias</v>
      </c>
      <c r="W606" s="54" t="s">
        <v>7259</v>
      </c>
      <c r="X606" s="84" t="str">
        <f t="shared" si="63"/>
        <v>Key-COD-CT-606</v>
      </c>
      <c r="Y606" s="84" t="s">
        <v>5577</v>
      </c>
      <c r="Z606" s="84" t="s">
        <v>692</v>
      </c>
      <c r="AA606" s="84" t="s">
        <v>5471</v>
      </c>
      <c r="AB606" s="84" t="s">
        <v>692</v>
      </c>
      <c r="AC606" s="84" t="s">
        <v>692</v>
      </c>
      <c r="AD606" s="54" t="s">
        <v>692</v>
      </c>
    </row>
    <row r="607" spans="1:30" ht="6.75" customHeight="1" x14ac:dyDescent="0.25">
      <c r="A607" s="85">
        <v>607</v>
      </c>
      <c r="B607" s="59" t="s">
        <v>5419</v>
      </c>
      <c r="C607" s="59" t="s">
        <v>5422</v>
      </c>
      <c r="D607" s="59" t="s">
        <v>3011</v>
      </c>
      <c r="E607" s="59" t="s">
        <v>3043</v>
      </c>
      <c r="F607" s="59" t="s">
        <v>3058</v>
      </c>
      <c r="G607" s="81" t="s">
        <v>692</v>
      </c>
      <c r="H607" s="81" t="s">
        <v>692</v>
      </c>
      <c r="I607" s="81" t="s">
        <v>692</v>
      </c>
      <c r="J607" s="81" t="s">
        <v>692</v>
      </c>
      <c r="K607" s="81" t="s">
        <v>692</v>
      </c>
      <c r="L607" s="53" t="str">
        <f t="shared" si="64"/>
        <v>Luminotécnicos</v>
      </c>
      <c r="M607" s="53" t="str">
        <f t="shared" si="64"/>
        <v>Iluminação</v>
      </c>
      <c r="N607" s="53" t="str">
        <f t="shared" si="62"/>
        <v>Luminárias</v>
      </c>
      <c r="O607" s="53" t="str">
        <f t="shared" si="62"/>
        <v>Feixe de Luz</v>
      </c>
      <c r="P607" s="54" t="s">
        <v>3059</v>
      </c>
      <c r="Q607" s="54" t="s">
        <v>3060</v>
      </c>
      <c r="R607" s="54" t="s">
        <v>6587</v>
      </c>
      <c r="S607" s="54" t="s">
        <v>692</v>
      </c>
      <c r="T607" s="55" t="str">
        <f t="shared" ref="T607:V670" si="65">SUBSTITUTE(C607, ".", " ")</f>
        <v>Luminotécnicos</v>
      </c>
      <c r="U607" s="55" t="str">
        <f t="shared" si="65"/>
        <v>Iluminação</v>
      </c>
      <c r="V607" s="55" t="str">
        <f t="shared" si="65"/>
        <v>Luminárias</v>
      </c>
      <c r="W607" s="54" t="s">
        <v>7259</v>
      </c>
      <c r="X607" s="84" t="str">
        <f t="shared" si="63"/>
        <v>Key-COD-CT-607</v>
      </c>
      <c r="Y607" s="84" t="s">
        <v>5578</v>
      </c>
      <c r="Z607" s="84" t="s">
        <v>692</v>
      </c>
      <c r="AA607" s="84" t="s">
        <v>5471</v>
      </c>
      <c r="AB607" s="84" t="s">
        <v>692</v>
      </c>
      <c r="AC607" s="84" t="s">
        <v>692</v>
      </c>
      <c r="AD607" s="54" t="s">
        <v>692</v>
      </c>
    </row>
    <row r="608" spans="1:30" ht="6.75" customHeight="1" x14ac:dyDescent="0.25">
      <c r="A608" s="85">
        <v>608</v>
      </c>
      <c r="B608" s="59" t="s">
        <v>5419</v>
      </c>
      <c r="C608" s="59" t="s">
        <v>5422</v>
      </c>
      <c r="D608" s="59" t="s">
        <v>3011</v>
      </c>
      <c r="E608" s="59" t="s">
        <v>3043</v>
      </c>
      <c r="F608" s="59" t="s">
        <v>3061</v>
      </c>
      <c r="G608" s="81" t="s">
        <v>692</v>
      </c>
      <c r="H608" s="81" t="s">
        <v>692</v>
      </c>
      <c r="I608" s="81" t="s">
        <v>692</v>
      </c>
      <c r="J608" s="81" t="s">
        <v>692</v>
      </c>
      <c r="K608" s="81" t="s">
        <v>692</v>
      </c>
      <c r="L608" s="53" t="str">
        <f t="shared" si="64"/>
        <v>Luminotécnicos</v>
      </c>
      <c r="M608" s="53" t="str">
        <f t="shared" si="64"/>
        <v>Iluminação</v>
      </c>
      <c r="N608" s="53" t="str">
        <f t="shared" si="62"/>
        <v>Luminárias</v>
      </c>
      <c r="O608" s="53" t="str">
        <f t="shared" si="62"/>
        <v>Luz</v>
      </c>
      <c r="P608" s="54" t="s">
        <v>3056</v>
      </c>
      <c r="Q608" s="54" t="s">
        <v>3057</v>
      </c>
      <c r="R608" s="54" t="s">
        <v>6586</v>
      </c>
      <c r="S608" s="54" t="s">
        <v>692</v>
      </c>
      <c r="T608" s="55" t="str">
        <f t="shared" si="65"/>
        <v>Luminotécnicos</v>
      </c>
      <c r="U608" s="55" t="str">
        <f t="shared" si="65"/>
        <v>Iluminação</v>
      </c>
      <c r="V608" s="55" t="str">
        <f t="shared" si="65"/>
        <v>Luminárias</v>
      </c>
      <c r="W608" s="54" t="s">
        <v>7259</v>
      </c>
      <c r="X608" s="84" t="str">
        <f t="shared" si="63"/>
        <v>Key-COD-CT-608</v>
      </c>
      <c r="Y608" s="84" t="s">
        <v>5579</v>
      </c>
      <c r="Z608" s="84" t="s">
        <v>692</v>
      </c>
      <c r="AA608" s="84" t="s">
        <v>5471</v>
      </c>
      <c r="AB608" s="84" t="s">
        <v>692</v>
      </c>
      <c r="AC608" s="84" t="s">
        <v>692</v>
      </c>
      <c r="AD608" s="54" t="s">
        <v>692</v>
      </c>
    </row>
    <row r="609" spans="1:30" ht="6.75" customHeight="1" x14ac:dyDescent="0.25">
      <c r="A609" s="85">
        <v>609</v>
      </c>
      <c r="B609" s="59" t="s">
        <v>5419</v>
      </c>
      <c r="C609" s="59" t="s">
        <v>3062</v>
      </c>
      <c r="D609" s="59" t="s">
        <v>3063</v>
      </c>
      <c r="E609" s="59" t="s">
        <v>3064</v>
      </c>
      <c r="F609" s="59" t="s">
        <v>3065</v>
      </c>
      <c r="G609" s="81" t="s">
        <v>692</v>
      </c>
      <c r="H609" s="81" t="s">
        <v>2472</v>
      </c>
      <c r="I609" s="81" t="s">
        <v>692</v>
      </c>
      <c r="J609" s="82" t="s">
        <v>692</v>
      </c>
      <c r="K609" s="81" t="s">
        <v>692</v>
      </c>
      <c r="L609" s="53" t="str">
        <f t="shared" si="64"/>
        <v>Comunicação</v>
      </c>
      <c r="M609" s="53" t="str">
        <f t="shared" si="64"/>
        <v>Visual</v>
      </c>
      <c r="N609" s="53" t="str">
        <f t="shared" si="62"/>
        <v>Informativa</v>
      </c>
      <c r="O609" s="53" t="str">
        <f t="shared" si="62"/>
        <v>Placa Informativa</v>
      </c>
      <c r="P609" s="58" t="s">
        <v>3066</v>
      </c>
      <c r="Q609" s="58" t="s">
        <v>3067</v>
      </c>
      <c r="R609" s="54" t="s">
        <v>6588</v>
      </c>
      <c r="S609" s="54" t="s">
        <v>692</v>
      </c>
      <c r="T609" s="55" t="str">
        <f t="shared" si="65"/>
        <v>Comunicação</v>
      </c>
      <c r="U609" s="55" t="str">
        <f t="shared" si="65"/>
        <v>Visual</v>
      </c>
      <c r="V609" s="55" t="str">
        <f t="shared" si="65"/>
        <v>Informativa</v>
      </c>
      <c r="W609" s="54" t="s">
        <v>7259</v>
      </c>
      <c r="X609" s="84" t="str">
        <f t="shared" si="63"/>
        <v>Key-COD-CT-609</v>
      </c>
      <c r="Y609" s="84" t="s">
        <v>5470</v>
      </c>
      <c r="Z609" s="84" t="s">
        <v>692</v>
      </c>
      <c r="AA609" s="84" t="s">
        <v>5856</v>
      </c>
      <c r="AB609" s="84" t="s">
        <v>692</v>
      </c>
      <c r="AC609" s="84" t="s">
        <v>692</v>
      </c>
      <c r="AD609" s="54" t="s">
        <v>692</v>
      </c>
    </row>
    <row r="610" spans="1:30" ht="6.75" customHeight="1" x14ac:dyDescent="0.25">
      <c r="A610" s="85">
        <v>610</v>
      </c>
      <c r="B610" s="59" t="s">
        <v>5419</v>
      </c>
      <c r="C610" s="59" t="s">
        <v>3062</v>
      </c>
      <c r="D610" s="59" t="s">
        <v>3063</v>
      </c>
      <c r="E610" s="59" t="s">
        <v>3064</v>
      </c>
      <c r="F610" s="59" t="s">
        <v>3068</v>
      </c>
      <c r="G610" s="81" t="s">
        <v>692</v>
      </c>
      <c r="H610" s="81" t="s">
        <v>692</v>
      </c>
      <c r="I610" s="81" t="s">
        <v>692</v>
      </c>
      <c r="J610" s="82" t="s">
        <v>692</v>
      </c>
      <c r="K610" s="81" t="s">
        <v>692</v>
      </c>
      <c r="L610" s="53" t="str">
        <f t="shared" si="64"/>
        <v>Comunicação</v>
      </c>
      <c r="M610" s="53" t="str">
        <f t="shared" si="64"/>
        <v>Visual</v>
      </c>
      <c r="N610" s="53" t="str">
        <f t="shared" si="62"/>
        <v>Informativa</v>
      </c>
      <c r="O610" s="53" t="str">
        <f t="shared" si="62"/>
        <v>Totem Informativo</v>
      </c>
      <c r="P610" s="58" t="s">
        <v>3069</v>
      </c>
      <c r="Q610" s="58" t="s">
        <v>3070</v>
      </c>
      <c r="R610" s="54" t="s">
        <v>6589</v>
      </c>
      <c r="S610" s="54" t="s">
        <v>692</v>
      </c>
      <c r="T610" s="55" t="str">
        <f t="shared" si="65"/>
        <v>Comunicação</v>
      </c>
      <c r="U610" s="55" t="str">
        <f t="shared" si="65"/>
        <v>Visual</v>
      </c>
      <c r="V610" s="55" t="str">
        <f t="shared" si="65"/>
        <v>Informativa</v>
      </c>
      <c r="W610" s="54" t="s">
        <v>7259</v>
      </c>
      <c r="X610" s="84" t="str">
        <f t="shared" si="63"/>
        <v>Key-COD-CT-610</v>
      </c>
      <c r="Y610" s="84" t="s">
        <v>5470</v>
      </c>
      <c r="Z610" s="84" t="s">
        <v>692</v>
      </c>
      <c r="AA610" s="84" t="s">
        <v>5856</v>
      </c>
      <c r="AB610" s="84" t="s">
        <v>692</v>
      </c>
      <c r="AC610" s="84" t="s">
        <v>692</v>
      </c>
      <c r="AD610" s="54" t="s">
        <v>692</v>
      </c>
    </row>
    <row r="611" spans="1:30" ht="6.75" customHeight="1" x14ac:dyDescent="0.25">
      <c r="A611" s="85">
        <v>611</v>
      </c>
      <c r="B611" s="59" t="s">
        <v>5419</v>
      </c>
      <c r="C611" s="60" t="s">
        <v>3071</v>
      </c>
      <c r="D611" s="59" t="s">
        <v>3072</v>
      </c>
      <c r="E611" s="59" t="s">
        <v>3073</v>
      </c>
      <c r="F611" s="59" t="s">
        <v>3074</v>
      </c>
      <c r="G611" s="81" t="s">
        <v>692</v>
      </c>
      <c r="H611" s="81" t="s">
        <v>692</v>
      </c>
      <c r="I611" s="81" t="s">
        <v>692</v>
      </c>
      <c r="J611" s="81" t="s">
        <v>692</v>
      </c>
      <c r="K611" s="81" t="s">
        <v>692</v>
      </c>
      <c r="L611" s="53" t="str">
        <f t="shared" si="64"/>
        <v>Ornamentos</v>
      </c>
      <c r="M611" s="53" t="str">
        <f t="shared" si="64"/>
        <v>De.Paredes</v>
      </c>
      <c r="N611" s="53" t="str">
        <f t="shared" si="62"/>
        <v>Frisos</v>
      </c>
      <c r="O611" s="53" t="str">
        <f t="shared" si="62"/>
        <v>Cornija</v>
      </c>
      <c r="P611" s="54" t="s">
        <v>3075</v>
      </c>
      <c r="Q611" s="54" t="s">
        <v>3076</v>
      </c>
      <c r="R611" s="54" t="s">
        <v>6590</v>
      </c>
      <c r="S611" s="54" t="s">
        <v>692</v>
      </c>
      <c r="T611" s="55" t="str">
        <f t="shared" si="65"/>
        <v>Ornamentos</v>
      </c>
      <c r="U611" s="55" t="str">
        <f t="shared" si="65"/>
        <v>De Paredes</v>
      </c>
      <c r="V611" s="55" t="str">
        <f t="shared" si="65"/>
        <v>Frisos</v>
      </c>
      <c r="W611" s="54" t="s">
        <v>7259</v>
      </c>
      <c r="X611" s="84" t="str">
        <f t="shared" si="63"/>
        <v>Key-COD-CT-611</v>
      </c>
      <c r="Y611" s="84" t="s">
        <v>5580</v>
      </c>
      <c r="Z611" s="84" t="s">
        <v>692</v>
      </c>
      <c r="AA611" s="84" t="s">
        <v>5857</v>
      </c>
      <c r="AB611" s="84" t="s">
        <v>692</v>
      </c>
      <c r="AC611" s="84" t="s">
        <v>692</v>
      </c>
      <c r="AD611" s="54" t="s">
        <v>692</v>
      </c>
    </row>
    <row r="612" spans="1:30" ht="6.75" customHeight="1" x14ac:dyDescent="0.25">
      <c r="A612" s="85">
        <v>612</v>
      </c>
      <c r="B612" s="59" t="s">
        <v>5419</v>
      </c>
      <c r="C612" s="60" t="s">
        <v>3071</v>
      </c>
      <c r="D612" s="59" t="s">
        <v>3072</v>
      </c>
      <c r="E612" s="59" t="s">
        <v>3073</v>
      </c>
      <c r="F612" s="59" t="s">
        <v>3077</v>
      </c>
      <c r="G612" s="81" t="s">
        <v>692</v>
      </c>
      <c r="H612" s="81" t="s">
        <v>692</v>
      </c>
      <c r="I612" s="81" t="s">
        <v>692</v>
      </c>
      <c r="J612" s="81" t="s">
        <v>692</v>
      </c>
      <c r="K612" s="81" t="s">
        <v>692</v>
      </c>
      <c r="L612" s="53" t="str">
        <f t="shared" si="64"/>
        <v>Ornamentos</v>
      </c>
      <c r="M612" s="53" t="str">
        <f t="shared" si="64"/>
        <v>De.Paredes</v>
      </c>
      <c r="N612" s="53" t="str">
        <f t="shared" si="62"/>
        <v>Frisos</v>
      </c>
      <c r="O612" s="53" t="str">
        <f t="shared" si="62"/>
        <v>Borda Laje</v>
      </c>
      <c r="P612" s="54" t="s">
        <v>3078</v>
      </c>
      <c r="Q612" s="54" t="s">
        <v>3079</v>
      </c>
      <c r="R612" s="54" t="s">
        <v>6591</v>
      </c>
      <c r="S612" s="54" t="s">
        <v>692</v>
      </c>
      <c r="T612" s="55" t="str">
        <f t="shared" si="65"/>
        <v>Ornamentos</v>
      </c>
      <c r="U612" s="55" t="str">
        <f t="shared" si="65"/>
        <v>De Paredes</v>
      </c>
      <c r="V612" s="55" t="str">
        <f t="shared" si="65"/>
        <v>Frisos</v>
      </c>
      <c r="W612" s="54" t="s">
        <v>7259</v>
      </c>
      <c r="X612" s="84" t="str">
        <f t="shared" si="63"/>
        <v>Key-COD-CT-612</v>
      </c>
      <c r="Y612" s="84" t="s">
        <v>5581</v>
      </c>
      <c r="Z612" s="84" t="s">
        <v>692</v>
      </c>
      <c r="AA612" s="84" t="s">
        <v>5622</v>
      </c>
      <c r="AB612" s="84" t="s">
        <v>692</v>
      </c>
      <c r="AC612" s="84" t="s">
        <v>692</v>
      </c>
      <c r="AD612" s="54" t="s">
        <v>692</v>
      </c>
    </row>
    <row r="613" spans="1:30" ht="6.75" customHeight="1" x14ac:dyDescent="0.25">
      <c r="A613" s="85">
        <v>613</v>
      </c>
      <c r="B613" s="59" t="s">
        <v>5419</v>
      </c>
      <c r="C613" s="60" t="s">
        <v>3071</v>
      </c>
      <c r="D613" s="59" t="s">
        <v>3072</v>
      </c>
      <c r="E613" s="59" t="s">
        <v>3073</v>
      </c>
      <c r="F613" s="59" t="s">
        <v>3080</v>
      </c>
      <c r="G613" s="81" t="s">
        <v>692</v>
      </c>
      <c r="H613" s="81" t="s">
        <v>692</v>
      </c>
      <c r="I613" s="81" t="s">
        <v>692</v>
      </c>
      <c r="J613" s="81" t="s">
        <v>692</v>
      </c>
      <c r="K613" s="81" t="s">
        <v>692</v>
      </c>
      <c r="L613" s="53" t="str">
        <f t="shared" si="64"/>
        <v>Ornamentos</v>
      </c>
      <c r="M613" s="53" t="str">
        <f t="shared" si="64"/>
        <v>De.Paredes</v>
      </c>
      <c r="N613" s="53" t="str">
        <f t="shared" si="62"/>
        <v>Frisos</v>
      </c>
      <c r="O613" s="53" t="str">
        <f t="shared" si="62"/>
        <v>Nicho Entalhado</v>
      </c>
      <c r="P613" s="54" t="s">
        <v>3081</v>
      </c>
      <c r="Q613" s="54" t="s">
        <v>3082</v>
      </c>
      <c r="R613" s="54" t="s">
        <v>6592</v>
      </c>
      <c r="S613" s="54" t="s">
        <v>692</v>
      </c>
      <c r="T613" s="55" t="str">
        <f t="shared" si="65"/>
        <v>Ornamentos</v>
      </c>
      <c r="U613" s="55" t="str">
        <f t="shared" si="65"/>
        <v>De Paredes</v>
      </c>
      <c r="V613" s="55" t="str">
        <f t="shared" si="65"/>
        <v>Frisos</v>
      </c>
      <c r="W613" s="54" t="s">
        <v>7259</v>
      </c>
      <c r="X613" s="84" t="str">
        <f t="shared" si="63"/>
        <v>Key-COD-CT-613</v>
      </c>
      <c r="Y613" s="84" t="s">
        <v>5582</v>
      </c>
      <c r="Z613" s="84" t="s">
        <v>692</v>
      </c>
      <c r="AA613" s="84" t="s">
        <v>5857</v>
      </c>
      <c r="AB613" s="84" t="s">
        <v>692</v>
      </c>
      <c r="AC613" s="84" t="s">
        <v>692</v>
      </c>
      <c r="AD613" s="54" t="s">
        <v>692</v>
      </c>
    </row>
    <row r="614" spans="1:30" ht="6.75" customHeight="1" x14ac:dyDescent="0.25">
      <c r="A614" s="85">
        <v>614</v>
      </c>
      <c r="B614" s="59" t="s">
        <v>5419</v>
      </c>
      <c r="C614" s="59" t="s">
        <v>3083</v>
      </c>
      <c r="D614" s="59" t="s">
        <v>3084</v>
      </c>
      <c r="E614" s="59" t="s">
        <v>3085</v>
      </c>
      <c r="F614" s="61" t="s">
        <v>3086</v>
      </c>
      <c r="G614" s="81" t="s">
        <v>692</v>
      </c>
      <c r="H614" s="81" t="s">
        <v>692</v>
      </c>
      <c r="I614" s="81" t="s">
        <v>692</v>
      </c>
      <c r="J614" s="81" t="s">
        <v>692</v>
      </c>
      <c r="K614" s="81" t="s">
        <v>692</v>
      </c>
      <c r="L614" s="53" t="str">
        <f t="shared" si="64"/>
        <v>Circulações</v>
      </c>
      <c r="M614" s="53" t="str">
        <f t="shared" si="64"/>
        <v>Verticales</v>
      </c>
      <c r="N614" s="53" t="str">
        <f t="shared" si="62"/>
        <v>Elevadores</v>
      </c>
      <c r="O614" s="53" t="str">
        <f t="shared" si="62"/>
        <v>Elevador</v>
      </c>
      <c r="P614" s="54" t="s">
        <v>3087</v>
      </c>
      <c r="Q614" s="54" t="s">
        <v>3088</v>
      </c>
      <c r="R614" s="54" t="s">
        <v>6593</v>
      </c>
      <c r="S614" s="54" t="s">
        <v>692</v>
      </c>
      <c r="T614" s="55" t="str">
        <f t="shared" si="65"/>
        <v>Circulações</v>
      </c>
      <c r="U614" s="55" t="str">
        <f t="shared" si="65"/>
        <v>Verticales</v>
      </c>
      <c r="V614" s="55" t="str">
        <f t="shared" si="65"/>
        <v>Elevadores</v>
      </c>
      <c r="W614" s="54" t="s">
        <v>7259</v>
      </c>
      <c r="X614" s="84" t="str">
        <f t="shared" si="63"/>
        <v>Key-COD-CT-614</v>
      </c>
      <c r="Y614" s="84" t="s">
        <v>5583</v>
      </c>
      <c r="Z614" s="84" t="s">
        <v>692</v>
      </c>
      <c r="AA614" s="84" t="s">
        <v>5858</v>
      </c>
      <c r="AB614" s="84" t="s">
        <v>692</v>
      </c>
      <c r="AC614" s="84" t="s">
        <v>692</v>
      </c>
      <c r="AD614" s="54" t="s">
        <v>692</v>
      </c>
    </row>
    <row r="615" spans="1:30" ht="6.75" customHeight="1" x14ac:dyDescent="0.25">
      <c r="A615" s="85">
        <v>615</v>
      </c>
      <c r="B615" s="59" t="s">
        <v>5419</v>
      </c>
      <c r="C615" s="59" t="s">
        <v>3083</v>
      </c>
      <c r="D615" s="59" t="s">
        <v>3084</v>
      </c>
      <c r="E615" s="59" t="s">
        <v>3085</v>
      </c>
      <c r="F615" s="61" t="s">
        <v>3089</v>
      </c>
      <c r="G615" s="81" t="s">
        <v>692</v>
      </c>
      <c r="H615" s="81" t="s">
        <v>692</v>
      </c>
      <c r="I615" s="81" t="s">
        <v>692</v>
      </c>
      <c r="J615" s="81" t="s">
        <v>692</v>
      </c>
      <c r="K615" s="81" t="s">
        <v>692</v>
      </c>
      <c r="L615" s="53" t="str">
        <f t="shared" si="64"/>
        <v>Circulações</v>
      </c>
      <c r="M615" s="53" t="str">
        <f t="shared" si="64"/>
        <v>Verticales</v>
      </c>
      <c r="N615" s="53" t="str">
        <f t="shared" si="62"/>
        <v>Elevadores</v>
      </c>
      <c r="O615" s="53" t="str">
        <f t="shared" si="62"/>
        <v>Montacarga</v>
      </c>
      <c r="P615" s="54" t="s">
        <v>3090</v>
      </c>
      <c r="Q615" s="54" t="s">
        <v>3091</v>
      </c>
      <c r="R615" s="54" t="s">
        <v>6594</v>
      </c>
      <c r="S615" s="54" t="s">
        <v>692</v>
      </c>
      <c r="T615" s="55" t="str">
        <f t="shared" si="65"/>
        <v>Circulações</v>
      </c>
      <c r="U615" s="55" t="str">
        <f t="shared" si="65"/>
        <v>Verticales</v>
      </c>
      <c r="V615" s="55" t="str">
        <f t="shared" si="65"/>
        <v>Elevadores</v>
      </c>
      <c r="W615" s="54" t="s">
        <v>7259</v>
      </c>
      <c r="X615" s="84" t="str">
        <f t="shared" si="63"/>
        <v>Key-COD-CT-615</v>
      </c>
      <c r="Y615" s="84" t="s">
        <v>5583</v>
      </c>
      <c r="Z615" s="84" t="s">
        <v>692</v>
      </c>
      <c r="AA615" s="84" t="s">
        <v>5858</v>
      </c>
      <c r="AB615" s="84" t="s">
        <v>692</v>
      </c>
      <c r="AC615" s="84" t="s">
        <v>692</v>
      </c>
      <c r="AD615" s="54" t="s">
        <v>692</v>
      </c>
    </row>
    <row r="616" spans="1:30" ht="6.75" customHeight="1" x14ac:dyDescent="0.25">
      <c r="A616" s="85">
        <v>616</v>
      </c>
      <c r="B616" s="59" t="s">
        <v>5419</v>
      </c>
      <c r="C616" s="59" t="s">
        <v>3083</v>
      </c>
      <c r="D616" s="59" t="s">
        <v>3084</v>
      </c>
      <c r="E616" s="59" t="s">
        <v>3092</v>
      </c>
      <c r="F616" s="61" t="s">
        <v>3093</v>
      </c>
      <c r="G616" s="81" t="s">
        <v>692</v>
      </c>
      <c r="H616" s="81" t="s">
        <v>692</v>
      </c>
      <c r="I616" s="81" t="s">
        <v>692</v>
      </c>
      <c r="J616" s="81" t="s">
        <v>692</v>
      </c>
      <c r="K616" s="81" t="s">
        <v>692</v>
      </c>
      <c r="L616" s="53" t="str">
        <f t="shared" si="64"/>
        <v>Circulações</v>
      </c>
      <c r="M616" s="53" t="str">
        <f t="shared" si="64"/>
        <v>Verticales</v>
      </c>
      <c r="N616" s="53" t="str">
        <f t="shared" si="62"/>
        <v>Rampas</v>
      </c>
      <c r="O616" s="53" t="str">
        <f t="shared" si="62"/>
        <v>Rampa</v>
      </c>
      <c r="P616" s="54" t="s">
        <v>3094</v>
      </c>
      <c r="Q616" s="54" t="s">
        <v>3095</v>
      </c>
      <c r="R616" s="54" t="s">
        <v>6595</v>
      </c>
      <c r="S616" s="54" t="s">
        <v>692</v>
      </c>
      <c r="T616" s="55" t="str">
        <f t="shared" si="65"/>
        <v>Circulações</v>
      </c>
      <c r="U616" s="55" t="str">
        <f t="shared" si="65"/>
        <v>Verticales</v>
      </c>
      <c r="V616" s="55" t="str">
        <f t="shared" si="65"/>
        <v>Rampas</v>
      </c>
      <c r="W616" s="54" t="s">
        <v>7259</v>
      </c>
      <c r="X616" s="84" t="str">
        <f t="shared" si="63"/>
        <v>Key-COD-CT-616</v>
      </c>
      <c r="Y616" s="84" t="s">
        <v>5584</v>
      </c>
      <c r="Z616" s="84" t="s">
        <v>692</v>
      </c>
      <c r="AA616" s="84" t="s">
        <v>5859</v>
      </c>
      <c r="AB616" s="84" t="s">
        <v>692</v>
      </c>
      <c r="AC616" s="84" t="s">
        <v>692</v>
      </c>
      <c r="AD616" s="54" t="s">
        <v>692</v>
      </c>
    </row>
    <row r="617" spans="1:30" ht="6.75" customHeight="1" x14ac:dyDescent="0.25">
      <c r="A617" s="85">
        <v>617</v>
      </c>
      <c r="B617" s="59" t="s">
        <v>5419</v>
      </c>
      <c r="C617" s="59" t="s">
        <v>3083</v>
      </c>
      <c r="D617" s="59" t="s">
        <v>3084</v>
      </c>
      <c r="E617" s="59" t="s">
        <v>3092</v>
      </c>
      <c r="F617" s="61" t="s">
        <v>3096</v>
      </c>
      <c r="G617" s="81" t="s">
        <v>692</v>
      </c>
      <c r="H617" s="81" t="s">
        <v>692</v>
      </c>
      <c r="I617" s="81" t="s">
        <v>692</v>
      </c>
      <c r="J617" s="81" t="s">
        <v>692</v>
      </c>
      <c r="K617" s="81" t="s">
        <v>692</v>
      </c>
      <c r="L617" s="53" t="str">
        <f t="shared" si="64"/>
        <v>Circulações</v>
      </c>
      <c r="M617" s="53" t="str">
        <f t="shared" si="64"/>
        <v>Verticales</v>
      </c>
      <c r="N617" s="53" t="str">
        <f t="shared" si="62"/>
        <v>Rampas</v>
      </c>
      <c r="O617" s="53" t="str">
        <f t="shared" si="62"/>
        <v>Lance Rampa</v>
      </c>
      <c r="P617" s="54" t="s">
        <v>3097</v>
      </c>
      <c r="Q617" s="54" t="s">
        <v>3098</v>
      </c>
      <c r="R617" s="54" t="s">
        <v>6596</v>
      </c>
      <c r="S617" s="54" t="s">
        <v>692</v>
      </c>
      <c r="T617" s="55" t="str">
        <f t="shared" si="65"/>
        <v>Circulações</v>
      </c>
      <c r="U617" s="55" t="str">
        <f t="shared" si="65"/>
        <v>Verticales</v>
      </c>
      <c r="V617" s="55" t="str">
        <f t="shared" si="65"/>
        <v>Rampas</v>
      </c>
      <c r="W617" s="54" t="s">
        <v>7259</v>
      </c>
      <c r="X617" s="84" t="str">
        <f t="shared" si="63"/>
        <v>Key-COD-CT-617</v>
      </c>
      <c r="Y617" s="84" t="s">
        <v>5584</v>
      </c>
      <c r="Z617" s="84" t="s">
        <v>692</v>
      </c>
      <c r="AA617" s="84" t="s">
        <v>5860</v>
      </c>
      <c r="AB617" s="84" t="s">
        <v>692</v>
      </c>
      <c r="AC617" s="84" t="s">
        <v>692</v>
      </c>
      <c r="AD617" s="54" t="s">
        <v>692</v>
      </c>
    </row>
    <row r="618" spans="1:30" ht="6.75" customHeight="1" x14ac:dyDescent="0.25">
      <c r="A618" s="85">
        <v>618</v>
      </c>
      <c r="B618" s="59" t="s">
        <v>5419</v>
      </c>
      <c r="C618" s="59" t="s">
        <v>3083</v>
      </c>
      <c r="D618" s="59" t="s">
        <v>3084</v>
      </c>
      <c r="E618" s="59" t="s">
        <v>3092</v>
      </c>
      <c r="F618" s="61" t="s">
        <v>3099</v>
      </c>
      <c r="G618" s="81" t="s">
        <v>692</v>
      </c>
      <c r="H618" s="81" t="s">
        <v>692</v>
      </c>
      <c r="I618" s="81" t="s">
        <v>692</v>
      </c>
      <c r="J618" s="81" t="s">
        <v>692</v>
      </c>
      <c r="K618" s="81" t="s">
        <v>692</v>
      </c>
      <c r="L618" s="53" t="str">
        <f t="shared" si="64"/>
        <v>Circulações</v>
      </c>
      <c r="M618" s="53" t="str">
        <f t="shared" si="64"/>
        <v>Verticales</v>
      </c>
      <c r="N618" s="53" t="str">
        <f t="shared" si="62"/>
        <v>Rampas</v>
      </c>
      <c r="O618" s="53" t="str">
        <f t="shared" si="62"/>
        <v>Lance Curvo Rampa</v>
      </c>
      <c r="P618" s="54" t="s">
        <v>3100</v>
      </c>
      <c r="Q618" s="54" t="s">
        <v>3101</v>
      </c>
      <c r="R618" s="54" t="s">
        <v>6597</v>
      </c>
      <c r="S618" s="54" t="s">
        <v>692</v>
      </c>
      <c r="T618" s="55" t="str">
        <f t="shared" si="65"/>
        <v>Circulações</v>
      </c>
      <c r="U618" s="55" t="str">
        <f t="shared" si="65"/>
        <v>Verticales</v>
      </c>
      <c r="V618" s="55" t="str">
        <f t="shared" si="65"/>
        <v>Rampas</v>
      </c>
      <c r="W618" s="54" t="s">
        <v>7259</v>
      </c>
      <c r="X618" s="84" t="str">
        <f t="shared" si="63"/>
        <v>Key-COD-CT-618</v>
      </c>
      <c r="Y618" s="84" t="s">
        <v>5584</v>
      </c>
      <c r="Z618" s="84" t="s">
        <v>692</v>
      </c>
      <c r="AA618" s="84" t="s">
        <v>5861</v>
      </c>
      <c r="AB618" s="84" t="s">
        <v>692</v>
      </c>
      <c r="AC618" s="84" t="s">
        <v>692</v>
      </c>
      <c r="AD618" s="54" t="s">
        <v>692</v>
      </c>
    </row>
    <row r="619" spans="1:30" ht="6.75" customHeight="1" x14ac:dyDescent="0.25">
      <c r="A619" s="85">
        <v>619</v>
      </c>
      <c r="B619" s="59" t="s">
        <v>5419</v>
      </c>
      <c r="C619" s="59" t="s">
        <v>3083</v>
      </c>
      <c r="D619" s="59" t="s">
        <v>3084</v>
      </c>
      <c r="E619" s="59" t="s">
        <v>3092</v>
      </c>
      <c r="F619" s="61" t="s">
        <v>3102</v>
      </c>
      <c r="G619" s="81" t="s">
        <v>692</v>
      </c>
      <c r="H619" s="81" t="s">
        <v>692</v>
      </c>
      <c r="I619" s="81" t="s">
        <v>692</v>
      </c>
      <c r="J619" s="81" t="s">
        <v>692</v>
      </c>
      <c r="K619" s="81" t="s">
        <v>692</v>
      </c>
      <c r="L619" s="53" t="str">
        <f t="shared" si="64"/>
        <v>Circulações</v>
      </c>
      <c r="M619" s="53" t="str">
        <f t="shared" si="64"/>
        <v>Verticales</v>
      </c>
      <c r="N619" s="53" t="str">
        <f t="shared" si="62"/>
        <v>Rampas</v>
      </c>
      <c r="O619" s="53" t="str">
        <f t="shared" si="62"/>
        <v>Lance Reto Rampa</v>
      </c>
      <c r="P619" s="54" t="s">
        <v>3103</v>
      </c>
      <c r="Q619" s="54" t="s">
        <v>3104</v>
      </c>
      <c r="R619" s="54" t="s">
        <v>6598</v>
      </c>
      <c r="S619" s="54" t="s">
        <v>692</v>
      </c>
      <c r="T619" s="55" t="str">
        <f t="shared" si="65"/>
        <v>Circulações</v>
      </c>
      <c r="U619" s="55" t="str">
        <f t="shared" si="65"/>
        <v>Verticales</v>
      </c>
      <c r="V619" s="55" t="str">
        <f t="shared" si="65"/>
        <v>Rampas</v>
      </c>
      <c r="W619" s="54" t="s">
        <v>7259</v>
      </c>
      <c r="X619" s="84" t="str">
        <f t="shared" si="63"/>
        <v>Key-COD-CT-619</v>
      </c>
      <c r="Y619" s="84" t="s">
        <v>5584</v>
      </c>
      <c r="Z619" s="84" t="s">
        <v>692</v>
      </c>
      <c r="AA619" s="84" t="s">
        <v>5862</v>
      </c>
      <c r="AB619" s="84" t="s">
        <v>692</v>
      </c>
      <c r="AC619" s="84" t="s">
        <v>692</v>
      </c>
      <c r="AD619" s="54" t="s">
        <v>692</v>
      </c>
    </row>
    <row r="620" spans="1:30" ht="6.75" customHeight="1" x14ac:dyDescent="0.25">
      <c r="A620" s="85">
        <v>620</v>
      </c>
      <c r="B620" s="59" t="s">
        <v>5419</v>
      </c>
      <c r="C620" s="59" t="s">
        <v>3083</v>
      </c>
      <c r="D620" s="59" t="s">
        <v>3084</v>
      </c>
      <c r="E620" s="59" t="s">
        <v>3092</v>
      </c>
      <c r="F620" s="61" t="s">
        <v>3105</v>
      </c>
      <c r="G620" s="81" t="s">
        <v>692</v>
      </c>
      <c r="H620" s="81" t="s">
        <v>692</v>
      </c>
      <c r="I620" s="81" t="s">
        <v>692</v>
      </c>
      <c r="J620" s="81" t="s">
        <v>692</v>
      </c>
      <c r="K620" s="81" t="s">
        <v>692</v>
      </c>
      <c r="L620" s="53" t="str">
        <f t="shared" si="64"/>
        <v>Circulações</v>
      </c>
      <c r="M620" s="53" t="str">
        <f t="shared" si="64"/>
        <v>Verticales</v>
      </c>
      <c r="N620" s="53" t="str">
        <f t="shared" si="62"/>
        <v>Rampas</v>
      </c>
      <c r="O620" s="53" t="str">
        <f t="shared" si="62"/>
        <v>Rampa Espiral</v>
      </c>
      <c r="P620" s="54" t="s">
        <v>3106</v>
      </c>
      <c r="Q620" s="54" t="s">
        <v>3107</v>
      </c>
      <c r="R620" s="54" t="s">
        <v>6599</v>
      </c>
      <c r="S620" s="54" t="s">
        <v>692</v>
      </c>
      <c r="T620" s="55" t="str">
        <f t="shared" si="65"/>
        <v>Circulações</v>
      </c>
      <c r="U620" s="55" t="str">
        <f t="shared" si="65"/>
        <v>Verticales</v>
      </c>
      <c r="V620" s="55" t="str">
        <f t="shared" si="65"/>
        <v>Rampas</v>
      </c>
      <c r="W620" s="54" t="s">
        <v>7259</v>
      </c>
      <c r="X620" s="84" t="str">
        <f t="shared" si="63"/>
        <v>Key-COD-CT-620</v>
      </c>
      <c r="Y620" s="84" t="s">
        <v>5584</v>
      </c>
      <c r="Z620" s="84" t="s">
        <v>692</v>
      </c>
      <c r="AA620" s="84" t="s">
        <v>5863</v>
      </c>
      <c r="AB620" s="84" t="s">
        <v>692</v>
      </c>
      <c r="AC620" s="84" t="s">
        <v>692</v>
      </c>
      <c r="AD620" s="54" t="s">
        <v>692</v>
      </c>
    </row>
    <row r="621" spans="1:30" ht="6.75" customHeight="1" x14ac:dyDescent="0.25">
      <c r="A621" s="85">
        <v>621</v>
      </c>
      <c r="B621" s="59" t="s">
        <v>5419</v>
      </c>
      <c r="C621" s="59" t="s">
        <v>3083</v>
      </c>
      <c r="D621" s="59" t="s">
        <v>3084</v>
      </c>
      <c r="E621" s="59" t="s">
        <v>3092</v>
      </c>
      <c r="F621" s="61" t="s">
        <v>3108</v>
      </c>
      <c r="G621" s="81" t="s">
        <v>692</v>
      </c>
      <c r="H621" s="81" t="s">
        <v>692</v>
      </c>
      <c r="I621" s="81" t="s">
        <v>692</v>
      </c>
      <c r="J621" s="81" t="s">
        <v>692</v>
      </c>
      <c r="K621" s="81" t="s">
        <v>692</v>
      </c>
      <c r="L621" s="53" t="str">
        <f t="shared" si="64"/>
        <v>Circulações</v>
      </c>
      <c r="M621" s="53" t="str">
        <f t="shared" si="64"/>
        <v>Verticales</v>
      </c>
      <c r="N621" s="53" t="str">
        <f t="shared" si="62"/>
        <v>Rampas</v>
      </c>
      <c r="O621" s="53" t="str">
        <f t="shared" si="62"/>
        <v>Rampa U</v>
      </c>
      <c r="P621" s="54" t="s">
        <v>3109</v>
      </c>
      <c r="Q621" s="54" t="s">
        <v>3110</v>
      </c>
      <c r="R621" s="54" t="s">
        <v>6600</v>
      </c>
      <c r="S621" s="54" t="s">
        <v>692</v>
      </c>
      <c r="T621" s="55" t="str">
        <f t="shared" si="65"/>
        <v>Circulações</v>
      </c>
      <c r="U621" s="55" t="str">
        <f t="shared" si="65"/>
        <v>Verticales</v>
      </c>
      <c r="V621" s="55" t="str">
        <f t="shared" si="65"/>
        <v>Rampas</v>
      </c>
      <c r="W621" s="54" t="s">
        <v>7259</v>
      </c>
      <c r="X621" s="84" t="str">
        <f t="shared" si="63"/>
        <v>Key-COD-CT-621</v>
      </c>
      <c r="Y621" s="84" t="s">
        <v>5584</v>
      </c>
      <c r="Z621" s="84" t="s">
        <v>692</v>
      </c>
      <c r="AA621" s="84" t="s">
        <v>5864</v>
      </c>
      <c r="AB621" s="84" t="s">
        <v>692</v>
      </c>
      <c r="AC621" s="84" t="s">
        <v>692</v>
      </c>
      <c r="AD621" s="54" t="s">
        <v>692</v>
      </c>
    </row>
    <row r="622" spans="1:30" ht="6.75" customHeight="1" x14ac:dyDescent="0.25">
      <c r="A622" s="85">
        <v>622</v>
      </c>
      <c r="B622" s="59" t="s">
        <v>5419</v>
      </c>
      <c r="C622" s="59" t="s">
        <v>3083</v>
      </c>
      <c r="D622" s="59" t="s">
        <v>3084</v>
      </c>
      <c r="E622" s="59" t="s">
        <v>3092</v>
      </c>
      <c r="F622" s="61" t="s">
        <v>3111</v>
      </c>
      <c r="G622" s="81" t="s">
        <v>692</v>
      </c>
      <c r="H622" s="81" t="s">
        <v>692</v>
      </c>
      <c r="I622" s="81" t="s">
        <v>692</v>
      </c>
      <c r="J622" s="81" t="s">
        <v>692</v>
      </c>
      <c r="K622" s="81" t="s">
        <v>692</v>
      </c>
      <c r="L622" s="53" t="str">
        <f t="shared" si="64"/>
        <v>Circulações</v>
      </c>
      <c r="M622" s="53" t="str">
        <f t="shared" si="64"/>
        <v>Verticales</v>
      </c>
      <c r="N622" s="53" t="str">
        <f t="shared" si="62"/>
        <v>Rampas</v>
      </c>
      <c r="O622" s="53" t="str">
        <f t="shared" si="62"/>
        <v>Rampa U Longo</v>
      </c>
      <c r="P622" s="54" t="s">
        <v>3112</v>
      </c>
      <c r="Q622" s="54" t="s">
        <v>3113</v>
      </c>
      <c r="R622" s="54" t="s">
        <v>6601</v>
      </c>
      <c r="S622" s="54" t="s">
        <v>692</v>
      </c>
      <c r="T622" s="55" t="str">
        <f t="shared" si="65"/>
        <v>Circulações</v>
      </c>
      <c r="U622" s="55" t="str">
        <f t="shared" si="65"/>
        <v>Verticales</v>
      </c>
      <c r="V622" s="55" t="str">
        <f t="shared" si="65"/>
        <v>Rampas</v>
      </c>
      <c r="W622" s="54" t="s">
        <v>7259</v>
      </c>
      <c r="X622" s="84" t="str">
        <f t="shared" si="63"/>
        <v>Key-COD-CT-622</v>
      </c>
      <c r="Y622" s="84" t="s">
        <v>5584</v>
      </c>
      <c r="Z622" s="84" t="s">
        <v>692</v>
      </c>
      <c r="AA622" s="84" t="s">
        <v>5865</v>
      </c>
      <c r="AB622" s="84" t="s">
        <v>692</v>
      </c>
      <c r="AC622" s="84" t="s">
        <v>692</v>
      </c>
      <c r="AD622" s="54" t="s">
        <v>692</v>
      </c>
    </row>
    <row r="623" spans="1:30" ht="6.75" customHeight="1" x14ac:dyDescent="0.25">
      <c r="A623" s="85">
        <v>623</v>
      </c>
      <c r="B623" s="59" t="s">
        <v>5419</v>
      </c>
      <c r="C623" s="59" t="s">
        <v>3083</v>
      </c>
      <c r="D623" s="59" t="s">
        <v>3084</v>
      </c>
      <c r="E623" s="59" t="s">
        <v>3092</v>
      </c>
      <c r="F623" s="61" t="s">
        <v>3114</v>
      </c>
      <c r="G623" s="81" t="s">
        <v>692</v>
      </c>
      <c r="H623" s="81" t="s">
        <v>692</v>
      </c>
      <c r="I623" s="81" t="s">
        <v>692</v>
      </c>
      <c r="J623" s="81" t="s">
        <v>692</v>
      </c>
      <c r="K623" s="81" t="s">
        <v>692</v>
      </c>
      <c r="L623" s="53" t="str">
        <f t="shared" si="64"/>
        <v>Circulações</v>
      </c>
      <c r="M623" s="53" t="str">
        <f t="shared" si="64"/>
        <v>Verticales</v>
      </c>
      <c r="N623" s="53" t="str">
        <f t="shared" si="62"/>
        <v>Rampas</v>
      </c>
      <c r="O623" s="53" t="str">
        <f t="shared" si="62"/>
        <v>Rampa L</v>
      </c>
      <c r="P623" s="54" t="s">
        <v>3115</v>
      </c>
      <c r="Q623" s="54" t="s">
        <v>3116</v>
      </c>
      <c r="R623" s="54" t="s">
        <v>6602</v>
      </c>
      <c r="S623" s="54" t="s">
        <v>692</v>
      </c>
      <c r="T623" s="55" t="str">
        <f t="shared" si="65"/>
        <v>Circulações</v>
      </c>
      <c r="U623" s="55" t="str">
        <f t="shared" si="65"/>
        <v>Verticales</v>
      </c>
      <c r="V623" s="55" t="str">
        <f t="shared" si="65"/>
        <v>Rampas</v>
      </c>
      <c r="W623" s="54" t="s">
        <v>7259</v>
      </c>
      <c r="X623" s="84" t="str">
        <f t="shared" si="63"/>
        <v>Key-COD-CT-623</v>
      </c>
      <c r="Y623" s="84" t="s">
        <v>5584</v>
      </c>
      <c r="Z623" s="84" t="s">
        <v>692</v>
      </c>
      <c r="AA623" s="84" t="s">
        <v>5866</v>
      </c>
      <c r="AB623" s="84" t="s">
        <v>692</v>
      </c>
      <c r="AC623" s="84" t="s">
        <v>692</v>
      </c>
      <c r="AD623" s="54" t="s">
        <v>692</v>
      </c>
    </row>
    <row r="624" spans="1:30" ht="6.75" customHeight="1" x14ac:dyDescent="0.25">
      <c r="A624" s="85">
        <v>624</v>
      </c>
      <c r="B624" s="59" t="s">
        <v>5419</v>
      </c>
      <c r="C624" s="59" t="s">
        <v>3083</v>
      </c>
      <c r="D624" s="59" t="s">
        <v>3084</v>
      </c>
      <c r="E624" s="59" t="s">
        <v>3092</v>
      </c>
      <c r="F624" s="61" t="s">
        <v>3117</v>
      </c>
      <c r="G624" s="81" t="s">
        <v>692</v>
      </c>
      <c r="H624" s="81" t="s">
        <v>692</v>
      </c>
      <c r="I624" s="81" t="s">
        <v>692</v>
      </c>
      <c r="J624" s="81" t="s">
        <v>692</v>
      </c>
      <c r="K624" s="81" t="s">
        <v>692</v>
      </c>
      <c r="L624" s="53" t="str">
        <f t="shared" si="64"/>
        <v>Circulações</v>
      </c>
      <c r="M624" s="53" t="str">
        <f t="shared" si="64"/>
        <v>Verticales</v>
      </c>
      <c r="N624" s="53" t="str">
        <f t="shared" si="62"/>
        <v>Rampas</v>
      </c>
      <c r="O624" s="53" t="str">
        <f t="shared" si="62"/>
        <v>Rampa Reta</v>
      </c>
      <c r="P624" s="54" t="s">
        <v>3118</v>
      </c>
      <c r="Q624" s="54" t="s">
        <v>3119</v>
      </c>
      <c r="R624" s="54" t="s">
        <v>6603</v>
      </c>
      <c r="S624" s="54" t="s">
        <v>692</v>
      </c>
      <c r="T624" s="55" t="str">
        <f t="shared" si="65"/>
        <v>Circulações</v>
      </c>
      <c r="U624" s="55" t="str">
        <f t="shared" si="65"/>
        <v>Verticales</v>
      </c>
      <c r="V624" s="55" t="str">
        <f t="shared" si="65"/>
        <v>Rampas</v>
      </c>
      <c r="W624" s="54" t="s">
        <v>7259</v>
      </c>
      <c r="X624" s="84" t="str">
        <f t="shared" si="63"/>
        <v>Key-COD-CT-624</v>
      </c>
      <c r="Y624" s="84" t="s">
        <v>5584</v>
      </c>
      <c r="Z624" s="84" t="s">
        <v>692</v>
      </c>
      <c r="AA624" s="84" t="s">
        <v>5867</v>
      </c>
      <c r="AB624" s="84" t="s">
        <v>692</v>
      </c>
      <c r="AC624" s="84" t="s">
        <v>692</v>
      </c>
      <c r="AD624" s="54" t="s">
        <v>692</v>
      </c>
    </row>
    <row r="625" spans="1:30" ht="6.75" customHeight="1" x14ac:dyDescent="0.25">
      <c r="A625" s="85">
        <v>625</v>
      </c>
      <c r="B625" s="59" t="s">
        <v>5419</v>
      </c>
      <c r="C625" s="59" t="s">
        <v>3083</v>
      </c>
      <c r="D625" s="59" t="s">
        <v>3084</v>
      </c>
      <c r="E625" s="59" t="s">
        <v>3092</v>
      </c>
      <c r="F625" s="61" t="s">
        <v>3120</v>
      </c>
      <c r="G625" s="81" t="s">
        <v>692</v>
      </c>
      <c r="H625" s="81" t="s">
        <v>692</v>
      </c>
      <c r="I625" s="81" t="s">
        <v>692</v>
      </c>
      <c r="J625" s="81" t="s">
        <v>692</v>
      </c>
      <c r="K625" s="81" t="s">
        <v>692</v>
      </c>
      <c r="L625" s="53" t="str">
        <f t="shared" si="64"/>
        <v>Circulações</v>
      </c>
      <c r="M625" s="53" t="str">
        <f t="shared" si="64"/>
        <v>Verticales</v>
      </c>
      <c r="N625" s="53" t="str">
        <f t="shared" si="62"/>
        <v>Rampas</v>
      </c>
      <c r="O625" s="53" t="str">
        <f t="shared" si="62"/>
        <v>Rampa Reta Dois Lances</v>
      </c>
      <c r="P625" s="54" t="s">
        <v>3121</v>
      </c>
      <c r="Q625" s="54" t="s">
        <v>3122</v>
      </c>
      <c r="R625" s="54" t="s">
        <v>6604</v>
      </c>
      <c r="S625" s="54" t="s">
        <v>692</v>
      </c>
      <c r="T625" s="55" t="str">
        <f t="shared" si="65"/>
        <v>Circulações</v>
      </c>
      <c r="U625" s="55" t="str">
        <f t="shared" si="65"/>
        <v>Verticales</v>
      </c>
      <c r="V625" s="55" t="str">
        <f t="shared" si="65"/>
        <v>Rampas</v>
      </c>
      <c r="W625" s="54" t="s">
        <v>7259</v>
      </c>
      <c r="X625" s="84" t="str">
        <f t="shared" si="63"/>
        <v>Key-COD-CT-625</v>
      </c>
      <c r="Y625" s="84" t="s">
        <v>5584</v>
      </c>
      <c r="Z625" s="84" t="s">
        <v>692</v>
      </c>
      <c r="AA625" s="84" t="s">
        <v>5868</v>
      </c>
      <c r="AB625" s="84" t="s">
        <v>692</v>
      </c>
      <c r="AC625" s="84" t="s">
        <v>692</v>
      </c>
      <c r="AD625" s="54" t="s">
        <v>692</v>
      </c>
    </row>
    <row r="626" spans="1:30" ht="6.75" customHeight="1" x14ac:dyDescent="0.25">
      <c r="A626" s="85">
        <v>626</v>
      </c>
      <c r="B626" s="59" t="s">
        <v>5419</v>
      </c>
      <c r="C626" s="59" t="s">
        <v>3083</v>
      </c>
      <c r="D626" s="59" t="s">
        <v>3084</v>
      </c>
      <c r="E626" s="59" t="s">
        <v>3092</v>
      </c>
      <c r="F626" s="80" t="s">
        <v>3123</v>
      </c>
      <c r="G626" s="81" t="s">
        <v>692</v>
      </c>
      <c r="H626" s="81" t="s">
        <v>692</v>
      </c>
      <c r="I626" s="81" t="s">
        <v>692</v>
      </c>
      <c r="J626" s="81" t="s">
        <v>692</v>
      </c>
      <c r="K626" s="81" t="s">
        <v>692</v>
      </c>
      <c r="L626" s="53" t="str">
        <f t="shared" si="64"/>
        <v>Circulações</v>
      </c>
      <c r="M626" s="53" t="str">
        <f t="shared" si="64"/>
        <v>Verticales</v>
      </c>
      <c r="N626" s="53" t="str">
        <f t="shared" si="62"/>
        <v>Rampas</v>
      </c>
      <c r="O626" s="53" t="str">
        <f t="shared" si="62"/>
        <v>Rampa Incompleta</v>
      </c>
      <c r="P626" s="54" t="s">
        <v>3124</v>
      </c>
      <c r="Q626" s="54" t="s">
        <v>3124</v>
      </c>
      <c r="R626" s="54" t="s">
        <v>6605</v>
      </c>
      <c r="S626" s="54" t="s">
        <v>692</v>
      </c>
      <c r="T626" s="55" t="str">
        <f t="shared" si="65"/>
        <v>Circulações</v>
      </c>
      <c r="U626" s="55" t="str">
        <f t="shared" si="65"/>
        <v>Verticales</v>
      </c>
      <c r="V626" s="55" t="str">
        <f t="shared" si="65"/>
        <v>Rampas</v>
      </c>
      <c r="W626" s="54" t="s">
        <v>7259</v>
      </c>
      <c r="X626" s="84" t="str">
        <f t="shared" si="63"/>
        <v>Key-COD-CT-626</v>
      </c>
      <c r="Y626" s="84" t="s">
        <v>5585</v>
      </c>
      <c r="Z626" s="84" t="s">
        <v>692</v>
      </c>
      <c r="AA626" s="84" t="s">
        <v>5456</v>
      </c>
      <c r="AB626" s="84" t="s">
        <v>692</v>
      </c>
      <c r="AC626" s="84" t="s">
        <v>692</v>
      </c>
      <c r="AD626" s="54" t="s">
        <v>692</v>
      </c>
    </row>
    <row r="627" spans="1:30" ht="6.75" customHeight="1" x14ac:dyDescent="0.25">
      <c r="A627" s="85">
        <v>627</v>
      </c>
      <c r="B627" s="59" t="s">
        <v>5419</v>
      </c>
      <c r="C627" s="59" t="s">
        <v>3083</v>
      </c>
      <c r="D627" s="59" t="s">
        <v>3084</v>
      </c>
      <c r="E627" s="59" t="s">
        <v>3092</v>
      </c>
      <c r="F627" s="80" t="s">
        <v>3125</v>
      </c>
      <c r="G627" s="81" t="s">
        <v>692</v>
      </c>
      <c r="H627" s="81" t="s">
        <v>692</v>
      </c>
      <c r="I627" s="81" t="s">
        <v>692</v>
      </c>
      <c r="J627" s="81" t="s">
        <v>692</v>
      </c>
      <c r="K627" s="81" t="s">
        <v>692</v>
      </c>
      <c r="L627" s="53" t="str">
        <f t="shared" si="64"/>
        <v>Circulações</v>
      </c>
      <c r="M627" s="53" t="str">
        <f t="shared" si="64"/>
        <v>Verticales</v>
      </c>
      <c r="N627" s="53" t="str">
        <f t="shared" si="62"/>
        <v>Rampas</v>
      </c>
      <c r="O627" s="53" t="str">
        <f t="shared" si="62"/>
        <v>Rampa Suporte Lateral</v>
      </c>
      <c r="P627" s="54" t="s">
        <v>3126</v>
      </c>
      <c r="Q627" s="54" t="s">
        <v>3126</v>
      </c>
      <c r="R627" s="54" t="s">
        <v>6606</v>
      </c>
      <c r="S627" s="54" t="s">
        <v>692</v>
      </c>
      <c r="T627" s="55" t="str">
        <f t="shared" si="65"/>
        <v>Circulações</v>
      </c>
      <c r="U627" s="55" t="str">
        <f t="shared" si="65"/>
        <v>Verticales</v>
      </c>
      <c r="V627" s="55" t="str">
        <f t="shared" si="65"/>
        <v>Rampas</v>
      </c>
      <c r="W627" s="54" t="s">
        <v>7259</v>
      </c>
      <c r="X627" s="84" t="str">
        <f t="shared" si="63"/>
        <v>Key-COD-CT-627</v>
      </c>
      <c r="Y627" s="84" t="s">
        <v>5586</v>
      </c>
      <c r="Z627" s="84" t="s">
        <v>692</v>
      </c>
      <c r="AA627" s="84" t="s">
        <v>5456</v>
      </c>
      <c r="AB627" s="84" t="s">
        <v>692</v>
      </c>
      <c r="AC627" s="84" t="s">
        <v>692</v>
      </c>
      <c r="AD627" s="54" t="s">
        <v>692</v>
      </c>
    </row>
    <row r="628" spans="1:30" ht="6.75" customHeight="1" x14ac:dyDescent="0.25">
      <c r="A628" s="85">
        <v>628</v>
      </c>
      <c r="B628" s="59" t="s">
        <v>5419</v>
      </c>
      <c r="C628" s="59" t="s">
        <v>3083</v>
      </c>
      <c r="D628" s="59" t="s">
        <v>3084</v>
      </c>
      <c r="E628" s="59" t="s">
        <v>3092</v>
      </c>
      <c r="F628" s="80" t="s">
        <v>3127</v>
      </c>
      <c r="G628" s="81" t="s">
        <v>692</v>
      </c>
      <c r="H628" s="81" t="s">
        <v>692</v>
      </c>
      <c r="I628" s="81" t="s">
        <v>692</v>
      </c>
      <c r="J628" s="81" t="s">
        <v>692</v>
      </c>
      <c r="K628" s="81" t="s">
        <v>692</v>
      </c>
      <c r="L628" s="53" t="str">
        <f t="shared" si="64"/>
        <v>Circulações</v>
      </c>
      <c r="M628" s="53" t="str">
        <f t="shared" si="64"/>
        <v>Verticales</v>
      </c>
      <c r="N628" s="53" t="str">
        <f t="shared" si="62"/>
        <v>Rampas</v>
      </c>
      <c r="O628" s="53" t="str">
        <f t="shared" si="62"/>
        <v>Rampa Suporte Lateral Projeção</v>
      </c>
      <c r="P628" s="54" t="s">
        <v>3128</v>
      </c>
      <c r="Q628" s="54" t="s">
        <v>3129</v>
      </c>
      <c r="R628" s="54" t="s">
        <v>6607</v>
      </c>
      <c r="S628" s="54" t="s">
        <v>692</v>
      </c>
      <c r="T628" s="55" t="str">
        <f t="shared" si="65"/>
        <v>Circulações</v>
      </c>
      <c r="U628" s="55" t="str">
        <f t="shared" si="65"/>
        <v>Verticales</v>
      </c>
      <c r="V628" s="55" t="str">
        <f t="shared" si="65"/>
        <v>Rampas</v>
      </c>
      <c r="W628" s="54" t="s">
        <v>7259</v>
      </c>
      <c r="X628" s="84" t="str">
        <f t="shared" si="63"/>
        <v>Key-COD-CT-628</v>
      </c>
      <c r="Y628" s="84" t="s">
        <v>5587</v>
      </c>
      <c r="Z628" s="84" t="s">
        <v>692</v>
      </c>
      <c r="AA628" s="84" t="s">
        <v>5456</v>
      </c>
      <c r="AB628" s="84" t="s">
        <v>692</v>
      </c>
      <c r="AC628" s="84" t="s">
        <v>692</v>
      </c>
      <c r="AD628" s="54" t="s">
        <v>692</v>
      </c>
    </row>
    <row r="629" spans="1:30" ht="6.75" customHeight="1" x14ac:dyDescent="0.25">
      <c r="A629" s="85">
        <v>629</v>
      </c>
      <c r="B629" s="59" t="s">
        <v>5419</v>
      </c>
      <c r="C629" s="59" t="s">
        <v>3083</v>
      </c>
      <c r="D629" s="59" t="s">
        <v>3084</v>
      </c>
      <c r="E629" s="59" t="s">
        <v>3092</v>
      </c>
      <c r="F629" s="80" t="s">
        <v>3130</v>
      </c>
      <c r="G629" s="81" t="s">
        <v>692</v>
      </c>
      <c r="H629" s="81" t="s">
        <v>692</v>
      </c>
      <c r="I629" s="81" t="s">
        <v>692</v>
      </c>
      <c r="J629" s="81" t="s">
        <v>692</v>
      </c>
      <c r="K629" s="81" t="s">
        <v>692</v>
      </c>
      <c r="L629" s="53" t="str">
        <f t="shared" si="64"/>
        <v>Circulações</v>
      </c>
      <c r="M629" s="53" t="str">
        <f t="shared" si="64"/>
        <v>Verticales</v>
      </c>
      <c r="N629" s="53" t="str">
        <f t="shared" si="62"/>
        <v>Rampas</v>
      </c>
      <c r="O629" s="53" t="str">
        <f t="shared" si="62"/>
        <v>Rampa Seta Sobe</v>
      </c>
      <c r="P629" s="54" t="s">
        <v>3131</v>
      </c>
      <c r="Q629" s="54" t="s">
        <v>3132</v>
      </c>
      <c r="R629" s="54" t="s">
        <v>6608</v>
      </c>
      <c r="S629" s="54" t="s">
        <v>692</v>
      </c>
      <c r="T629" s="55" t="str">
        <f t="shared" si="65"/>
        <v>Circulações</v>
      </c>
      <c r="U629" s="55" t="str">
        <f t="shared" si="65"/>
        <v>Verticales</v>
      </c>
      <c r="V629" s="55" t="str">
        <f t="shared" si="65"/>
        <v>Rampas</v>
      </c>
      <c r="W629" s="54" t="s">
        <v>7259</v>
      </c>
      <c r="X629" s="84" t="str">
        <f t="shared" si="63"/>
        <v>Key-COD-CT-629</v>
      </c>
      <c r="Y629" s="84" t="s">
        <v>5588</v>
      </c>
      <c r="Z629" s="84" t="s">
        <v>692</v>
      </c>
      <c r="AA629" s="84" t="s">
        <v>5456</v>
      </c>
      <c r="AB629" s="84" t="s">
        <v>692</v>
      </c>
      <c r="AC629" s="84" t="s">
        <v>692</v>
      </c>
      <c r="AD629" s="54" t="s">
        <v>692</v>
      </c>
    </row>
    <row r="630" spans="1:30" ht="6.75" customHeight="1" x14ac:dyDescent="0.25">
      <c r="A630" s="85">
        <v>630</v>
      </c>
      <c r="B630" s="59" t="s">
        <v>5419</v>
      </c>
      <c r="C630" s="59" t="s">
        <v>3083</v>
      </c>
      <c r="D630" s="59" t="s">
        <v>3084</v>
      </c>
      <c r="E630" s="59" t="s">
        <v>3092</v>
      </c>
      <c r="F630" s="80" t="s">
        <v>3133</v>
      </c>
      <c r="G630" s="81" t="s">
        <v>692</v>
      </c>
      <c r="H630" s="81" t="s">
        <v>692</v>
      </c>
      <c r="I630" s="81" t="s">
        <v>692</v>
      </c>
      <c r="J630" s="81" t="s">
        <v>692</v>
      </c>
      <c r="K630" s="81" t="s">
        <v>692</v>
      </c>
      <c r="L630" s="53" t="str">
        <f t="shared" si="64"/>
        <v>Circulações</v>
      </c>
      <c r="M630" s="53" t="str">
        <f t="shared" si="64"/>
        <v>Verticales</v>
      </c>
      <c r="N630" s="53" t="str">
        <f t="shared" si="62"/>
        <v>Rampas</v>
      </c>
      <c r="O630" s="53" t="str">
        <f t="shared" si="62"/>
        <v>Rampa Seta Desce</v>
      </c>
      <c r="P630" s="54" t="s">
        <v>3134</v>
      </c>
      <c r="Q630" s="54" t="s">
        <v>3135</v>
      </c>
      <c r="R630" s="54" t="s">
        <v>6609</v>
      </c>
      <c r="S630" s="54" t="s">
        <v>692</v>
      </c>
      <c r="T630" s="55" t="str">
        <f t="shared" si="65"/>
        <v>Circulações</v>
      </c>
      <c r="U630" s="55" t="str">
        <f t="shared" si="65"/>
        <v>Verticales</v>
      </c>
      <c r="V630" s="55" t="str">
        <f t="shared" si="65"/>
        <v>Rampas</v>
      </c>
      <c r="W630" s="54" t="s">
        <v>7259</v>
      </c>
      <c r="X630" s="84" t="str">
        <f t="shared" si="63"/>
        <v>Key-COD-CT-630</v>
      </c>
      <c r="Y630" s="84" t="s">
        <v>5589</v>
      </c>
      <c r="Z630" s="84" t="s">
        <v>692</v>
      </c>
      <c r="AA630" s="84" t="s">
        <v>5456</v>
      </c>
      <c r="AB630" s="84" t="s">
        <v>692</v>
      </c>
      <c r="AC630" s="84" t="s">
        <v>692</v>
      </c>
      <c r="AD630" s="54" t="s">
        <v>692</v>
      </c>
    </row>
    <row r="631" spans="1:30" ht="6.75" customHeight="1" x14ac:dyDescent="0.25">
      <c r="A631" s="85">
        <v>631</v>
      </c>
      <c r="B631" s="59" t="s">
        <v>5419</v>
      </c>
      <c r="C631" s="59" t="s">
        <v>3083</v>
      </c>
      <c r="D631" s="59" t="s">
        <v>3084</v>
      </c>
      <c r="E631" s="59" t="s">
        <v>3092</v>
      </c>
      <c r="F631" s="80" t="s">
        <v>3136</v>
      </c>
      <c r="G631" s="81" t="s">
        <v>692</v>
      </c>
      <c r="H631" s="81" t="s">
        <v>692</v>
      </c>
      <c r="I631" s="81" t="s">
        <v>692</v>
      </c>
      <c r="J631" s="81" t="s">
        <v>692</v>
      </c>
      <c r="K631" s="81" t="s">
        <v>692</v>
      </c>
      <c r="L631" s="53" t="str">
        <f t="shared" si="64"/>
        <v>Circulações</v>
      </c>
      <c r="M631" s="53" t="str">
        <f t="shared" si="64"/>
        <v>Verticales</v>
      </c>
      <c r="N631" s="53" t="str">
        <f t="shared" si="62"/>
        <v>Rampas</v>
      </c>
      <c r="O631" s="53" t="str">
        <f t="shared" si="62"/>
        <v>Rampa Texto Sobe</v>
      </c>
      <c r="P631" s="54" t="s">
        <v>3137</v>
      </c>
      <c r="Q631" s="54" t="s">
        <v>3137</v>
      </c>
      <c r="R631" s="54" t="s">
        <v>6610</v>
      </c>
      <c r="S631" s="54" t="s">
        <v>692</v>
      </c>
      <c r="T631" s="55" t="str">
        <f t="shared" si="65"/>
        <v>Circulações</v>
      </c>
      <c r="U631" s="55" t="str">
        <f t="shared" si="65"/>
        <v>Verticales</v>
      </c>
      <c r="V631" s="55" t="str">
        <f t="shared" si="65"/>
        <v>Rampas</v>
      </c>
      <c r="W631" s="54" t="s">
        <v>7259</v>
      </c>
      <c r="X631" s="84" t="str">
        <f t="shared" si="63"/>
        <v>Key-COD-CT-631</v>
      </c>
      <c r="Y631" s="84" t="s">
        <v>5590</v>
      </c>
      <c r="Z631" s="84" t="s">
        <v>692</v>
      </c>
      <c r="AA631" s="84" t="s">
        <v>5456</v>
      </c>
      <c r="AB631" s="84" t="s">
        <v>692</v>
      </c>
      <c r="AC631" s="84" t="s">
        <v>692</v>
      </c>
      <c r="AD631" s="54" t="s">
        <v>692</v>
      </c>
    </row>
    <row r="632" spans="1:30" ht="6.75" customHeight="1" x14ac:dyDescent="0.25">
      <c r="A632" s="85">
        <v>632</v>
      </c>
      <c r="B632" s="59" t="s">
        <v>5419</v>
      </c>
      <c r="C632" s="59" t="s">
        <v>3083</v>
      </c>
      <c r="D632" s="59" t="s">
        <v>3084</v>
      </c>
      <c r="E632" s="59" t="s">
        <v>3092</v>
      </c>
      <c r="F632" s="80" t="s">
        <v>3138</v>
      </c>
      <c r="G632" s="81" t="s">
        <v>692</v>
      </c>
      <c r="H632" s="81" t="s">
        <v>692</v>
      </c>
      <c r="I632" s="81" t="s">
        <v>692</v>
      </c>
      <c r="J632" s="81" t="s">
        <v>692</v>
      </c>
      <c r="K632" s="81" t="s">
        <v>692</v>
      </c>
      <c r="L632" s="53" t="str">
        <f t="shared" si="64"/>
        <v>Circulações</v>
      </c>
      <c r="M632" s="53" t="str">
        <f t="shared" si="64"/>
        <v>Verticales</v>
      </c>
      <c r="N632" s="53" t="str">
        <f t="shared" si="62"/>
        <v>Rampas</v>
      </c>
      <c r="O632" s="53" t="str">
        <f t="shared" si="62"/>
        <v>Rampa Texto Desce</v>
      </c>
      <c r="P632" s="54" t="s">
        <v>3139</v>
      </c>
      <c r="Q632" s="54" t="s">
        <v>3140</v>
      </c>
      <c r="R632" s="54" t="s">
        <v>6611</v>
      </c>
      <c r="S632" s="54" t="s">
        <v>692</v>
      </c>
      <c r="T632" s="55" t="str">
        <f t="shared" si="65"/>
        <v>Circulações</v>
      </c>
      <c r="U632" s="55" t="str">
        <f t="shared" si="65"/>
        <v>Verticales</v>
      </c>
      <c r="V632" s="55" t="str">
        <f t="shared" si="65"/>
        <v>Rampas</v>
      </c>
      <c r="W632" s="54" t="s">
        <v>7259</v>
      </c>
      <c r="X632" s="84" t="str">
        <f t="shared" si="63"/>
        <v>Key-COD-CT-632</v>
      </c>
      <c r="Y632" s="84" t="s">
        <v>5591</v>
      </c>
      <c r="Z632" s="84" t="s">
        <v>692</v>
      </c>
      <c r="AA632" s="84" t="s">
        <v>5456</v>
      </c>
      <c r="AB632" s="84" t="s">
        <v>692</v>
      </c>
      <c r="AC632" s="84" t="s">
        <v>692</v>
      </c>
      <c r="AD632" s="54" t="s">
        <v>692</v>
      </c>
    </row>
    <row r="633" spans="1:30" ht="6.75" customHeight="1" x14ac:dyDescent="0.25">
      <c r="A633" s="85">
        <v>633</v>
      </c>
      <c r="B633" s="59" t="s">
        <v>5419</v>
      </c>
      <c r="C633" s="59" t="s">
        <v>3083</v>
      </c>
      <c r="D633" s="59" t="s">
        <v>3084</v>
      </c>
      <c r="E633" s="59" t="s">
        <v>3092</v>
      </c>
      <c r="F633" s="80" t="s">
        <v>3141</v>
      </c>
      <c r="G633" s="81" t="s">
        <v>692</v>
      </c>
      <c r="H633" s="81" t="s">
        <v>692</v>
      </c>
      <c r="I633" s="81" t="s">
        <v>692</v>
      </c>
      <c r="J633" s="81" t="s">
        <v>692</v>
      </c>
      <c r="K633" s="81" t="s">
        <v>692</v>
      </c>
      <c r="L633" s="53" t="str">
        <f t="shared" si="64"/>
        <v>Circulações</v>
      </c>
      <c r="M633" s="53" t="str">
        <f t="shared" si="64"/>
        <v>Verticales</v>
      </c>
      <c r="N633" s="53" t="str">
        <f t="shared" si="62"/>
        <v>Rampas</v>
      </c>
      <c r="O633" s="53" t="str">
        <f t="shared" si="62"/>
        <v>Rampa Projeção</v>
      </c>
      <c r="P633" s="54" t="s">
        <v>3142</v>
      </c>
      <c r="Q633" s="54" t="s">
        <v>3143</v>
      </c>
      <c r="R633" s="54" t="s">
        <v>6612</v>
      </c>
      <c r="S633" s="54" t="s">
        <v>692</v>
      </c>
      <c r="T633" s="55" t="str">
        <f t="shared" si="65"/>
        <v>Circulações</v>
      </c>
      <c r="U633" s="55" t="str">
        <f t="shared" si="65"/>
        <v>Verticales</v>
      </c>
      <c r="V633" s="55" t="str">
        <f t="shared" si="65"/>
        <v>Rampas</v>
      </c>
      <c r="W633" s="54" t="s">
        <v>7259</v>
      </c>
      <c r="X633" s="84" t="str">
        <f t="shared" si="63"/>
        <v>Key-COD-CT-633</v>
      </c>
      <c r="Y633" s="84" t="s">
        <v>5592</v>
      </c>
      <c r="Z633" s="84" t="s">
        <v>692</v>
      </c>
      <c r="AA633" s="84" t="s">
        <v>5456</v>
      </c>
      <c r="AB633" s="84" t="s">
        <v>692</v>
      </c>
      <c r="AC633" s="84" t="s">
        <v>692</v>
      </c>
      <c r="AD633" s="54" t="s">
        <v>692</v>
      </c>
    </row>
    <row r="634" spans="1:30" ht="6.75" customHeight="1" x14ac:dyDescent="0.25">
      <c r="A634" s="85">
        <v>634</v>
      </c>
      <c r="B634" s="59" t="s">
        <v>5419</v>
      </c>
      <c r="C634" s="59" t="s">
        <v>3083</v>
      </c>
      <c r="D634" s="59" t="s">
        <v>3084</v>
      </c>
      <c r="E634" s="59" t="s">
        <v>3144</v>
      </c>
      <c r="F634" s="61" t="s">
        <v>3145</v>
      </c>
      <c r="G634" s="81" t="s">
        <v>692</v>
      </c>
      <c r="H634" s="81" t="s">
        <v>692</v>
      </c>
      <c r="I634" s="81" t="s">
        <v>692</v>
      </c>
      <c r="J634" s="81" t="s">
        <v>692</v>
      </c>
      <c r="K634" s="81" t="s">
        <v>692</v>
      </c>
      <c r="L634" s="53" t="str">
        <f t="shared" si="64"/>
        <v>Circulações</v>
      </c>
      <c r="M634" s="53" t="str">
        <f t="shared" si="64"/>
        <v>Verticales</v>
      </c>
      <c r="N634" s="53" t="str">
        <f t="shared" si="62"/>
        <v>Escadas</v>
      </c>
      <c r="O634" s="53" t="str">
        <f t="shared" si="62"/>
        <v>Escada</v>
      </c>
      <c r="P634" s="54" t="s">
        <v>3146</v>
      </c>
      <c r="Q634" s="54" t="s">
        <v>3147</v>
      </c>
      <c r="R634" s="54" t="s">
        <v>6613</v>
      </c>
      <c r="S634" s="54" t="s">
        <v>692</v>
      </c>
      <c r="T634" s="55" t="str">
        <f t="shared" si="65"/>
        <v>Circulações</v>
      </c>
      <c r="U634" s="55" t="str">
        <f t="shared" si="65"/>
        <v>Verticales</v>
      </c>
      <c r="V634" s="55" t="str">
        <f t="shared" si="65"/>
        <v>Escadas</v>
      </c>
      <c r="W634" s="54" t="s">
        <v>7259</v>
      </c>
      <c r="X634" s="84" t="str">
        <f t="shared" si="63"/>
        <v>Key-COD-CT-634</v>
      </c>
      <c r="Y634" s="84" t="s">
        <v>5593</v>
      </c>
      <c r="Z634" s="84" t="s">
        <v>692</v>
      </c>
      <c r="AA634" s="84" t="s">
        <v>5869</v>
      </c>
      <c r="AB634" s="84" t="s">
        <v>692</v>
      </c>
      <c r="AC634" s="84" t="s">
        <v>692</v>
      </c>
      <c r="AD634" s="54" t="s">
        <v>692</v>
      </c>
    </row>
    <row r="635" spans="1:30" ht="6.75" customHeight="1" x14ac:dyDescent="0.25">
      <c r="A635" s="85">
        <v>635</v>
      </c>
      <c r="B635" s="59" t="s">
        <v>5419</v>
      </c>
      <c r="C635" s="59" t="s">
        <v>3083</v>
      </c>
      <c r="D635" s="59" t="s">
        <v>3084</v>
      </c>
      <c r="E635" s="59" t="s">
        <v>3144</v>
      </c>
      <c r="F635" s="61" t="s">
        <v>3148</v>
      </c>
      <c r="G635" s="81" t="s">
        <v>692</v>
      </c>
      <c r="H635" s="81" t="s">
        <v>692</v>
      </c>
      <c r="I635" s="81" t="s">
        <v>692</v>
      </c>
      <c r="J635" s="81" t="s">
        <v>692</v>
      </c>
      <c r="K635" s="81" t="s">
        <v>692</v>
      </c>
      <c r="L635" s="53" t="str">
        <f t="shared" si="64"/>
        <v>Circulações</v>
      </c>
      <c r="M635" s="53" t="str">
        <f t="shared" si="64"/>
        <v>Verticales</v>
      </c>
      <c r="N635" s="53" t="str">
        <f t="shared" ref="N635:O698" si="66">(SUBSTITUTE(SUBSTITUTE(CONCATENATE("",E635),"."," ")," De "," de "))</f>
        <v>Escadas</v>
      </c>
      <c r="O635" s="53" t="str">
        <f t="shared" si="66"/>
        <v>Lance Escada</v>
      </c>
      <c r="P635" s="54" t="s">
        <v>3149</v>
      </c>
      <c r="Q635" s="54" t="s">
        <v>3150</v>
      </c>
      <c r="R635" s="54" t="s">
        <v>6614</v>
      </c>
      <c r="S635" s="54" t="s">
        <v>692</v>
      </c>
      <c r="T635" s="55" t="str">
        <f t="shared" si="65"/>
        <v>Circulações</v>
      </c>
      <c r="U635" s="55" t="str">
        <f t="shared" si="65"/>
        <v>Verticales</v>
      </c>
      <c r="V635" s="55" t="str">
        <f t="shared" si="65"/>
        <v>Escadas</v>
      </c>
      <c r="W635" s="54" t="s">
        <v>7259</v>
      </c>
      <c r="X635" s="84" t="str">
        <f t="shared" si="63"/>
        <v>Key-COD-CT-635</v>
      </c>
      <c r="Y635" s="84" t="s">
        <v>5593</v>
      </c>
      <c r="Z635" s="84" t="s">
        <v>692</v>
      </c>
      <c r="AA635" s="84" t="s">
        <v>5870</v>
      </c>
      <c r="AB635" s="84" t="s">
        <v>692</v>
      </c>
      <c r="AC635" s="84" t="s">
        <v>692</v>
      </c>
      <c r="AD635" s="54" t="s">
        <v>692</v>
      </c>
    </row>
    <row r="636" spans="1:30" ht="6.75" customHeight="1" x14ac:dyDescent="0.25">
      <c r="A636" s="85">
        <v>636</v>
      </c>
      <c r="B636" s="59" t="s">
        <v>5419</v>
      </c>
      <c r="C636" s="59" t="s">
        <v>3083</v>
      </c>
      <c r="D636" s="59" t="s">
        <v>3084</v>
      </c>
      <c r="E636" s="59" t="s">
        <v>3144</v>
      </c>
      <c r="F636" s="61" t="s">
        <v>3151</v>
      </c>
      <c r="G636" s="81" t="s">
        <v>692</v>
      </c>
      <c r="H636" s="81" t="s">
        <v>692</v>
      </c>
      <c r="I636" s="81" t="s">
        <v>692</v>
      </c>
      <c r="J636" s="81" t="s">
        <v>692</v>
      </c>
      <c r="K636" s="81" t="s">
        <v>692</v>
      </c>
      <c r="L636" s="53" t="str">
        <f t="shared" si="64"/>
        <v>Circulações</v>
      </c>
      <c r="M636" s="53" t="str">
        <f t="shared" si="64"/>
        <v>Verticales</v>
      </c>
      <c r="N636" s="53" t="str">
        <f t="shared" si="66"/>
        <v>Escadas</v>
      </c>
      <c r="O636" s="53" t="str">
        <f t="shared" si="66"/>
        <v>Lance Escada Curvo</v>
      </c>
      <c r="P636" s="54" t="s">
        <v>3152</v>
      </c>
      <c r="Q636" s="54" t="s">
        <v>3153</v>
      </c>
      <c r="R636" s="54" t="s">
        <v>6615</v>
      </c>
      <c r="S636" s="54" t="s">
        <v>692</v>
      </c>
      <c r="T636" s="55" t="str">
        <f t="shared" si="65"/>
        <v>Circulações</v>
      </c>
      <c r="U636" s="55" t="str">
        <f t="shared" si="65"/>
        <v>Verticales</v>
      </c>
      <c r="V636" s="55" t="str">
        <f t="shared" si="65"/>
        <v>Escadas</v>
      </c>
      <c r="W636" s="54" t="s">
        <v>7259</v>
      </c>
      <c r="X636" s="84" t="str">
        <f t="shared" si="63"/>
        <v>Key-COD-CT-636</v>
      </c>
      <c r="Y636" s="84" t="s">
        <v>5593</v>
      </c>
      <c r="Z636" s="84" t="s">
        <v>692</v>
      </c>
      <c r="AA636" s="84" t="s">
        <v>5871</v>
      </c>
      <c r="AB636" s="84" t="s">
        <v>692</v>
      </c>
      <c r="AC636" s="84" t="s">
        <v>692</v>
      </c>
      <c r="AD636" s="54" t="s">
        <v>692</v>
      </c>
    </row>
    <row r="637" spans="1:30" ht="6.75" customHeight="1" x14ac:dyDescent="0.25">
      <c r="A637" s="85">
        <v>637</v>
      </c>
      <c r="B637" s="59" t="s">
        <v>5419</v>
      </c>
      <c r="C637" s="59" t="s">
        <v>3083</v>
      </c>
      <c r="D637" s="59" t="s">
        <v>3084</v>
      </c>
      <c r="E637" s="59" t="s">
        <v>3144</v>
      </c>
      <c r="F637" s="61" t="s">
        <v>3154</v>
      </c>
      <c r="G637" s="81" t="s">
        <v>692</v>
      </c>
      <c r="H637" s="81" t="s">
        <v>692</v>
      </c>
      <c r="I637" s="81" t="s">
        <v>692</v>
      </c>
      <c r="J637" s="81" t="s">
        <v>692</v>
      </c>
      <c r="K637" s="81" t="s">
        <v>692</v>
      </c>
      <c r="L637" s="53" t="str">
        <f t="shared" si="64"/>
        <v>Circulações</v>
      </c>
      <c r="M637" s="53" t="str">
        <f t="shared" si="64"/>
        <v>Verticales</v>
      </c>
      <c r="N637" s="53" t="str">
        <f t="shared" si="66"/>
        <v>Escadas</v>
      </c>
      <c r="O637" s="53" t="str">
        <f t="shared" si="66"/>
        <v>Lance Escada Livre</v>
      </c>
      <c r="P637" s="54" t="s">
        <v>3155</v>
      </c>
      <c r="Q637" s="54" t="s">
        <v>3156</v>
      </c>
      <c r="R637" s="54" t="s">
        <v>6616</v>
      </c>
      <c r="S637" s="54" t="s">
        <v>692</v>
      </c>
      <c r="T637" s="55" t="str">
        <f t="shared" si="65"/>
        <v>Circulações</v>
      </c>
      <c r="U637" s="55" t="str">
        <f t="shared" si="65"/>
        <v>Verticales</v>
      </c>
      <c r="V637" s="55" t="str">
        <f t="shared" si="65"/>
        <v>Escadas</v>
      </c>
      <c r="W637" s="54" t="s">
        <v>7259</v>
      </c>
      <c r="X637" s="84" t="str">
        <f t="shared" si="63"/>
        <v>Key-COD-CT-637</v>
      </c>
      <c r="Y637" s="84" t="s">
        <v>5593</v>
      </c>
      <c r="Z637" s="84" t="s">
        <v>692</v>
      </c>
      <c r="AA637" s="84" t="s">
        <v>5872</v>
      </c>
      <c r="AB637" s="84" t="s">
        <v>692</v>
      </c>
      <c r="AC637" s="84" t="s">
        <v>692</v>
      </c>
      <c r="AD637" s="54" t="s">
        <v>692</v>
      </c>
    </row>
    <row r="638" spans="1:30" ht="6.75" customHeight="1" x14ac:dyDescent="0.25">
      <c r="A638" s="85">
        <v>638</v>
      </c>
      <c r="B638" s="59" t="s">
        <v>5419</v>
      </c>
      <c r="C638" s="59" t="s">
        <v>3083</v>
      </c>
      <c r="D638" s="59" t="s">
        <v>3084</v>
      </c>
      <c r="E638" s="59" t="s">
        <v>3144</v>
      </c>
      <c r="F638" s="61" t="s">
        <v>3157</v>
      </c>
      <c r="G638" s="81" t="s">
        <v>692</v>
      </c>
      <c r="H638" s="81" t="s">
        <v>692</v>
      </c>
      <c r="I638" s="81" t="s">
        <v>692</v>
      </c>
      <c r="J638" s="81" t="s">
        <v>692</v>
      </c>
      <c r="K638" s="81" t="s">
        <v>692</v>
      </c>
      <c r="L638" s="53" t="str">
        <f t="shared" si="64"/>
        <v>Circulações</v>
      </c>
      <c r="M638" s="53" t="str">
        <f t="shared" si="64"/>
        <v>Verticales</v>
      </c>
      <c r="N638" s="53" t="str">
        <f t="shared" si="66"/>
        <v>Escadas</v>
      </c>
      <c r="O638" s="53" t="str">
        <f t="shared" si="66"/>
        <v>Lance Escada Espiral</v>
      </c>
      <c r="P638" s="54" t="s">
        <v>3158</v>
      </c>
      <c r="Q638" s="54" t="s">
        <v>3159</v>
      </c>
      <c r="R638" s="54" t="s">
        <v>6617</v>
      </c>
      <c r="S638" s="54" t="s">
        <v>692</v>
      </c>
      <c r="T638" s="55" t="str">
        <f t="shared" si="65"/>
        <v>Circulações</v>
      </c>
      <c r="U638" s="55" t="str">
        <f t="shared" si="65"/>
        <v>Verticales</v>
      </c>
      <c r="V638" s="55" t="str">
        <f t="shared" si="65"/>
        <v>Escadas</v>
      </c>
      <c r="W638" s="54" t="s">
        <v>7259</v>
      </c>
      <c r="X638" s="84" t="str">
        <f t="shared" si="63"/>
        <v>Key-COD-CT-638</v>
      </c>
      <c r="Y638" s="84" t="s">
        <v>5593</v>
      </c>
      <c r="Z638" s="84" t="s">
        <v>692</v>
      </c>
      <c r="AA638" s="84" t="s">
        <v>5873</v>
      </c>
      <c r="AB638" s="84" t="s">
        <v>692</v>
      </c>
      <c r="AC638" s="84" t="s">
        <v>692</v>
      </c>
      <c r="AD638" s="54" t="s">
        <v>692</v>
      </c>
    </row>
    <row r="639" spans="1:30" ht="6.75" customHeight="1" x14ac:dyDescent="0.25">
      <c r="A639" s="85">
        <v>639</v>
      </c>
      <c r="B639" s="59" t="s">
        <v>5419</v>
      </c>
      <c r="C639" s="59" t="s">
        <v>3083</v>
      </c>
      <c r="D639" s="59" t="s">
        <v>3084</v>
      </c>
      <c r="E639" s="59" t="s">
        <v>3144</v>
      </c>
      <c r="F639" s="61" t="s">
        <v>3160</v>
      </c>
      <c r="G639" s="81" t="s">
        <v>692</v>
      </c>
      <c r="H639" s="81" t="s">
        <v>692</v>
      </c>
      <c r="I639" s="81" t="s">
        <v>692</v>
      </c>
      <c r="J639" s="81" t="s">
        <v>692</v>
      </c>
      <c r="K639" s="81" t="s">
        <v>692</v>
      </c>
      <c r="L639" s="53" t="str">
        <f t="shared" si="64"/>
        <v>Circulações</v>
      </c>
      <c r="M639" s="53" t="str">
        <f t="shared" si="64"/>
        <v>Verticales</v>
      </c>
      <c r="N639" s="53" t="str">
        <f t="shared" si="66"/>
        <v>Escadas</v>
      </c>
      <c r="O639" s="53" t="str">
        <f t="shared" si="66"/>
        <v>Lance Escada Reto</v>
      </c>
      <c r="P639" s="54" t="s">
        <v>3161</v>
      </c>
      <c r="Q639" s="54" t="s">
        <v>3162</v>
      </c>
      <c r="R639" s="54" t="s">
        <v>6618</v>
      </c>
      <c r="S639" s="54" t="s">
        <v>692</v>
      </c>
      <c r="T639" s="55" t="str">
        <f t="shared" si="65"/>
        <v>Circulações</v>
      </c>
      <c r="U639" s="55" t="str">
        <f t="shared" si="65"/>
        <v>Verticales</v>
      </c>
      <c r="V639" s="55" t="str">
        <f t="shared" si="65"/>
        <v>Escadas</v>
      </c>
      <c r="W639" s="54" t="s">
        <v>7259</v>
      </c>
      <c r="X639" s="84" t="str">
        <f t="shared" si="63"/>
        <v>Key-COD-CT-639</v>
      </c>
      <c r="Y639" s="84" t="s">
        <v>5593</v>
      </c>
      <c r="Z639" s="84" t="s">
        <v>692</v>
      </c>
      <c r="AA639" s="84" t="s">
        <v>5874</v>
      </c>
      <c r="AB639" s="84" t="s">
        <v>692</v>
      </c>
      <c r="AC639" s="84" t="s">
        <v>692</v>
      </c>
      <c r="AD639" s="54" t="s">
        <v>692</v>
      </c>
    </row>
    <row r="640" spans="1:30" ht="6.75" customHeight="1" x14ac:dyDescent="0.25">
      <c r="A640" s="85">
        <v>640</v>
      </c>
      <c r="B640" s="59" t="s">
        <v>5419</v>
      </c>
      <c r="C640" s="59" t="s">
        <v>3083</v>
      </c>
      <c r="D640" s="59" t="s">
        <v>3084</v>
      </c>
      <c r="E640" s="59" t="s">
        <v>3144</v>
      </c>
      <c r="F640" s="61" t="s">
        <v>3163</v>
      </c>
      <c r="G640" s="81" t="s">
        <v>692</v>
      </c>
      <c r="H640" s="81" t="s">
        <v>692</v>
      </c>
      <c r="I640" s="81" t="s">
        <v>692</v>
      </c>
      <c r="J640" s="81" t="s">
        <v>692</v>
      </c>
      <c r="K640" s="81" t="s">
        <v>692</v>
      </c>
      <c r="L640" s="53" t="str">
        <f t="shared" si="64"/>
        <v>Circulações</v>
      </c>
      <c r="M640" s="53" t="str">
        <f t="shared" si="64"/>
        <v>Verticales</v>
      </c>
      <c r="N640" s="53" t="str">
        <f t="shared" si="66"/>
        <v>Escadas</v>
      </c>
      <c r="O640" s="53" t="str">
        <f t="shared" si="66"/>
        <v>Lance Escada Compensado</v>
      </c>
      <c r="P640" s="54" t="s">
        <v>3164</v>
      </c>
      <c r="Q640" s="54" t="s">
        <v>3165</v>
      </c>
      <c r="R640" s="54" t="s">
        <v>6619</v>
      </c>
      <c r="S640" s="54" t="s">
        <v>692</v>
      </c>
      <c r="T640" s="55" t="str">
        <f t="shared" si="65"/>
        <v>Circulações</v>
      </c>
      <c r="U640" s="55" t="str">
        <f t="shared" si="65"/>
        <v>Verticales</v>
      </c>
      <c r="V640" s="55" t="str">
        <f t="shared" si="65"/>
        <v>Escadas</v>
      </c>
      <c r="W640" s="54" t="s">
        <v>7259</v>
      </c>
      <c r="X640" s="84" t="str">
        <f t="shared" si="63"/>
        <v>Key-COD-CT-640</v>
      </c>
      <c r="Y640" s="84" t="s">
        <v>5593</v>
      </c>
      <c r="Z640" s="84" t="s">
        <v>692</v>
      </c>
      <c r="AA640" s="84" t="s">
        <v>5875</v>
      </c>
      <c r="AB640" s="84" t="s">
        <v>692</v>
      </c>
      <c r="AC640" s="84" t="s">
        <v>692</v>
      </c>
      <c r="AD640" s="54" t="s">
        <v>692</v>
      </c>
    </row>
    <row r="641" spans="1:30" ht="6.75" customHeight="1" x14ac:dyDescent="0.25">
      <c r="A641" s="85">
        <v>641</v>
      </c>
      <c r="B641" s="59" t="s">
        <v>5419</v>
      </c>
      <c r="C641" s="59" t="s">
        <v>3083</v>
      </c>
      <c r="D641" s="59" t="s">
        <v>3084</v>
      </c>
      <c r="E641" s="59" t="s">
        <v>3144</v>
      </c>
      <c r="F641" s="61" t="s">
        <v>3166</v>
      </c>
      <c r="G641" s="81" t="s">
        <v>692</v>
      </c>
      <c r="H641" s="81" t="s">
        <v>692</v>
      </c>
      <c r="I641" s="81" t="s">
        <v>692</v>
      </c>
      <c r="J641" s="81" t="s">
        <v>692</v>
      </c>
      <c r="K641" s="81" t="s">
        <v>692</v>
      </c>
      <c r="L641" s="53" t="str">
        <f t="shared" si="64"/>
        <v>Circulações</v>
      </c>
      <c r="M641" s="53" t="str">
        <f t="shared" si="64"/>
        <v>Verticales</v>
      </c>
      <c r="N641" s="53" t="str">
        <f t="shared" si="66"/>
        <v>Escadas</v>
      </c>
      <c r="O641" s="53" t="str">
        <f t="shared" si="66"/>
        <v>Escada Marinheiro</v>
      </c>
      <c r="P641" s="54" t="s">
        <v>3167</v>
      </c>
      <c r="Q641" s="54" t="s">
        <v>3168</v>
      </c>
      <c r="R641" s="54" t="s">
        <v>6620</v>
      </c>
      <c r="S641" s="54" t="s">
        <v>692</v>
      </c>
      <c r="T641" s="55" t="str">
        <f t="shared" si="65"/>
        <v>Circulações</v>
      </c>
      <c r="U641" s="55" t="str">
        <f t="shared" si="65"/>
        <v>Verticales</v>
      </c>
      <c r="V641" s="55" t="str">
        <f t="shared" si="65"/>
        <v>Escadas</v>
      </c>
      <c r="W641" s="54" t="s">
        <v>7259</v>
      </c>
      <c r="X641" s="84" t="str">
        <f t="shared" si="63"/>
        <v>Key-COD-CT-641</v>
      </c>
      <c r="Y641" s="84" t="s">
        <v>5593</v>
      </c>
      <c r="Z641" s="84" t="s">
        <v>692</v>
      </c>
      <c r="AA641" s="84" t="s">
        <v>5876</v>
      </c>
      <c r="AB641" s="84" t="s">
        <v>692</v>
      </c>
      <c r="AC641" s="84" t="s">
        <v>692</v>
      </c>
      <c r="AD641" s="54" t="s">
        <v>692</v>
      </c>
    </row>
    <row r="642" spans="1:30" ht="6.75" customHeight="1" x14ac:dyDescent="0.25">
      <c r="A642" s="85">
        <v>642</v>
      </c>
      <c r="B642" s="59" t="s">
        <v>5419</v>
      </c>
      <c r="C642" s="59" t="s">
        <v>3083</v>
      </c>
      <c r="D642" s="59" t="s">
        <v>3084</v>
      </c>
      <c r="E642" s="59" t="s">
        <v>3144</v>
      </c>
      <c r="F642" s="61" t="s">
        <v>3169</v>
      </c>
      <c r="G642" s="81" t="s">
        <v>692</v>
      </c>
      <c r="H642" s="81" t="s">
        <v>692</v>
      </c>
      <c r="I642" s="81" t="s">
        <v>692</v>
      </c>
      <c r="J642" s="81" t="s">
        <v>692</v>
      </c>
      <c r="K642" s="81" t="s">
        <v>692</v>
      </c>
      <c r="L642" s="53" t="str">
        <f t="shared" si="64"/>
        <v>Circulações</v>
      </c>
      <c r="M642" s="53" t="str">
        <f t="shared" si="64"/>
        <v>Verticales</v>
      </c>
      <c r="N642" s="53" t="str">
        <f t="shared" si="66"/>
        <v>Escadas</v>
      </c>
      <c r="O642" s="53" t="str">
        <f t="shared" si="66"/>
        <v>Escada Caracol</v>
      </c>
      <c r="P642" s="54" t="s">
        <v>3170</v>
      </c>
      <c r="Q642" s="54" t="s">
        <v>3171</v>
      </c>
      <c r="R642" s="54" t="s">
        <v>6621</v>
      </c>
      <c r="S642" s="54" t="s">
        <v>692</v>
      </c>
      <c r="T642" s="55" t="str">
        <f t="shared" si="65"/>
        <v>Circulações</v>
      </c>
      <c r="U642" s="55" t="str">
        <f t="shared" si="65"/>
        <v>Verticales</v>
      </c>
      <c r="V642" s="55" t="str">
        <f t="shared" si="65"/>
        <v>Escadas</v>
      </c>
      <c r="W642" s="54" t="s">
        <v>7259</v>
      </c>
      <c r="X642" s="84" t="str">
        <f t="shared" si="63"/>
        <v>Key-COD-CT-642</v>
      </c>
      <c r="Y642" s="84" t="s">
        <v>5593</v>
      </c>
      <c r="Z642" s="84" t="s">
        <v>692</v>
      </c>
      <c r="AA642" s="84" t="s">
        <v>5877</v>
      </c>
      <c r="AB642" s="84" t="s">
        <v>692</v>
      </c>
      <c r="AC642" s="84" t="s">
        <v>692</v>
      </c>
      <c r="AD642" s="54" t="s">
        <v>692</v>
      </c>
    </row>
    <row r="643" spans="1:30" ht="6.75" customHeight="1" x14ac:dyDescent="0.25">
      <c r="A643" s="85">
        <v>643</v>
      </c>
      <c r="B643" s="59" t="s">
        <v>5419</v>
      </c>
      <c r="C643" s="59" t="s">
        <v>3083</v>
      </c>
      <c r="D643" s="59" t="s">
        <v>3084</v>
      </c>
      <c r="E643" s="59" t="s">
        <v>3144</v>
      </c>
      <c r="F643" s="61" t="s">
        <v>3172</v>
      </c>
      <c r="G643" s="81" t="s">
        <v>692</v>
      </c>
      <c r="H643" s="81" t="s">
        <v>692</v>
      </c>
      <c r="I643" s="81" t="s">
        <v>692</v>
      </c>
      <c r="J643" s="81" t="s">
        <v>692</v>
      </c>
      <c r="K643" s="81" t="s">
        <v>692</v>
      </c>
      <c r="L643" s="53" t="str">
        <f t="shared" si="64"/>
        <v>Circulações</v>
      </c>
      <c r="M643" s="53" t="str">
        <f t="shared" si="64"/>
        <v>Verticales</v>
      </c>
      <c r="N643" s="53" t="str">
        <f t="shared" si="66"/>
        <v>Escadas</v>
      </c>
      <c r="O643" s="53" t="str">
        <f t="shared" si="66"/>
        <v>Escada T</v>
      </c>
      <c r="P643" s="54" t="s">
        <v>3173</v>
      </c>
      <c r="Q643" s="54" t="s">
        <v>3174</v>
      </c>
      <c r="R643" s="54" t="s">
        <v>6622</v>
      </c>
      <c r="S643" s="54" t="s">
        <v>692</v>
      </c>
      <c r="T643" s="55" t="str">
        <f t="shared" si="65"/>
        <v>Circulações</v>
      </c>
      <c r="U643" s="55" t="str">
        <f t="shared" si="65"/>
        <v>Verticales</v>
      </c>
      <c r="V643" s="55" t="str">
        <f t="shared" si="65"/>
        <v>Escadas</v>
      </c>
      <c r="W643" s="54" t="s">
        <v>7259</v>
      </c>
      <c r="X643" s="84" t="str">
        <f t="shared" ref="X643:X706" si="67">CONCATENATE("Key-COD-CT-",A643)</f>
        <v>Key-COD-CT-643</v>
      </c>
      <c r="Y643" s="84" t="s">
        <v>5593</v>
      </c>
      <c r="Z643" s="84" t="s">
        <v>692</v>
      </c>
      <c r="AA643" s="84" t="s">
        <v>5878</v>
      </c>
      <c r="AB643" s="84" t="s">
        <v>692</v>
      </c>
      <c r="AC643" s="84" t="s">
        <v>692</v>
      </c>
      <c r="AD643" s="54" t="s">
        <v>692</v>
      </c>
    </row>
    <row r="644" spans="1:30" ht="6.75" customHeight="1" x14ac:dyDescent="0.25">
      <c r="A644" s="85">
        <v>644</v>
      </c>
      <c r="B644" s="59" t="s">
        <v>5419</v>
      </c>
      <c r="C644" s="59" t="s">
        <v>3083</v>
      </c>
      <c r="D644" s="59" t="s">
        <v>3084</v>
      </c>
      <c r="E644" s="59" t="s">
        <v>3144</v>
      </c>
      <c r="F644" s="61" t="s">
        <v>3175</v>
      </c>
      <c r="G644" s="81" t="s">
        <v>692</v>
      </c>
      <c r="H644" s="81" t="s">
        <v>692</v>
      </c>
      <c r="I644" s="81" t="s">
        <v>692</v>
      </c>
      <c r="J644" s="81" t="s">
        <v>692</v>
      </c>
      <c r="K644" s="81" t="s">
        <v>692</v>
      </c>
      <c r="L644" s="53" t="str">
        <f t="shared" si="64"/>
        <v>Circulações</v>
      </c>
      <c r="M644" s="53" t="str">
        <f t="shared" si="64"/>
        <v>Verticales</v>
      </c>
      <c r="N644" s="53" t="str">
        <f t="shared" si="66"/>
        <v>Escadas</v>
      </c>
      <c r="O644" s="53" t="str">
        <f t="shared" si="66"/>
        <v>Escada U</v>
      </c>
      <c r="P644" s="54" t="s">
        <v>3176</v>
      </c>
      <c r="Q644" s="54" t="s">
        <v>3177</v>
      </c>
      <c r="R644" s="54" t="s">
        <v>6623</v>
      </c>
      <c r="S644" s="54" t="s">
        <v>692</v>
      </c>
      <c r="T644" s="55" t="str">
        <f t="shared" si="65"/>
        <v>Circulações</v>
      </c>
      <c r="U644" s="55" t="str">
        <f t="shared" si="65"/>
        <v>Verticales</v>
      </c>
      <c r="V644" s="55" t="str">
        <f t="shared" si="65"/>
        <v>Escadas</v>
      </c>
      <c r="W644" s="54" t="s">
        <v>7259</v>
      </c>
      <c r="X644" s="84" t="str">
        <f t="shared" si="67"/>
        <v>Key-COD-CT-644</v>
      </c>
      <c r="Y644" s="84" t="s">
        <v>5593</v>
      </c>
      <c r="Z644" s="84" t="s">
        <v>692</v>
      </c>
      <c r="AA644" s="84" t="s">
        <v>5879</v>
      </c>
      <c r="AB644" s="84" t="s">
        <v>692</v>
      </c>
      <c r="AC644" s="84" t="s">
        <v>692</v>
      </c>
      <c r="AD644" s="54" t="s">
        <v>692</v>
      </c>
    </row>
    <row r="645" spans="1:30" ht="6.75" customHeight="1" x14ac:dyDescent="0.25">
      <c r="A645" s="85">
        <v>645</v>
      </c>
      <c r="B645" s="59" t="s">
        <v>5419</v>
      </c>
      <c r="C645" s="59" t="s">
        <v>3083</v>
      </c>
      <c r="D645" s="59" t="s">
        <v>3084</v>
      </c>
      <c r="E645" s="59" t="s">
        <v>3144</v>
      </c>
      <c r="F645" s="61" t="s">
        <v>3178</v>
      </c>
      <c r="G645" s="81" t="s">
        <v>692</v>
      </c>
      <c r="H645" s="81" t="s">
        <v>692</v>
      </c>
      <c r="I645" s="81" t="s">
        <v>692</v>
      </c>
      <c r="J645" s="81" t="s">
        <v>692</v>
      </c>
      <c r="K645" s="81" t="s">
        <v>692</v>
      </c>
      <c r="L645" s="53" t="str">
        <f t="shared" si="64"/>
        <v>Circulações</v>
      </c>
      <c r="M645" s="53" t="str">
        <f t="shared" si="64"/>
        <v>Verticales</v>
      </c>
      <c r="N645" s="53" t="str">
        <f t="shared" si="66"/>
        <v>Escadas</v>
      </c>
      <c r="O645" s="53" t="str">
        <f t="shared" si="66"/>
        <v>Escada U Compensada</v>
      </c>
      <c r="P645" s="54" t="s">
        <v>3179</v>
      </c>
      <c r="Q645" s="54" t="s">
        <v>3180</v>
      </c>
      <c r="R645" s="54" t="s">
        <v>6624</v>
      </c>
      <c r="S645" s="54" t="s">
        <v>692</v>
      </c>
      <c r="T645" s="55" t="str">
        <f t="shared" si="65"/>
        <v>Circulações</v>
      </c>
      <c r="U645" s="55" t="str">
        <f t="shared" si="65"/>
        <v>Verticales</v>
      </c>
      <c r="V645" s="55" t="str">
        <f t="shared" si="65"/>
        <v>Escadas</v>
      </c>
      <c r="W645" s="54" t="s">
        <v>7259</v>
      </c>
      <c r="X645" s="84" t="str">
        <f t="shared" si="67"/>
        <v>Key-COD-CT-645</v>
      </c>
      <c r="Y645" s="84" t="s">
        <v>5593</v>
      </c>
      <c r="Z645" s="84" t="s">
        <v>692</v>
      </c>
      <c r="AA645" s="84" t="s">
        <v>5880</v>
      </c>
      <c r="AB645" s="84" t="s">
        <v>692</v>
      </c>
      <c r="AC645" s="84" t="s">
        <v>692</v>
      </c>
      <c r="AD645" s="54" t="s">
        <v>692</v>
      </c>
    </row>
    <row r="646" spans="1:30" ht="6.75" customHeight="1" x14ac:dyDescent="0.25">
      <c r="A646" s="85">
        <v>646</v>
      </c>
      <c r="B646" s="59" t="s">
        <v>5419</v>
      </c>
      <c r="C646" s="59" t="s">
        <v>3083</v>
      </c>
      <c r="D646" s="59" t="s">
        <v>3084</v>
      </c>
      <c r="E646" s="59" t="s">
        <v>3144</v>
      </c>
      <c r="F646" s="61" t="s">
        <v>3181</v>
      </c>
      <c r="G646" s="81" t="s">
        <v>692</v>
      </c>
      <c r="H646" s="81" t="s">
        <v>692</v>
      </c>
      <c r="I646" s="81" t="s">
        <v>692</v>
      </c>
      <c r="J646" s="81" t="s">
        <v>692</v>
      </c>
      <c r="K646" s="81" t="s">
        <v>692</v>
      </c>
      <c r="L646" s="53" t="str">
        <f t="shared" si="64"/>
        <v>Circulações</v>
      </c>
      <c r="M646" s="53" t="str">
        <f t="shared" si="64"/>
        <v>Verticales</v>
      </c>
      <c r="N646" s="53" t="str">
        <f t="shared" si="66"/>
        <v>Escadas</v>
      </c>
      <c r="O646" s="53" t="str">
        <f t="shared" si="66"/>
        <v>Escada L</v>
      </c>
      <c r="P646" s="54" t="s">
        <v>3182</v>
      </c>
      <c r="Q646" s="54" t="s">
        <v>3183</v>
      </c>
      <c r="R646" s="54" t="s">
        <v>6625</v>
      </c>
      <c r="S646" s="54" t="s">
        <v>692</v>
      </c>
      <c r="T646" s="55" t="str">
        <f t="shared" si="65"/>
        <v>Circulações</v>
      </c>
      <c r="U646" s="55" t="str">
        <f t="shared" si="65"/>
        <v>Verticales</v>
      </c>
      <c r="V646" s="55" t="str">
        <f t="shared" si="65"/>
        <v>Escadas</v>
      </c>
      <c r="W646" s="54" t="s">
        <v>7259</v>
      </c>
      <c r="X646" s="84" t="str">
        <f t="shared" si="67"/>
        <v>Key-COD-CT-646</v>
      </c>
      <c r="Y646" s="84" t="s">
        <v>5593</v>
      </c>
      <c r="Z646" s="84" t="s">
        <v>692</v>
      </c>
      <c r="AA646" s="84" t="s">
        <v>5881</v>
      </c>
      <c r="AB646" s="84" t="s">
        <v>692</v>
      </c>
      <c r="AC646" s="84" t="s">
        <v>692</v>
      </c>
      <c r="AD646" s="54" t="s">
        <v>692</v>
      </c>
    </row>
    <row r="647" spans="1:30" ht="6.75" customHeight="1" x14ac:dyDescent="0.25">
      <c r="A647" s="85">
        <v>647</v>
      </c>
      <c r="B647" s="59" t="s">
        <v>5419</v>
      </c>
      <c r="C647" s="59" t="s">
        <v>3083</v>
      </c>
      <c r="D647" s="59" t="s">
        <v>3084</v>
      </c>
      <c r="E647" s="59" t="s">
        <v>3144</v>
      </c>
      <c r="F647" s="61" t="s">
        <v>3184</v>
      </c>
      <c r="G647" s="81" t="s">
        <v>692</v>
      </c>
      <c r="H647" s="81" t="s">
        <v>692</v>
      </c>
      <c r="I647" s="81" t="s">
        <v>692</v>
      </c>
      <c r="J647" s="81" t="s">
        <v>692</v>
      </c>
      <c r="K647" s="81" t="s">
        <v>692</v>
      </c>
      <c r="L647" s="53" t="str">
        <f t="shared" ref="L647:M710" si="68">CONCATENATE("", C647)</f>
        <v>Circulações</v>
      </c>
      <c r="M647" s="53" t="str">
        <f t="shared" si="68"/>
        <v>Verticales</v>
      </c>
      <c r="N647" s="53" t="str">
        <f t="shared" si="66"/>
        <v>Escadas</v>
      </c>
      <c r="O647" s="53" t="str">
        <f t="shared" si="66"/>
        <v>Escada L Compensada</v>
      </c>
      <c r="P647" s="54" t="s">
        <v>3185</v>
      </c>
      <c r="Q647" s="54" t="s">
        <v>3186</v>
      </c>
      <c r="R647" s="54" t="s">
        <v>6626</v>
      </c>
      <c r="S647" s="54" t="s">
        <v>692</v>
      </c>
      <c r="T647" s="55" t="str">
        <f t="shared" si="65"/>
        <v>Circulações</v>
      </c>
      <c r="U647" s="55" t="str">
        <f t="shared" si="65"/>
        <v>Verticales</v>
      </c>
      <c r="V647" s="55" t="str">
        <f t="shared" si="65"/>
        <v>Escadas</v>
      </c>
      <c r="W647" s="54" t="s">
        <v>7259</v>
      </c>
      <c r="X647" s="84" t="str">
        <f t="shared" si="67"/>
        <v>Key-COD-CT-647</v>
      </c>
      <c r="Y647" s="84" t="s">
        <v>5593</v>
      </c>
      <c r="Z647" s="84" t="s">
        <v>692</v>
      </c>
      <c r="AA647" s="84" t="s">
        <v>5882</v>
      </c>
      <c r="AB647" s="84" t="s">
        <v>692</v>
      </c>
      <c r="AC647" s="84" t="s">
        <v>692</v>
      </c>
      <c r="AD647" s="54" t="s">
        <v>692</v>
      </c>
    </row>
    <row r="648" spans="1:30" ht="6.75" customHeight="1" x14ac:dyDescent="0.25">
      <c r="A648" s="85">
        <v>648</v>
      </c>
      <c r="B648" s="59" t="s">
        <v>5419</v>
      </c>
      <c r="C648" s="59" t="s">
        <v>3083</v>
      </c>
      <c r="D648" s="59" t="s">
        <v>3084</v>
      </c>
      <c r="E648" s="59" t="s">
        <v>3144</v>
      </c>
      <c r="F648" s="61" t="s">
        <v>3187</v>
      </c>
      <c r="G648" s="81" t="s">
        <v>692</v>
      </c>
      <c r="H648" s="81" t="s">
        <v>692</v>
      </c>
      <c r="I648" s="81" t="s">
        <v>692</v>
      </c>
      <c r="J648" s="81" t="s">
        <v>692</v>
      </c>
      <c r="K648" s="81" t="s">
        <v>692</v>
      </c>
      <c r="L648" s="53" t="str">
        <f t="shared" si="68"/>
        <v>Circulações</v>
      </c>
      <c r="M648" s="53" t="str">
        <f t="shared" si="68"/>
        <v>Verticales</v>
      </c>
      <c r="N648" s="53" t="str">
        <f t="shared" si="66"/>
        <v>Escadas</v>
      </c>
      <c r="O648" s="53" t="str">
        <f t="shared" si="66"/>
        <v>Escada 3 Lances</v>
      </c>
      <c r="P648" s="54" t="s">
        <v>3188</v>
      </c>
      <c r="Q648" s="54" t="s">
        <v>3189</v>
      </c>
      <c r="R648" s="54" t="s">
        <v>6627</v>
      </c>
      <c r="S648" s="54" t="s">
        <v>692</v>
      </c>
      <c r="T648" s="55" t="str">
        <f t="shared" si="65"/>
        <v>Circulações</v>
      </c>
      <c r="U648" s="55" t="str">
        <f t="shared" si="65"/>
        <v>Verticales</v>
      </c>
      <c r="V648" s="55" t="str">
        <f t="shared" si="65"/>
        <v>Escadas</v>
      </c>
      <c r="W648" s="54" t="s">
        <v>7259</v>
      </c>
      <c r="X648" s="84" t="str">
        <f t="shared" si="67"/>
        <v>Key-COD-CT-648</v>
      </c>
      <c r="Y648" s="84" t="s">
        <v>5593</v>
      </c>
      <c r="Z648" s="84" t="s">
        <v>692</v>
      </c>
      <c r="AA648" s="84" t="s">
        <v>5883</v>
      </c>
      <c r="AB648" s="84" t="s">
        <v>692</v>
      </c>
      <c r="AC648" s="84" t="s">
        <v>692</v>
      </c>
      <c r="AD648" s="54" t="s">
        <v>692</v>
      </c>
    </row>
    <row r="649" spans="1:30" ht="6.75" customHeight="1" x14ac:dyDescent="0.25">
      <c r="A649" s="85">
        <v>649</v>
      </c>
      <c r="B649" s="59" t="s">
        <v>5419</v>
      </c>
      <c r="C649" s="59" t="s">
        <v>3083</v>
      </c>
      <c r="D649" s="59" t="s">
        <v>3084</v>
      </c>
      <c r="E649" s="59" t="s">
        <v>3144</v>
      </c>
      <c r="F649" s="61" t="s">
        <v>3190</v>
      </c>
      <c r="G649" s="81" t="s">
        <v>692</v>
      </c>
      <c r="H649" s="81" t="s">
        <v>692</v>
      </c>
      <c r="I649" s="81" t="s">
        <v>692</v>
      </c>
      <c r="J649" s="81" t="s">
        <v>692</v>
      </c>
      <c r="K649" s="81" t="s">
        <v>692</v>
      </c>
      <c r="L649" s="53" t="str">
        <f t="shared" si="68"/>
        <v>Circulações</v>
      </c>
      <c r="M649" s="53" t="str">
        <f t="shared" si="68"/>
        <v>Verticales</v>
      </c>
      <c r="N649" s="53" t="str">
        <f t="shared" si="66"/>
        <v>Escadas</v>
      </c>
      <c r="O649" s="53" t="str">
        <f t="shared" si="66"/>
        <v>Escada 3 Lances Compensada</v>
      </c>
      <c r="P649" s="54" t="s">
        <v>3191</v>
      </c>
      <c r="Q649" s="54" t="s">
        <v>3192</v>
      </c>
      <c r="R649" s="54" t="s">
        <v>6628</v>
      </c>
      <c r="S649" s="54" t="s">
        <v>692</v>
      </c>
      <c r="T649" s="55" t="str">
        <f t="shared" si="65"/>
        <v>Circulações</v>
      </c>
      <c r="U649" s="55" t="str">
        <f t="shared" si="65"/>
        <v>Verticales</v>
      </c>
      <c r="V649" s="55" t="str">
        <f t="shared" si="65"/>
        <v>Escadas</v>
      </c>
      <c r="W649" s="54" t="s">
        <v>7259</v>
      </c>
      <c r="X649" s="84" t="str">
        <f t="shared" si="67"/>
        <v>Key-COD-CT-649</v>
      </c>
      <c r="Y649" s="84" t="s">
        <v>5593</v>
      </c>
      <c r="Z649" s="84" t="s">
        <v>692</v>
      </c>
      <c r="AA649" s="84" t="s">
        <v>5884</v>
      </c>
      <c r="AB649" s="84" t="s">
        <v>692</v>
      </c>
      <c r="AC649" s="84" t="s">
        <v>692</v>
      </c>
      <c r="AD649" s="54" t="s">
        <v>692</v>
      </c>
    </row>
    <row r="650" spans="1:30" ht="6.75" customHeight="1" x14ac:dyDescent="0.25">
      <c r="A650" s="85">
        <v>650</v>
      </c>
      <c r="B650" s="59" t="s">
        <v>5419</v>
      </c>
      <c r="C650" s="59" t="s">
        <v>3083</v>
      </c>
      <c r="D650" s="59" t="s">
        <v>3084</v>
      </c>
      <c r="E650" s="59" t="s">
        <v>3144</v>
      </c>
      <c r="F650" s="61" t="s">
        <v>3193</v>
      </c>
      <c r="G650" s="81" t="s">
        <v>692</v>
      </c>
      <c r="H650" s="81" t="s">
        <v>692</v>
      </c>
      <c r="I650" s="81" t="s">
        <v>692</v>
      </c>
      <c r="J650" s="81" t="s">
        <v>692</v>
      </c>
      <c r="K650" s="81" t="s">
        <v>692</v>
      </c>
      <c r="L650" s="53" t="str">
        <f t="shared" si="68"/>
        <v>Circulações</v>
      </c>
      <c r="M650" s="53" t="str">
        <f t="shared" si="68"/>
        <v>Verticales</v>
      </c>
      <c r="N650" s="53" t="str">
        <f t="shared" si="66"/>
        <v>Escadas</v>
      </c>
      <c r="O650" s="53" t="str">
        <f t="shared" si="66"/>
        <v>Escada 4 Lances</v>
      </c>
      <c r="P650" s="54" t="s">
        <v>3194</v>
      </c>
      <c r="Q650" s="54" t="s">
        <v>3195</v>
      </c>
      <c r="R650" s="54" t="s">
        <v>6629</v>
      </c>
      <c r="S650" s="54" t="s">
        <v>692</v>
      </c>
      <c r="T650" s="55" t="str">
        <f t="shared" si="65"/>
        <v>Circulações</v>
      </c>
      <c r="U650" s="55" t="str">
        <f t="shared" si="65"/>
        <v>Verticales</v>
      </c>
      <c r="V650" s="55" t="str">
        <f t="shared" si="65"/>
        <v>Escadas</v>
      </c>
      <c r="W650" s="54" t="s">
        <v>7259</v>
      </c>
      <c r="X650" s="84" t="str">
        <f t="shared" si="67"/>
        <v>Key-COD-CT-650</v>
      </c>
      <c r="Y650" s="84" t="s">
        <v>5593</v>
      </c>
      <c r="Z650" s="84" t="s">
        <v>692</v>
      </c>
      <c r="AA650" s="84" t="s">
        <v>5885</v>
      </c>
      <c r="AB650" s="84" t="s">
        <v>692</v>
      </c>
      <c r="AC650" s="84" t="s">
        <v>692</v>
      </c>
      <c r="AD650" s="54" t="s">
        <v>692</v>
      </c>
    </row>
    <row r="651" spans="1:30" ht="6.75" customHeight="1" x14ac:dyDescent="0.25">
      <c r="A651" s="85">
        <v>651</v>
      </c>
      <c r="B651" s="59" t="s">
        <v>5419</v>
      </c>
      <c r="C651" s="59" t="s">
        <v>3083</v>
      </c>
      <c r="D651" s="59" t="s">
        <v>3084</v>
      </c>
      <c r="E651" s="59" t="s">
        <v>3144</v>
      </c>
      <c r="F651" s="61" t="s">
        <v>3196</v>
      </c>
      <c r="G651" s="81" t="s">
        <v>692</v>
      </c>
      <c r="H651" s="81" t="s">
        <v>692</v>
      </c>
      <c r="I651" s="81" t="s">
        <v>692</v>
      </c>
      <c r="J651" s="81" t="s">
        <v>692</v>
      </c>
      <c r="K651" s="81" t="s">
        <v>692</v>
      </c>
      <c r="L651" s="53" t="str">
        <f t="shared" si="68"/>
        <v>Circulações</v>
      </c>
      <c r="M651" s="53" t="str">
        <f t="shared" si="68"/>
        <v>Verticales</v>
      </c>
      <c r="N651" s="53" t="str">
        <f t="shared" si="66"/>
        <v>Escadas</v>
      </c>
      <c r="O651" s="53" t="str">
        <f t="shared" si="66"/>
        <v>Escada 4 Lances Compensada</v>
      </c>
      <c r="P651" s="54" t="s">
        <v>3197</v>
      </c>
      <c r="Q651" s="54" t="s">
        <v>3198</v>
      </c>
      <c r="R651" s="54" t="s">
        <v>6630</v>
      </c>
      <c r="S651" s="54" t="s">
        <v>692</v>
      </c>
      <c r="T651" s="55" t="str">
        <f t="shared" si="65"/>
        <v>Circulações</v>
      </c>
      <c r="U651" s="55" t="str">
        <f t="shared" si="65"/>
        <v>Verticales</v>
      </c>
      <c r="V651" s="55" t="str">
        <f t="shared" si="65"/>
        <v>Escadas</v>
      </c>
      <c r="W651" s="54" t="s">
        <v>7259</v>
      </c>
      <c r="X651" s="84" t="str">
        <f t="shared" si="67"/>
        <v>Key-COD-CT-651</v>
      </c>
      <c r="Y651" s="84" t="s">
        <v>5593</v>
      </c>
      <c r="Z651" s="84" t="s">
        <v>692</v>
      </c>
      <c r="AA651" s="84" t="s">
        <v>5886</v>
      </c>
      <c r="AB651" s="84" t="s">
        <v>692</v>
      </c>
      <c r="AC651" s="84" t="s">
        <v>692</v>
      </c>
      <c r="AD651" s="54" t="s">
        <v>692</v>
      </c>
    </row>
    <row r="652" spans="1:30" ht="6.75" customHeight="1" x14ac:dyDescent="0.25">
      <c r="A652" s="85">
        <v>652</v>
      </c>
      <c r="B652" s="59" t="s">
        <v>5419</v>
      </c>
      <c r="C652" s="59" t="s">
        <v>3083</v>
      </c>
      <c r="D652" s="59" t="s">
        <v>3084</v>
      </c>
      <c r="E652" s="59" t="s">
        <v>3144</v>
      </c>
      <c r="F652" s="61" t="s">
        <v>3199</v>
      </c>
      <c r="G652" s="81" t="s">
        <v>692</v>
      </c>
      <c r="H652" s="81" t="s">
        <v>692</v>
      </c>
      <c r="I652" s="81" t="s">
        <v>692</v>
      </c>
      <c r="J652" s="81" t="s">
        <v>692</v>
      </c>
      <c r="K652" s="81" t="s">
        <v>692</v>
      </c>
      <c r="L652" s="53" t="str">
        <f t="shared" si="68"/>
        <v>Circulações</v>
      </c>
      <c r="M652" s="53" t="str">
        <f t="shared" si="68"/>
        <v>Verticales</v>
      </c>
      <c r="N652" s="53" t="str">
        <f t="shared" si="66"/>
        <v>Escadas</v>
      </c>
      <c r="O652" s="53" t="str">
        <f t="shared" si="66"/>
        <v>Escada Reta</v>
      </c>
      <c r="P652" s="54" t="s">
        <v>3200</v>
      </c>
      <c r="Q652" s="54" t="s">
        <v>3201</v>
      </c>
      <c r="R652" s="54" t="s">
        <v>6631</v>
      </c>
      <c r="S652" s="54" t="s">
        <v>692</v>
      </c>
      <c r="T652" s="55" t="str">
        <f t="shared" si="65"/>
        <v>Circulações</v>
      </c>
      <c r="U652" s="55" t="str">
        <f t="shared" si="65"/>
        <v>Verticales</v>
      </c>
      <c r="V652" s="55" t="str">
        <f t="shared" si="65"/>
        <v>Escadas</v>
      </c>
      <c r="W652" s="54" t="s">
        <v>7259</v>
      </c>
      <c r="X652" s="84" t="str">
        <f t="shared" si="67"/>
        <v>Key-COD-CT-652</v>
      </c>
      <c r="Y652" s="84" t="s">
        <v>5593</v>
      </c>
      <c r="Z652" s="84" t="s">
        <v>692</v>
      </c>
      <c r="AA652" s="84" t="s">
        <v>5887</v>
      </c>
      <c r="AB652" s="84" t="s">
        <v>692</v>
      </c>
      <c r="AC652" s="84" t="s">
        <v>692</v>
      </c>
      <c r="AD652" s="54" t="s">
        <v>692</v>
      </c>
    </row>
    <row r="653" spans="1:30" ht="6.75" customHeight="1" x14ac:dyDescent="0.25">
      <c r="A653" s="85">
        <v>653</v>
      </c>
      <c r="B653" s="59" t="s">
        <v>5419</v>
      </c>
      <c r="C653" s="59" t="s">
        <v>3083</v>
      </c>
      <c r="D653" s="59" t="s">
        <v>3084</v>
      </c>
      <c r="E653" s="59" t="s">
        <v>3144</v>
      </c>
      <c r="F653" s="61" t="s">
        <v>3202</v>
      </c>
      <c r="G653" s="81" t="s">
        <v>692</v>
      </c>
      <c r="H653" s="81" t="s">
        <v>692</v>
      </c>
      <c r="I653" s="81" t="s">
        <v>692</v>
      </c>
      <c r="J653" s="81" t="s">
        <v>692</v>
      </c>
      <c r="K653" s="81" t="s">
        <v>692</v>
      </c>
      <c r="L653" s="53" t="str">
        <f t="shared" si="68"/>
        <v>Circulações</v>
      </c>
      <c r="M653" s="53" t="str">
        <f t="shared" si="68"/>
        <v>Verticales</v>
      </c>
      <c r="N653" s="53" t="str">
        <f t="shared" si="66"/>
        <v>Escadas</v>
      </c>
      <c r="O653" s="53" t="str">
        <f t="shared" si="66"/>
        <v>Escada Reta Dois Lances</v>
      </c>
      <c r="P653" s="54" t="s">
        <v>3203</v>
      </c>
      <c r="Q653" s="54" t="s">
        <v>3204</v>
      </c>
      <c r="R653" s="54" t="s">
        <v>6632</v>
      </c>
      <c r="S653" s="54" t="s">
        <v>692</v>
      </c>
      <c r="T653" s="55" t="str">
        <f t="shared" si="65"/>
        <v>Circulações</v>
      </c>
      <c r="U653" s="55" t="str">
        <f t="shared" si="65"/>
        <v>Verticales</v>
      </c>
      <c r="V653" s="55" t="str">
        <f t="shared" si="65"/>
        <v>Escadas</v>
      </c>
      <c r="W653" s="54" t="s">
        <v>7259</v>
      </c>
      <c r="X653" s="84" t="str">
        <f t="shared" si="67"/>
        <v>Key-COD-CT-653</v>
      </c>
      <c r="Y653" s="84" t="s">
        <v>5593</v>
      </c>
      <c r="Z653" s="84" t="s">
        <v>692</v>
      </c>
      <c r="AA653" s="84" t="s">
        <v>5888</v>
      </c>
      <c r="AB653" s="84" t="s">
        <v>692</v>
      </c>
      <c r="AC653" s="84" t="s">
        <v>692</v>
      </c>
      <c r="AD653" s="54" t="s">
        <v>692</v>
      </c>
    </row>
    <row r="654" spans="1:30" ht="6.75" customHeight="1" x14ac:dyDescent="0.25">
      <c r="A654" s="85">
        <v>654</v>
      </c>
      <c r="B654" s="59" t="s">
        <v>5419</v>
      </c>
      <c r="C654" s="59" t="s">
        <v>3083</v>
      </c>
      <c r="D654" s="59" t="s">
        <v>3084</v>
      </c>
      <c r="E654" s="59" t="s">
        <v>3144</v>
      </c>
      <c r="F654" s="61" t="s">
        <v>3205</v>
      </c>
      <c r="G654" s="81" t="s">
        <v>692</v>
      </c>
      <c r="H654" s="81" t="s">
        <v>692</v>
      </c>
      <c r="I654" s="81" t="s">
        <v>692</v>
      </c>
      <c r="J654" s="81" t="s">
        <v>692</v>
      </c>
      <c r="K654" s="81" t="s">
        <v>692</v>
      </c>
      <c r="L654" s="53" t="str">
        <f t="shared" si="68"/>
        <v>Circulações</v>
      </c>
      <c r="M654" s="53" t="str">
        <f t="shared" si="68"/>
        <v>Verticales</v>
      </c>
      <c r="N654" s="53" t="str">
        <f t="shared" si="66"/>
        <v>Escadas</v>
      </c>
      <c r="O654" s="53" t="str">
        <f t="shared" si="66"/>
        <v>Escada Curva</v>
      </c>
      <c r="P654" s="54" t="s">
        <v>3206</v>
      </c>
      <c r="Q654" s="54" t="s">
        <v>3207</v>
      </c>
      <c r="R654" s="54" t="s">
        <v>6633</v>
      </c>
      <c r="S654" s="54" t="s">
        <v>692</v>
      </c>
      <c r="T654" s="55" t="str">
        <f t="shared" si="65"/>
        <v>Circulações</v>
      </c>
      <c r="U654" s="55" t="str">
        <f t="shared" si="65"/>
        <v>Verticales</v>
      </c>
      <c r="V654" s="55" t="str">
        <f t="shared" si="65"/>
        <v>Escadas</v>
      </c>
      <c r="W654" s="54" t="s">
        <v>7259</v>
      </c>
      <c r="X654" s="84" t="str">
        <f t="shared" si="67"/>
        <v>Key-COD-CT-654</v>
      </c>
      <c r="Y654" s="84" t="s">
        <v>5593</v>
      </c>
      <c r="Z654" s="84" t="s">
        <v>692</v>
      </c>
      <c r="AA654" s="84" t="s">
        <v>5889</v>
      </c>
      <c r="AB654" s="84" t="s">
        <v>692</v>
      </c>
      <c r="AC654" s="84" t="s">
        <v>692</v>
      </c>
      <c r="AD654" s="54" t="s">
        <v>692</v>
      </c>
    </row>
    <row r="655" spans="1:30" ht="6.75" customHeight="1" x14ac:dyDescent="0.25">
      <c r="A655" s="85">
        <v>655</v>
      </c>
      <c r="B655" s="59" t="s">
        <v>5419</v>
      </c>
      <c r="C655" s="59" t="s">
        <v>3083</v>
      </c>
      <c r="D655" s="59" t="s">
        <v>3084</v>
      </c>
      <c r="E655" s="59" t="s">
        <v>3144</v>
      </c>
      <c r="F655" s="61" t="s">
        <v>3208</v>
      </c>
      <c r="G655" s="81" t="s">
        <v>692</v>
      </c>
      <c r="H655" s="81" t="s">
        <v>692</v>
      </c>
      <c r="I655" s="81" t="s">
        <v>692</v>
      </c>
      <c r="J655" s="81" t="s">
        <v>692</v>
      </c>
      <c r="K655" s="81" t="s">
        <v>692</v>
      </c>
      <c r="L655" s="53" t="str">
        <f t="shared" si="68"/>
        <v>Circulações</v>
      </c>
      <c r="M655" s="53" t="str">
        <f t="shared" si="68"/>
        <v>Verticales</v>
      </c>
      <c r="N655" s="53" t="str">
        <f t="shared" si="66"/>
        <v>Escadas</v>
      </c>
      <c r="O655" s="53" t="str">
        <f t="shared" si="66"/>
        <v>Escada Curva 2 Lances</v>
      </c>
      <c r="P655" s="54" t="s">
        <v>3209</v>
      </c>
      <c r="Q655" s="54" t="s">
        <v>3210</v>
      </c>
      <c r="R655" s="54" t="s">
        <v>6634</v>
      </c>
      <c r="S655" s="54" t="s">
        <v>692</v>
      </c>
      <c r="T655" s="55" t="str">
        <f t="shared" si="65"/>
        <v>Circulações</v>
      </c>
      <c r="U655" s="55" t="str">
        <f t="shared" si="65"/>
        <v>Verticales</v>
      </c>
      <c r="V655" s="55" t="str">
        <f t="shared" si="65"/>
        <v>Escadas</v>
      </c>
      <c r="W655" s="54" t="s">
        <v>7259</v>
      </c>
      <c r="X655" s="84" t="str">
        <f t="shared" si="67"/>
        <v>Key-COD-CT-655</v>
      </c>
      <c r="Y655" s="84" t="s">
        <v>5593</v>
      </c>
      <c r="Z655" s="84" t="s">
        <v>692</v>
      </c>
      <c r="AA655" s="84" t="s">
        <v>5890</v>
      </c>
      <c r="AB655" s="84" t="s">
        <v>692</v>
      </c>
      <c r="AC655" s="84" t="s">
        <v>692</v>
      </c>
      <c r="AD655" s="54" t="s">
        <v>692</v>
      </c>
    </row>
    <row r="656" spans="1:30" ht="6.75" customHeight="1" x14ac:dyDescent="0.25">
      <c r="A656" s="85">
        <v>656</v>
      </c>
      <c r="B656" s="59" t="s">
        <v>5419</v>
      </c>
      <c r="C656" s="59" t="s">
        <v>3083</v>
      </c>
      <c r="D656" s="59" t="s">
        <v>3084</v>
      </c>
      <c r="E656" s="59" t="s">
        <v>3144</v>
      </c>
      <c r="F656" s="59" t="s">
        <v>3211</v>
      </c>
      <c r="G656" s="81" t="s">
        <v>692</v>
      </c>
      <c r="H656" s="81" t="s">
        <v>692</v>
      </c>
      <c r="I656" s="81" t="s">
        <v>692</v>
      </c>
      <c r="J656" s="81" t="s">
        <v>692</v>
      </c>
      <c r="K656" s="81" t="s">
        <v>692</v>
      </c>
      <c r="L656" s="53" t="str">
        <f t="shared" si="68"/>
        <v>Circulações</v>
      </c>
      <c r="M656" s="53" t="str">
        <f t="shared" si="68"/>
        <v>Verticales</v>
      </c>
      <c r="N656" s="53" t="str">
        <f t="shared" si="66"/>
        <v>Escadas</v>
      </c>
      <c r="O656" s="53" t="str">
        <f t="shared" si="66"/>
        <v>Escada Multiplos Andares</v>
      </c>
      <c r="P656" s="54" t="s">
        <v>3212</v>
      </c>
      <c r="Q656" s="54" t="s">
        <v>3213</v>
      </c>
      <c r="R656" s="54" t="s">
        <v>6635</v>
      </c>
      <c r="S656" s="54" t="s">
        <v>692</v>
      </c>
      <c r="T656" s="55" t="str">
        <f t="shared" si="65"/>
        <v>Circulações</v>
      </c>
      <c r="U656" s="55" t="str">
        <f t="shared" si="65"/>
        <v>Verticales</v>
      </c>
      <c r="V656" s="55" t="str">
        <f t="shared" si="65"/>
        <v>Escadas</v>
      </c>
      <c r="W656" s="54" t="s">
        <v>7259</v>
      </c>
      <c r="X656" s="84" t="str">
        <f t="shared" si="67"/>
        <v>Key-COD-CT-656</v>
      </c>
      <c r="Y656" s="84" t="s">
        <v>5594</v>
      </c>
      <c r="Z656" s="84" t="s">
        <v>692</v>
      </c>
      <c r="AA656" s="84" t="s">
        <v>5456</v>
      </c>
      <c r="AB656" s="84" t="s">
        <v>692</v>
      </c>
      <c r="AC656" s="84" t="s">
        <v>692</v>
      </c>
      <c r="AD656" s="54" t="s">
        <v>692</v>
      </c>
    </row>
    <row r="657" spans="1:30" ht="6.75" customHeight="1" x14ac:dyDescent="0.25">
      <c r="A657" s="85">
        <v>657</v>
      </c>
      <c r="B657" s="59" t="s">
        <v>5419</v>
      </c>
      <c r="C657" s="59" t="s">
        <v>3083</v>
      </c>
      <c r="D657" s="59" t="s">
        <v>3084</v>
      </c>
      <c r="E657" s="59" t="s">
        <v>3144</v>
      </c>
      <c r="F657" s="80" t="s">
        <v>3214</v>
      </c>
      <c r="G657" s="81" t="s">
        <v>692</v>
      </c>
      <c r="H657" s="81" t="s">
        <v>692</v>
      </c>
      <c r="I657" s="81" t="s">
        <v>692</v>
      </c>
      <c r="J657" s="81" t="s">
        <v>692</v>
      </c>
      <c r="K657" s="81" t="s">
        <v>692</v>
      </c>
      <c r="L657" s="53" t="str">
        <f t="shared" si="68"/>
        <v>Circulações</v>
      </c>
      <c r="M657" s="53" t="str">
        <f t="shared" si="68"/>
        <v>Verticales</v>
      </c>
      <c r="N657" s="53" t="str">
        <f t="shared" si="66"/>
        <v>Escadas</v>
      </c>
      <c r="O657" s="53" t="str">
        <f t="shared" si="66"/>
        <v>Escada Interrupção</v>
      </c>
      <c r="P657" s="54" t="s">
        <v>3215</v>
      </c>
      <c r="Q657" s="54" t="s">
        <v>3216</v>
      </c>
      <c r="R657" s="54" t="s">
        <v>6636</v>
      </c>
      <c r="S657" s="54" t="s">
        <v>692</v>
      </c>
      <c r="T657" s="55" t="str">
        <f t="shared" si="65"/>
        <v>Circulações</v>
      </c>
      <c r="U657" s="55" t="str">
        <f t="shared" si="65"/>
        <v>Verticales</v>
      </c>
      <c r="V657" s="55" t="str">
        <f t="shared" si="65"/>
        <v>Escadas</v>
      </c>
      <c r="W657" s="54" t="s">
        <v>7259</v>
      </c>
      <c r="X657" s="84" t="str">
        <f t="shared" si="67"/>
        <v>Key-COD-CT-657</v>
      </c>
      <c r="Y657" s="84" t="s">
        <v>5595</v>
      </c>
      <c r="Z657" s="84" t="s">
        <v>692</v>
      </c>
      <c r="AA657" s="84" t="s">
        <v>5456</v>
      </c>
      <c r="AB657" s="84" t="s">
        <v>692</v>
      </c>
      <c r="AC657" s="84" t="s">
        <v>692</v>
      </c>
      <c r="AD657" s="54" t="s">
        <v>692</v>
      </c>
    </row>
    <row r="658" spans="1:30" ht="6.75" customHeight="1" x14ac:dyDescent="0.25">
      <c r="A658" s="85">
        <v>658</v>
      </c>
      <c r="B658" s="59" t="s">
        <v>5419</v>
      </c>
      <c r="C658" s="59" t="s">
        <v>3083</v>
      </c>
      <c r="D658" s="59" t="s">
        <v>3084</v>
      </c>
      <c r="E658" s="59" t="s">
        <v>3144</v>
      </c>
      <c r="F658" s="80" t="s">
        <v>3217</v>
      </c>
      <c r="G658" s="81" t="s">
        <v>692</v>
      </c>
      <c r="H658" s="81" t="s">
        <v>692</v>
      </c>
      <c r="I658" s="81" t="s">
        <v>692</v>
      </c>
      <c r="J658" s="81" t="s">
        <v>692</v>
      </c>
      <c r="K658" s="81" t="s">
        <v>692</v>
      </c>
      <c r="L658" s="53" t="str">
        <f t="shared" si="68"/>
        <v>Circulações</v>
      </c>
      <c r="M658" s="53" t="str">
        <f t="shared" si="68"/>
        <v>Verticales</v>
      </c>
      <c r="N658" s="53" t="str">
        <f t="shared" si="66"/>
        <v>Escadas</v>
      </c>
      <c r="O658" s="53" t="str">
        <f t="shared" si="66"/>
        <v>Escada Interrupção Projeção</v>
      </c>
      <c r="P658" s="54" t="s">
        <v>3218</v>
      </c>
      <c r="Q658" s="54" t="s">
        <v>3219</v>
      </c>
      <c r="R658" s="54" t="s">
        <v>6637</v>
      </c>
      <c r="S658" s="54" t="s">
        <v>692</v>
      </c>
      <c r="T658" s="55" t="str">
        <f t="shared" si="65"/>
        <v>Circulações</v>
      </c>
      <c r="U658" s="55" t="str">
        <f t="shared" si="65"/>
        <v>Verticales</v>
      </c>
      <c r="V658" s="55" t="str">
        <f t="shared" si="65"/>
        <v>Escadas</v>
      </c>
      <c r="W658" s="54" t="s">
        <v>7259</v>
      </c>
      <c r="X658" s="84" t="str">
        <f t="shared" si="67"/>
        <v>Key-COD-CT-658</v>
      </c>
      <c r="Y658" s="84" t="s">
        <v>5596</v>
      </c>
      <c r="Z658" s="84" t="s">
        <v>692</v>
      </c>
      <c r="AA658" s="84" t="s">
        <v>5456</v>
      </c>
      <c r="AB658" s="84" t="s">
        <v>692</v>
      </c>
      <c r="AC658" s="84" t="s">
        <v>692</v>
      </c>
      <c r="AD658" s="54" t="s">
        <v>692</v>
      </c>
    </row>
    <row r="659" spans="1:30" ht="6.75" customHeight="1" x14ac:dyDescent="0.25">
      <c r="A659" s="85">
        <v>659</v>
      </c>
      <c r="B659" s="59" t="s">
        <v>5419</v>
      </c>
      <c r="C659" s="59" t="s">
        <v>3083</v>
      </c>
      <c r="D659" s="59" t="s">
        <v>3084</v>
      </c>
      <c r="E659" s="59" t="s">
        <v>3144</v>
      </c>
      <c r="F659" s="80" t="s">
        <v>3220</v>
      </c>
      <c r="G659" s="81" t="s">
        <v>692</v>
      </c>
      <c r="H659" s="81" t="s">
        <v>692</v>
      </c>
      <c r="I659" s="81" t="s">
        <v>692</v>
      </c>
      <c r="J659" s="81" t="s">
        <v>692</v>
      </c>
      <c r="K659" s="81" t="s">
        <v>692</v>
      </c>
      <c r="L659" s="53" t="str">
        <f t="shared" si="68"/>
        <v>Circulações</v>
      </c>
      <c r="M659" s="53" t="str">
        <f t="shared" si="68"/>
        <v>Verticales</v>
      </c>
      <c r="N659" s="53" t="str">
        <f t="shared" si="66"/>
        <v>Escadas</v>
      </c>
      <c r="O659" s="53" t="str">
        <f t="shared" si="66"/>
        <v>Escada Patamar</v>
      </c>
      <c r="P659" s="54" t="s">
        <v>3221</v>
      </c>
      <c r="Q659" s="54" t="s">
        <v>3222</v>
      </c>
      <c r="R659" s="54" t="s">
        <v>6638</v>
      </c>
      <c r="S659" s="54" t="s">
        <v>692</v>
      </c>
      <c r="T659" s="55" t="str">
        <f t="shared" si="65"/>
        <v>Circulações</v>
      </c>
      <c r="U659" s="55" t="str">
        <f t="shared" si="65"/>
        <v>Verticales</v>
      </c>
      <c r="V659" s="55" t="str">
        <f t="shared" si="65"/>
        <v>Escadas</v>
      </c>
      <c r="W659" s="54" t="s">
        <v>7259</v>
      </c>
      <c r="X659" s="84" t="str">
        <f t="shared" si="67"/>
        <v>Key-COD-CT-659</v>
      </c>
      <c r="Y659" s="84" t="s">
        <v>5597</v>
      </c>
      <c r="Z659" s="84" t="s">
        <v>692</v>
      </c>
      <c r="AA659" s="84" t="s">
        <v>5456</v>
      </c>
      <c r="AB659" s="84" t="s">
        <v>692</v>
      </c>
      <c r="AC659" s="84" t="s">
        <v>692</v>
      </c>
      <c r="AD659" s="54" t="s">
        <v>692</v>
      </c>
    </row>
    <row r="660" spans="1:30" ht="6.75" customHeight="1" x14ac:dyDescent="0.25">
      <c r="A660" s="85">
        <v>660</v>
      </c>
      <c r="B660" s="59" t="s">
        <v>5419</v>
      </c>
      <c r="C660" s="59" t="s">
        <v>3083</v>
      </c>
      <c r="D660" s="59" t="s">
        <v>3084</v>
      </c>
      <c r="E660" s="59" t="s">
        <v>3144</v>
      </c>
      <c r="F660" s="80" t="s">
        <v>3223</v>
      </c>
      <c r="G660" s="81" t="s">
        <v>692</v>
      </c>
      <c r="H660" s="81" t="s">
        <v>692</v>
      </c>
      <c r="I660" s="81" t="s">
        <v>692</v>
      </c>
      <c r="J660" s="81" t="s">
        <v>692</v>
      </c>
      <c r="K660" s="81" t="s">
        <v>692</v>
      </c>
      <c r="L660" s="53" t="str">
        <f t="shared" si="68"/>
        <v>Circulações</v>
      </c>
      <c r="M660" s="53" t="str">
        <f t="shared" si="68"/>
        <v>Verticales</v>
      </c>
      <c r="N660" s="53" t="str">
        <f t="shared" si="66"/>
        <v>Escadas</v>
      </c>
      <c r="O660" s="53" t="str">
        <f t="shared" si="66"/>
        <v>Escada Naris</v>
      </c>
      <c r="P660" s="54" t="s">
        <v>3224</v>
      </c>
      <c r="Q660" s="54" t="s">
        <v>3225</v>
      </c>
      <c r="R660" s="54" t="s">
        <v>6639</v>
      </c>
      <c r="S660" s="54" t="s">
        <v>692</v>
      </c>
      <c r="T660" s="55" t="str">
        <f t="shared" si="65"/>
        <v>Circulações</v>
      </c>
      <c r="U660" s="55" t="str">
        <f t="shared" si="65"/>
        <v>Verticales</v>
      </c>
      <c r="V660" s="55" t="str">
        <f t="shared" si="65"/>
        <v>Escadas</v>
      </c>
      <c r="W660" s="54" t="s">
        <v>7259</v>
      </c>
      <c r="X660" s="84" t="str">
        <f t="shared" si="67"/>
        <v>Key-COD-CT-660</v>
      </c>
      <c r="Y660" s="84" t="s">
        <v>5598</v>
      </c>
      <c r="Z660" s="84" t="s">
        <v>692</v>
      </c>
      <c r="AA660" s="84" t="s">
        <v>5456</v>
      </c>
      <c r="AB660" s="84" t="s">
        <v>692</v>
      </c>
      <c r="AC660" s="84" t="s">
        <v>692</v>
      </c>
      <c r="AD660" s="54" t="s">
        <v>692</v>
      </c>
    </row>
    <row r="661" spans="1:30" ht="6.75" customHeight="1" x14ac:dyDescent="0.25">
      <c r="A661" s="85">
        <v>661</v>
      </c>
      <c r="B661" s="59" t="s">
        <v>5419</v>
      </c>
      <c r="C661" s="59" t="s">
        <v>3083</v>
      </c>
      <c r="D661" s="59" t="s">
        <v>3084</v>
      </c>
      <c r="E661" s="59" t="s">
        <v>3144</v>
      </c>
      <c r="F661" s="80" t="s">
        <v>3226</v>
      </c>
      <c r="G661" s="81" t="s">
        <v>692</v>
      </c>
      <c r="H661" s="81" t="s">
        <v>692</v>
      </c>
      <c r="I661" s="81" t="s">
        <v>692</v>
      </c>
      <c r="J661" s="81" t="s">
        <v>692</v>
      </c>
      <c r="K661" s="81" t="s">
        <v>692</v>
      </c>
      <c r="L661" s="53" t="str">
        <f t="shared" si="68"/>
        <v>Circulações</v>
      </c>
      <c r="M661" s="53" t="str">
        <f t="shared" si="68"/>
        <v>Verticales</v>
      </c>
      <c r="N661" s="53" t="str">
        <f t="shared" si="66"/>
        <v>Escadas</v>
      </c>
      <c r="O661" s="53" t="str">
        <f t="shared" si="66"/>
        <v>Escada Naris Projeção</v>
      </c>
      <c r="P661" s="54" t="s">
        <v>3227</v>
      </c>
      <c r="Q661" s="54" t="s">
        <v>3228</v>
      </c>
      <c r="R661" s="54" t="s">
        <v>6640</v>
      </c>
      <c r="S661" s="54" t="s">
        <v>692</v>
      </c>
      <c r="T661" s="55" t="str">
        <f t="shared" si="65"/>
        <v>Circulações</v>
      </c>
      <c r="U661" s="55" t="str">
        <f t="shared" si="65"/>
        <v>Verticales</v>
      </c>
      <c r="V661" s="55" t="str">
        <f t="shared" si="65"/>
        <v>Escadas</v>
      </c>
      <c r="W661" s="54" t="s">
        <v>7259</v>
      </c>
      <c r="X661" s="84" t="str">
        <f t="shared" si="67"/>
        <v>Key-COD-CT-661</v>
      </c>
      <c r="Y661" s="84" t="s">
        <v>5599</v>
      </c>
      <c r="Z661" s="84" t="s">
        <v>692</v>
      </c>
      <c r="AA661" s="84" t="s">
        <v>5456</v>
      </c>
      <c r="AB661" s="84" t="s">
        <v>692</v>
      </c>
      <c r="AC661" s="84" t="s">
        <v>692</v>
      </c>
      <c r="AD661" s="54" t="s">
        <v>692</v>
      </c>
    </row>
    <row r="662" spans="1:30" ht="6.75" customHeight="1" x14ac:dyDescent="0.25">
      <c r="A662" s="85">
        <v>662</v>
      </c>
      <c r="B662" s="59" t="s">
        <v>5419</v>
      </c>
      <c r="C662" s="59" t="s">
        <v>3083</v>
      </c>
      <c r="D662" s="59" t="s">
        <v>3084</v>
      </c>
      <c r="E662" s="59" t="s">
        <v>3144</v>
      </c>
      <c r="F662" s="80" t="s">
        <v>3229</v>
      </c>
      <c r="G662" s="81" t="s">
        <v>692</v>
      </c>
      <c r="H662" s="81" t="s">
        <v>692</v>
      </c>
      <c r="I662" s="81" t="s">
        <v>692</v>
      </c>
      <c r="J662" s="81" t="s">
        <v>692</v>
      </c>
      <c r="K662" s="81" t="s">
        <v>692</v>
      </c>
      <c r="L662" s="53" t="str">
        <f t="shared" si="68"/>
        <v>Circulações</v>
      </c>
      <c r="M662" s="53" t="str">
        <f t="shared" si="68"/>
        <v>Verticales</v>
      </c>
      <c r="N662" s="53" t="str">
        <f t="shared" si="66"/>
        <v>Escadas</v>
      </c>
      <c r="O662" s="53" t="str">
        <f t="shared" si="66"/>
        <v>Escada Contorno</v>
      </c>
      <c r="P662" s="54" t="s">
        <v>3230</v>
      </c>
      <c r="Q662" s="54" t="s">
        <v>3231</v>
      </c>
      <c r="R662" s="54" t="s">
        <v>6641</v>
      </c>
      <c r="S662" s="54" t="s">
        <v>692</v>
      </c>
      <c r="T662" s="55" t="str">
        <f t="shared" si="65"/>
        <v>Circulações</v>
      </c>
      <c r="U662" s="55" t="str">
        <f t="shared" si="65"/>
        <v>Verticales</v>
      </c>
      <c r="V662" s="55" t="str">
        <f t="shared" si="65"/>
        <v>Escadas</v>
      </c>
      <c r="W662" s="54" t="s">
        <v>7259</v>
      </c>
      <c r="X662" s="84" t="str">
        <f t="shared" si="67"/>
        <v>Key-COD-CT-662</v>
      </c>
      <c r="Y662" s="84" t="s">
        <v>5600</v>
      </c>
      <c r="Z662" s="84" t="s">
        <v>692</v>
      </c>
      <c r="AA662" s="84" t="s">
        <v>5456</v>
      </c>
      <c r="AB662" s="84" t="s">
        <v>692</v>
      </c>
      <c r="AC662" s="84" t="s">
        <v>692</v>
      </c>
      <c r="AD662" s="54" t="s">
        <v>692</v>
      </c>
    </row>
    <row r="663" spans="1:30" ht="6.75" customHeight="1" x14ac:dyDescent="0.25">
      <c r="A663" s="85">
        <v>663</v>
      </c>
      <c r="B663" s="59" t="s">
        <v>5419</v>
      </c>
      <c r="C663" s="59" t="s">
        <v>3083</v>
      </c>
      <c r="D663" s="59" t="s">
        <v>3084</v>
      </c>
      <c r="E663" s="59" t="s">
        <v>3144</v>
      </c>
      <c r="F663" s="80" t="s">
        <v>3232</v>
      </c>
      <c r="G663" s="81" t="s">
        <v>692</v>
      </c>
      <c r="H663" s="81" t="s">
        <v>692</v>
      </c>
      <c r="I663" s="81" t="s">
        <v>692</v>
      </c>
      <c r="J663" s="81" t="s">
        <v>692</v>
      </c>
      <c r="K663" s="81" t="s">
        <v>692</v>
      </c>
      <c r="L663" s="53" t="str">
        <f t="shared" si="68"/>
        <v>Circulações</v>
      </c>
      <c r="M663" s="53" t="str">
        <f t="shared" si="68"/>
        <v>Verticales</v>
      </c>
      <c r="N663" s="53" t="str">
        <f t="shared" si="66"/>
        <v>Escadas</v>
      </c>
      <c r="O663" s="53" t="str">
        <f t="shared" si="66"/>
        <v>Escada Contorno Projeção</v>
      </c>
      <c r="P663" s="54" t="s">
        <v>3233</v>
      </c>
      <c r="Q663" s="54" t="s">
        <v>3234</v>
      </c>
      <c r="R663" s="54" t="s">
        <v>6642</v>
      </c>
      <c r="S663" s="54" t="s">
        <v>692</v>
      </c>
      <c r="T663" s="55" t="str">
        <f t="shared" si="65"/>
        <v>Circulações</v>
      </c>
      <c r="U663" s="55" t="str">
        <f t="shared" si="65"/>
        <v>Verticales</v>
      </c>
      <c r="V663" s="55" t="str">
        <f t="shared" si="65"/>
        <v>Escadas</v>
      </c>
      <c r="W663" s="54" t="s">
        <v>7259</v>
      </c>
      <c r="X663" s="84" t="str">
        <f t="shared" si="67"/>
        <v>Key-COD-CT-663</v>
      </c>
      <c r="Y663" s="84" t="s">
        <v>5601</v>
      </c>
      <c r="Z663" s="84" t="s">
        <v>692</v>
      </c>
      <c r="AA663" s="84" t="s">
        <v>5456</v>
      </c>
      <c r="AB663" s="84" t="s">
        <v>692</v>
      </c>
      <c r="AC663" s="84" t="s">
        <v>692</v>
      </c>
      <c r="AD663" s="54" t="s">
        <v>692</v>
      </c>
    </row>
    <row r="664" spans="1:30" ht="6.75" customHeight="1" x14ac:dyDescent="0.25">
      <c r="A664" s="85">
        <v>664</v>
      </c>
      <c r="B664" s="59" t="s">
        <v>5419</v>
      </c>
      <c r="C664" s="59" t="s">
        <v>3083</v>
      </c>
      <c r="D664" s="59" t="s">
        <v>3084</v>
      </c>
      <c r="E664" s="59" t="s">
        <v>3144</v>
      </c>
      <c r="F664" s="80" t="s">
        <v>3235</v>
      </c>
      <c r="G664" s="81" t="s">
        <v>692</v>
      </c>
      <c r="H664" s="81" t="s">
        <v>692</v>
      </c>
      <c r="I664" s="81" t="s">
        <v>692</v>
      </c>
      <c r="J664" s="81" t="s">
        <v>692</v>
      </c>
      <c r="K664" s="81" t="s">
        <v>692</v>
      </c>
      <c r="L664" s="53" t="str">
        <f t="shared" si="68"/>
        <v>Circulações</v>
      </c>
      <c r="M664" s="53" t="str">
        <f t="shared" si="68"/>
        <v>Verticales</v>
      </c>
      <c r="N664" s="53" t="str">
        <f t="shared" si="66"/>
        <v>Escadas</v>
      </c>
      <c r="O664" s="53" t="str">
        <f t="shared" si="66"/>
        <v>Escada Seta</v>
      </c>
      <c r="P664" s="54" t="s">
        <v>3236</v>
      </c>
      <c r="Q664" s="54" t="s">
        <v>3237</v>
      </c>
      <c r="R664" s="54" t="s">
        <v>6643</v>
      </c>
      <c r="S664" s="54" t="s">
        <v>692</v>
      </c>
      <c r="T664" s="55" t="str">
        <f t="shared" si="65"/>
        <v>Circulações</v>
      </c>
      <c r="U664" s="55" t="str">
        <f t="shared" si="65"/>
        <v>Verticales</v>
      </c>
      <c r="V664" s="55" t="str">
        <f t="shared" si="65"/>
        <v>Escadas</v>
      </c>
      <c r="W664" s="54" t="s">
        <v>7259</v>
      </c>
      <c r="X664" s="84" t="str">
        <f t="shared" si="67"/>
        <v>Key-COD-CT-664</v>
      </c>
      <c r="Y664" s="84" t="s">
        <v>5602</v>
      </c>
      <c r="Z664" s="84" t="s">
        <v>692</v>
      </c>
      <c r="AA664" s="84" t="s">
        <v>5456</v>
      </c>
      <c r="AB664" s="84" t="s">
        <v>692</v>
      </c>
      <c r="AC664" s="84" t="s">
        <v>692</v>
      </c>
      <c r="AD664" s="54" t="s">
        <v>692</v>
      </c>
    </row>
    <row r="665" spans="1:30" ht="6.75" customHeight="1" x14ac:dyDescent="0.25">
      <c r="A665" s="85">
        <v>665</v>
      </c>
      <c r="B665" s="59" t="s">
        <v>5419</v>
      </c>
      <c r="C665" s="59" t="s">
        <v>3083</v>
      </c>
      <c r="D665" s="59" t="s">
        <v>3084</v>
      </c>
      <c r="E665" s="59" t="s">
        <v>3144</v>
      </c>
      <c r="F665" s="80" t="s">
        <v>3238</v>
      </c>
      <c r="G665" s="81" t="s">
        <v>692</v>
      </c>
      <c r="H665" s="81" t="s">
        <v>692</v>
      </c>
      <c r="I665" s="81" t="s">
        <v>692</v>
      </c>
      <c r="J665" s="81" t="s">
        <v>692</v>
      </c>
      <c r="K665" s="81" t="s">
        <v>692</v>
      </c>
      <c r="L665" s="53" t="str">
        <f t="shared" si="68"/>
        <v>Circulações</v>
      </c>
      <c r="M665" s="53" t="str">
        <f t="shared" si="68"/>
        <v>Verticales</v>
      </c>
      <c r="N665" s="53" t="str">
        <f t="shared" si="66"/>
        <v>Escadas</v>
      </c>
      <c r="O665" s="53" t="str">
        <f t="shared" si="66"/>
        <v>Escada Seta Projeção</v>
      </c>
      <c r="P665" s="54" t="s">
        <v>3239</v>
      </c>
      <c r="Q665" s="54" t="s">
        <v>3240</v>
      </c>
      <c r="R665" s="54" t="s">
        <v>6644</v>
      </c>
      <c r="S665" s="54" t="s">
        <v>692</v>
      </c>
      <c r="T665" s="55" t="str">
        <f t="shared" si="65"/>
        <v>Circulações</v>
      </c>
      <c r="U665" s="55" t="str">
        <f t="shared" si="65"/>
        <v>Verticales</v>
      </c>
      <c r="V665" s="55" t="str">
        <f t="shared" si="65"/>
        <v>Escadas</v>
      </c>
      <c r="W665" s="54" t="s">
        <v>7259</v>
      </c>
      <c r="X665" s="84" t="str">
        <f t="shared" si="67"/>
        <v>Key-COD-CT-665</v>
      </c>
      <c r="Y665" s="84" t="s">
        <v>5603</v>
      </c>
      <c r="Z665" s="84" t="s">
        <v>692</v>
      </c>
      <c r="AA665" s="84" t="s">
        <v>5456</v>
      </c>
      <c r="AB665" s="84" t="s">
        <v>692</v>
      </c>
      <c r="AC665" s="84" t="s">
        <v>692</v>
      </c>
      <c r="AD665" s="54" t="s">
        <v>692</v>
      </c>
    </row>
    <row r="666" spans="1:30" ht="6.75" customHeight="1" x14ac:dyDescent="0.25">
      <c r="A666" s="85">
        <v>666</v>
      </c>
      <c r="B666" s="59" t="s">
        <v>5419</v>
      </c>
      <c r="C666" s="59" t="s">
        <v>3083</v>
      </c>
      <c r="D666" s="59" t="s">
        <v>3084</v>
      </c>
      <c r="E666" s="59" t="s">
        <v>3144</v>
      </c>
      <c r="F666" s="80" t="s">
        <v>3241</v>
      </c>
      <c r="G666" s="81" t="s">
        <v>692</v>
      </c>
      <c r="H666" s="81" t="s">
        <v>692</v>
      </c>
      <c r="I666" s="81" t="s">
        <v>692</v>
      </c>
      <c r="J666" s="81" t="s">
        <v>692</v>
      </c>
      <c r="K666" s="81" t="s">
        <v>692</v>
      </c>
      <c r="L666" s="53" t="str">
        <f t="shared" si="68"/>
        <v>Circulações</v>
      </c>
      <c r="M666" s="53" t="str">
        <f t="shared" si="68"/>
        <v>Verticales</v>
      </c>
      <c r="N666" s="53" t="str">
        <f t="shared" si="66"/>
        <v>Escadas</v>
      </c>
      <c r="O666" s="53" t="str">
        <f t="shared" si="66"/>
        <v>Escada Degrau Linha</v>
      </c>
      <c r="P666" s="54" t="s">
        <v>3242</v>
      </c>
      <c r="Q666" s="54" t="s">
        <v>3243</v>
      </c>
      <c r="R666" s="54" t="s">
        <v>6645</v>
      </c>
      <c r="S666" s="54" t="s">
        <v>692</v>
      </c>
      <c r="T666" s="55" t="str">
        <f t="shared" si="65"/>
        <v>Circulações</v>
      </c>
      <c r="U666" s="55" t="str">
        <f t="shared" si="65"/>
        <v>Verticales</v>
      </c>
      <c r="V666" s="55" t="str">
        <f t="shared" si="65"/>
        <v>Escadas</v>
      </c>
      <c r="W666" s="54" t="s">
        <v>7259</v>
      </c>
      <c r="X666" s="84" t="str">
        <f t="shared" si="67"/>
        <v>Key-COD-CT-666</v>
      </c>
      <c r="Y666" s="84" t="s">
        <v>5604</v>
      </c>
      <c r="Z666" s="84" t="s">
        <v>692</v>
      </c>
      <c r="AA666" s="84" t="s">
        <v>5456</v>
      </c>
      <c r="AB666" s="84" t="s">
        <v>692</v>
      </c>
      <c r="AC666" s="84" t="s">
        <v>692</v>
      </c>
      <c r="AD666" s="54" t="s">
        <v>692</v>
      </c>
    </row>
    <row r="667" spans="1:30" ht="6.75" customHeight="1" x14ac:dyDescent="0.25">
      <c r="A667" s="85">
        <v>667</v>
      </c>
      <c r="B667" s="59" t="s">
        <v>5419</v>
      </c>
      <c r="C667" s="59" t="s">
        <v>3083</v>
      </c>
      <c r="D667" s="59" t="s">
        <v>3084</v>
      </c>
      <c r="E667" s="59" t="s">
        <v>3144</v>
      </c>
      <c r="F667" s="80" t="s">
        <v>3244</v>
      </c>
      <c r="G667" s="81" t="s">
        <v>692</v>
      </c>
      <c r="H667" s="81" t="s">
        <v>692</v>
      </c>
      <c r="I667" s="81" t="s">
        <v>692</v>
      </c>
      <c r="J667" s="81" t="s">
        <v>692</v>
      </c>
      <c r="K667" s="81" t="s">
        <v>692</v>
      </c>
      <c r="L667" s="53" t="str">
        <f t="shared" si="68"/>
        <v>Circulações</v>
      </c>
      <c r="M667" s="53" t="str">
        <f t="shared" si="68"/>
        <v>Verticales</v>
      </c>
      <c r="N667" s="53" t="str">
        <f t="shared" si="66"/>
        <v>Escadas</v>
      </c>
      <c r="O667" s="53" t="str">
        <f t="shared" si="66"/>
        <v>Escada Degrau Linha Projeção</v>
      </c>
      <c r="P667" s="54" t="s">
        <v>3245</v>
      </c>
      <c r="Q667" s="54" t="s">
        <v>3246</v>
      </c>
      <c r="R667" s="54" t="s">
        <v>6646</v>
      </c>
      <c r="S667" s="54" t="s">
        <v>692</v>
      </c>
      <c r="T667" s="55" t="str">
        <f t="shared" si="65"/>
        <v>Circulações</v>
      </c>
      <c r="U667" s="55" t="str">
        <f t="shared" si="65"/>
        <v>Verticales</v>
      </c>
      <c r="V667" s="55" t="str">
        <f t="shared" si="65"/>
        <v>Escadas</v>
      </c>
      <c r="W667" s="54" t="s">
        <v>7259</v>
      </c>
      <c r="X667" s="84" t="str">
        <f t="shared" si="67"/>
        <v>Key-COD-CT-667</v>
      </c>
      <c r="Y667" s="84" t="s">
        <v>5605</v>
      </c>
      <c r="Z667" s="84" t="s">
        <v>692</v>
      </c>
      <c r="AA667" s="84" t="s">
        <v>5456</v>
      </c>
      <c r="AB667" s="84" t="s">
        <v>692</v>
      </c>
      <c r="AC667" s="84" t="s">
        <v>692</v>
      </c>
      <c r="AD667" s="54" t="s">
        <v>692</v>
      </c>
    </row>
    <row r="668" spans="1:30" ht="6.75" customHeight="1" x14ac:dyDescent="0.25">
      <c r="A668" s="85">
        <v>668</v>
      </c>
      <c r="B668" s="59" t="s">
        <v>5419</v>
      </c>
      <c r="C668" s="59" t="s">
        <v>3083</v>
      </c>
      <c r="D668" s="59" t="s">
        <v>3084</v>
      </c>
      <c r="E668" s="59" t="s">
        <v>3144</v>
      </c>
      <c r="F668" s="80" t="s">
        <v>3247</v>
      </c>
      <c r="G668" s="81" t="s">
        <v>692</v>
      </c>
      <c r="H668" s="81" t="s">
        <v>692</v>
      </c>
      <c r="I668" s="81" t="s">
        <v>692</v>
      </c>
      <c r="J668" s="81" t="s">
        <v>692</v>
      </c>
      <c r="K668" s="81" t="s">
        <v>692</v>
      </c>
      <c r="L668" s="53" t="str">
        <f t="shared" si="68"/>
        <v>Circulações</v>
      </c>
      <c r="M668" s="53" t="str">
        <f t="shared" si="68"/>
        <v>Verticales</v>
      </c>
      <c r="N668" s="53" t="str">
        <f t="shared" si="66"/>
        <v>Escadas</v>
      </c>
      <c r="O668" s="53" t="str">
        <f t="shared" si="66"/>
        <v>Escada Lance</v>
      </c>
      <c r="P668" s="54" t="s">
        <v>3248</v>
      </c>
      <c r="Q668" s="54" t="s">
        <v>3249</v>
      </c>
      <c r="R668" s="54" t="s">
        <v>6647</v>
      </c>
      <c r="S668" s="54" t="s">
        <v>692</v>
      </c>
      <c r="T668" s="55" t="str">
        <f t="shared" si="65"/>
        <v>Circulações</v>
      </c>
      <c r="U668" s="55" t="str">
        <f t="shared" si="65"/>
        <v>Verticales</v>
      </c>
      <c r="V668" s="55" t="str">
        <f t="shared" si="65"/>
        <v>Escadas</v>
      </c>
      <c r="W668" s="54" t="s">
        <v>7259</v>
      </c>
      <c r="X668" s="84" t="str">
        <f t="shared" si="67"/>
        <v>Key-COD-CT-668</v>
      </c>
      <c r="Y668" s="84" t="s">
        <v>5606</v>
      </c>
      <c r="Z668" s="84" t="s">
        <v>692</v>
      </c>
      <c r="AA668" s="84" t="s">
        <v>5456</v>
      </c>
      <c r="AB668" s="84" t="s">
        <v>692</v>
      </c>
      <c r="AC668" s="84" t="s">
        <v>692</v>
      </c>
      <c r="AD668" s="54" t="s">
        <v>692</v>
      </c>
    </row>
    <row r="669" spans="1:30" ht="6.75" customHeight="1" x14ac:dyDescent="0.25">
      <c r="A669" s="85">
        <v>669</v>
      </c>
      <c r="B669" s="59" t="s">
        <v>5419</v>
      </c>
      <c r="C669" s="59" t="s">
        <v>3083</v>
      </c>
      <c r="D669" s="59" t="s">
        <v>3084</v>
      </c>
      <c r="E669" s="59" t="s">
        <v>3144</v>
      </c>
      <c r="F669" s="80" t="s">
        <v>3250</v>
      </c>
      <c r="G669" s="81" t="s">
        <v>692</v>
      </c>
      <c r="H669" s="81" t="s">
        <v>692</v>
      </c>
      <c r="I669" s="81" t="s">
        <v>692</v>
      </c>
      <c r="J669" s="81" t="s">
        <v>692</v>
      </c>
      <c r="K669" s="81" t="s">
        <v>692</v>
      </c>
      <c r="L669" s="53" t="str">
        <f t="shared" si="68"/>
        <v>Circulações</v>
      </c>
      <c r="M669" s="53" t="str">
        <f t="shared" si="68"/>
        <v>Verticales</v>
      </c>
      <c r="N669" s="53" t="str">
        <f t="shared" si="66"/>
        <v>Escadas</v>
      </c>
      <c r="O669" s="53" t="str">
        <f t="shared" si="66"/>
        <v>Escada Esboço Limite</v>
      </c>
      <c r="P669" s="54" t="s">
        <v>3251</v>
      </c>
      <c r="Q669" s="54" t="s">
        <v>3252</v>
      </c>
      <c r="R669" s="54" t="s">
        <v>6648</v>
      </c>
      <c r="S669" s="54" t="s">
        <v>692</v>
      </c>
      <c r="T669" s="55" t="str">
        <f t="shared" si="65"/>
        <v>Circulações</v>
      </c>
      <c r="U669" s="55" t="str">
        <f t="shared" si="65"/>
        <v>Verticales</v>
      </c>
      <c r="V669" s="55" t="str">
        <f t="shared" si="65"/>
        <v>Escadas</v>
      </c>
      <c r="W669" s="54" t="s">
        <v>7259</v>
      </c>
      <c r="X669" s="84" t="str">
        <f t="shared" si="67"/>
        <v>Key-COD-CT-669</v>
      </c>
      <c r="Y669" s="84" t="s">
        <v>5607</v>
      </c>
      <c r="Z669" s="84" t="s">
        <v>692</v>
      </c>
      <c r="AA669" s="84" t="s">
        <v>5456</v>
      </c>
      <c r="AB669" s="84" t="s">
        <v>692</v>
      </c>
      <c r="AC669" s="84" t="s">
        <v>692</v>
      </c>
      <c r="AD669" s="54" t="s">
        <v>692</v>
      </c>
    </row>
    <row r="670" spans="1:30" ht="6.75" customHeight="1" x14ac:dyDescent="0.25">
      <c r="A670" s="85">
        <v>670</v>
      </c>
      <c r="B670" s="59" t="s">
        <v>5419</v>
      </c>
      <c r="C670" s="59" t="s">
        <v>3083</v>
      </c>
      <c r="D670" s="59" t="s">
        <v>3084</v>
      </c>
      <c r="E670" s="59" t="s">
        <v>3144</v>
      </c>
      <c r="F670" s="80" t="s">
        <v>3253</v>
      </c>
      <c r="G670" s="81" t="s">
        <v>692</v>
      </c>
      <c r="H670" s="81" t="s">
        <v>692</v>
      </c>
      <c r="I670" s="81" t="s">
        <v>692</v>
      </c>
      <c r="J670" s="81" t="s">
        <v>692</v>
      </c>
      <c r="K670" s="81" t="s">
        <v>692</v>
      </c>
      <c r="L670" s="53" t="str">
        <f t="shared" si="68"/>
        <v>Circulações</v>
      </c>
      <c r="M670" s="53" t="str">
        <f t="shared" si="68"/>
        <v>Verticales</v>
      </c>
      <c r="N670" s="53" t="str">
        <f t="shared" si="66"/>
        <v>Escadas</v>
      </c>
      <c r="O670" s="53" t="str">
        <f t="shared" si="66"/>
        <v>Escada Esboço Patamar</v>
      </c>
      <c r="P670" s="54" t="s">
        <v>3254</v>
      </c>
      <c r="Q670" s="54" t="s">
        <v>3255</v>
      </c>
      <c r="R670" s="54" t="s">
        <v>6649</v>
      </c>
      <c r="S670" s="54" t="s">
        <v>692</v>
      </c>
      <c r="T670" s="55" t="str">
        <f t="shared" si="65"/>
        <v>Circulações</v>
      </c>
      <c r="U670" s="55" t="str">
        <f t="shared" si="65"/>
        <v>Verticales</v>
      </c>
      <c r="V670" s="55" t="str">
        <f t="shared" si="65"/>
        <v>Escadas</v>
      </c>
      <c r="W670" s="54" t="s">
        <v>7259</v>
      </c>
      <c r="X670" s="84" t="str">
        <f t="shared" si="67"/>
        <v>Key-COD-CT-670</v>
      </c>
      <c r="Y670" s="84" t="s">
        <v>5608</v>
      </c>
      <c r="Z670" s="84" t="s">
        <v>692</v>
      </c>
      <c r="AA670" s="84" t="s">
        <v>5456</v>
      </c>
      <c r="AB670" s="84" t="s">
        <v>692</v>
      </c>
      <c r="AC670" s="84" t="s">
        <v>692</v>
      </c>
      <c r="AD670" s="54" t="s">
        <v>692</v>
      </c>
    </row>
    <row r="671" spans="1:30" ht="6.75" customHeight="1" x14ac:dyDescent="0.25">
      <c r="A671" s="85">
        <v>671</v>
      </c>
      <c r="B671" s="59" t="s">
        <v>5419</v>
      </c>
      <c r="C671" s="59" t="s">
        <v>3083</v>
      </c>
      <c r="D671" s="59" t="s">
        <v>3084</v>
      </c>
      <c r="E671" s="59" t="s">
        <v>3144</v>
      </c>
      <c r="F671" s="80" t="s">
        <v>3256</v>
      </c>
      <c r="G671" s="81" t="s">
        <v>692</v>
      </c>
      <c r="H671" s="81" t="s">
        <v>692</v>
      </c>
      <c r="I671" s="81" t="s">
        <v>692</v>
      </c>
      <c r="J671" s="81" t="s">
        <v>692</v>
      </c>
      <c r="K671" s="81" t="s">
        <v>692</v>
      </c>
      <c r="L671" s="53" t="str">
        <f t="shared" si="68"/>
        <v>Circulações</v>
      </c>
      <c r="M671" s="53" t="str">
        <f t="shared" si="68"/>
        <v>Verticales</v>
      </c>
      <c r="N671" s="53" t="str">
        <f t="shared" si="66"/>
        <v>Escadas</v>
      </c>
      <c r="O671" s="53" t="str">
        <f t="shared" si="66"/>
        <v>Escada Esboço Caminho</v>
      </c>
      <c r="P671" s="54" t="s">
        <v>3257</v>
      </c>
      <c r="Q671" s="54" t="s">
        <v>3258</v>
      </c>
      <c r="R671" s="54" t="s">
        <v>6650</v>
      </c>
      <c r="S671" s="54" t="s">
        <v>692</v>
      </c>
      <c r="T671" s="55" t="str">
        <f t="shared" ref="T671:V734" si="69">SUBSTITUTE(C671, ".", " ")</f>
        <v>Circulações</v>
      </c>
      <c r="U671" s="55" t="str">
        <f t="shared" si="69"/>
        <v>Verticales</v>
      </c>
      <c r="V671" s="55" t="str">
        <f t="shared" si="69"/>
        <v>Escadas</v>
      </c>
      <c r="W671" s="54" t="s">
        <v>7259</v>
      </c>
      <c r="X671" s="84" t="str">
        <f t="shared" si="67"/>
        <v>Key-COD-CT-671</v>
      </c>
      <c r="Y671" s="84" t="s">
        <v>5609</v>
      </c>
      <c r="Z671" s="84" t="s">
        <v>692</v>
      </c>
      <c r="AA671" s="84" t="s">
        <v>5456</v>
      </c>
      <c r="AB671" s="84" t="s">
        <v>692</v>
      </c>
      <c r="AC671" s="84" t="s">
        <v>692</v>
      </c>
      <c r="AD671" s="54" t="s">
        <v>692</v>
      </c>
    </row>
    <row r="672" spans="1:30" ht="6.75" customHeight="1" x14ac:dyDescent="0.25">
      <c r="A672" s="85">
        <v>672</v>
      </c>
      <c r="B672" s="59" t="s">
        <v>5419</v>
      </c>
      <c r="C672" s="59" t="s">
        <v>3083</v>
      </c>
      <c r="D672" s="59" t="s">
        <v>3084</v>
      </c>
      <c r="E672" s="59" t="s">
        <v>3144</v>
      </c>
      <c r="F672" s="80" t="s">
        <v>3259</v>
      </c>
      <c r="G672" s="81" t="s">
        <v>692</v>
      </c>
      <c r="H672" s="81" t="s">
        <v>692</v>
      </c>
      <c r="I672" s="81" t="s">
        <v>692</v>
      </c>
      <c r="J672" s="81" t="s">
        <v>692</v>
      </c>
      <c r="K672" s="81" t="s">
        <v>692</v>
      </c>
      <c r="L672" s="53" t="str">
        <f t="shared" si="68"/>
        <v>Circulações</v>
      </c>
      <c r="M672" s="53" t="str">
        <f t="shared" si="68"/>
        <v>Verticales</v>
      </c>
      <c r="N672" s="53" t="str">
        <f t="shared" si="66"/>
        <v>Escadas</v>
      </c>
      <c r="O672" s="53" t="str">
        <f t="shared" si="66"/>
        <v>Escada Esboço Degraus</v>
      </c>
      <c r="P672" s="54" t="s">
        <v>3260</v>
      </c>
      <c r="Q672" s="54" t="s">
        <v>3261</v>
      </c>
      <c r="R672" s="54" t="s">
        <v>6651</v>
      </c>
      <c r="S672" s="54" t="s">
        <v>692</v>
      </c>
      <c r="T672" s="55" t="str">
        <f t="shared" si="69"/>
        <v>Circulações</v>
      </c>
      <c r="U672" s="55" t="str">
        <f t="shared" si="69"/>
        <v>Verticales</v>
      </c>
      <c r="V672" s="55" t="str">
        <f t="shared" si="69"/>
        <v>Escadas</v>
      </c>
      <c r="W672" s="54" t="s">
        <v>7259</v>
      </c>
      <c r="X672" s="84" t="str">
        <f t="shared" si="67"/>
        <v>Key-COD-CT-672</v>
      </c>
      <c r="Y672" s="84" t="s">
        <v>5610</v>
      </c>
      <c r="Z672" s="84" t="s">
        <v>692</v>
      </c>
      <c r="AA672" s="84" t="s">
        <v>5456</v>
      </c>
      <c r="AB672" s="84" t="s">
        <v>692</v>
      </c>
      <c r="AC672" s="84" t="s">
        <v>692</v>
      </c>
      <c r="AD672" s="54" t="s">
        <v>692</v>
      </c>
    </row>
    <row r="673" spans="1:30" ht="6.75" customHeight="1" x14ac:dyDescent="0.25">
      <c r="A673" s="85">
        <v>673</v>
      </c>
      <c r="B673" s="59" t="s">
        <v>5419</v>
      </c>
      <c r="C673" s="59" t="s">
        <v>3083</v>
      </c>
      <c r="D673" s="59" t="s">
        <v>3084</v>
      </c>
      <c r="E673" s="59" t="s">
        <v>3144</v>
      </c>
      <c r="F673" s="80" t="s">
        <v>3262</v>
      </c>
      <c r="G673" s="81" t="s">
        <v>692</v>
      </c>
      <c r="H673" s="81" t="s">
        <v>692</v>
      </c>
      <c r="I673" s="81" t="s">
        <v>692</v>
      </c>
      <c r="J673" s="81" t="s">
        <v>692</v>
      </c>
      <c r="K673" s="81" t="s">
        <v>692</v>
      </c>
      <c r="L673" s="53" t="str">
        <f t="shared" si="68"/>
        <v>Circulações</v>
      </c>
      <c r="M673" s="53" t="str">
        <f t="shared" si="68"/>
        <v>Verticales</v>
      </c>
      <c r="N673" s="53" t="str">
        <f t="shared" si="66"/>
        <v>Escadas</v>
      </c>
      <c r="O673" s="53" t="str">
        <f t="shared" si="66"/>
        <v>Escada Esboço Lances</v>
      </c>
      <c r="P673" s="54" t="s">
        <v>3263</v>
      </c>
      <c r="Q673" s="54" t="s">
        <v>3264</v>
      </c>
      <c r="R673" s="54" t="s">
        <v>6652</v>
      </c>
      <c r="S673" s="54" t="s">
        <v>692</v>
      </c>
      <c r="T673" s="55" t="str">
        <f t="shared" si="69"/>
        <v>Circulações</v>
      </c>
      <c r="U673" s="55" t="str">
        <f t="shared" si="69"/>
        <v>Verticales</v>
      </c>
      <c r="V673" s="55" t="str">
        <f t="shared" si="69"/>
        <v>Escadas</v>
      </c>
      <c r="W673" s="54" t="s">
        <v>7259</v>
      </c>
      <c r="X673" s="84" t="str">
        <f t="shared" si="67"/>
        <v>Key-COD-CT-673</v>
      </c>
      <c r="Y673" s="84" t="s">
        <v>5611</v>
      </c>
      <c r="Z673" s="84" t="s">
        <v>692</v>
      </c>
      <c r="AA673" s="84" t="s">
        <v>5456</v>
      </c>
      <c r="AB673" s="84" t="s">
        <v>692</v>
      </c>
      <c r="AC673" s="84" t="s">
        <v>692</v>
      </c>
      <c r="AD673" s="54" t="s">
        <v>692</v>
      </c>
    </row>
    <row r="674" spans="1:30" ht="6.75" customHeight="1" x14ac:dyDescent="0.25">
      <c r="A674" s="85">
        <v>674</v>
      </c>
      <c r="B674" s="59" t="s">
        <v>5419</v>
      </c>
      <c r="C674" s="59" t="s">
        <v>3083</v>
      </c>
      <c r="D674" s="59" t="s">
        <v>3084</v>
      </c>
      <c r="E674" s="59" t="s">
        <v>3144</v>
      </c>
      <c r="F674" s="80" t="s">
        <v>3265</v>
      </c>
      <c r="G674" s="81" t="s">
        <v>692</v>
      </c>
      <c r="H674" s="81" t="s">
        <v>692</v>
      </c>
      <c r="I674" s="81" t="s">
        <v>692</v>
      </c>
      <c r="J674" s="81" t="s">
        <v>692</v>
      </c>
      <c r="K674" s="81" t="s">
        <v>692</v>
      </c>
      <c r="L674" s="53" t="str">
        <f t="shared" si="68"/>
        <v>Circulações</v>
      </c>
      <c r="M674" s="53" t="str">
        <f t="shared" si="68"/>
        <v>Verticales</v>
      </c>
      <c r="N674" s="53" t="str">
        <f t="shared" si="66"/>
        <v>Escadas</v>
      </c>
      <c r="O674" s="53" t="str">
        <f t="shared" si="66"/>
        <v>Escada Suporte</v>
      </c>
      <c r="P674" s="54" t="s">
        <v>3266</v>
      </c>
      <c r="Q674" s="54" t="s">
        <v>3267</v>
      </c>
      <c r="R674" s="54" t="s">
        <v>6653</v>
      </c>
      <c r="S674" s="54" t="s">
        <v>692</v>
      </c>
      <c r="T674" s="55" t="str">
        <f t="shared" si="69"/>
        <v>Circulações</v>
      </c>
      <c r="U674" s="55" t="str">
        <f t="shared" si="69"/>
        <v>Verticales</v>
      </c>
      <c r="V674" s="55" t="str">
        <f t="shared" si="69"/>
        <v>Escadas</v>
      </c>
      <c r="W674" s="54" t="s">
        <v>7259</v>
      </c>
      <c r="X674" s="84" t="str">
        <f t="shared" si="67"/>
        <v>Key-COD-CT-674</v>
      </c>
      <c r="Y674" s="84" t="s">
        <v>5612</v>
      </c>
      <c r="Z674" s="84" t="s">
        <v>692</v>
      </c>
      <c r="AA674" s="84" t="s">
        <v>5456</v>
      </c>
      <c r="AB674" s="84" t="s">
        <v>692</v>
      </c>
      <c r="AC674" s="84" t="s">
        <v>692</v>
      </c>
      <c r="AD674" s="54" t="s">
        <v>692</v>
      </c>
    </row>
    <row r="675" spans="1:30" ht="6.75" customHeight="1" x14ac:dyDescent="0.25">
      <c r="A675" s="85">
        <v>675</v>
      </c>
      <c r="B675" s="59" t="s">
        <v>5419</v>
      </c>
      <c r="C675" s="59" t="s">
        <v>3083</v>
      </c>
      <c r="D675" s="59" t="s">
        <v>3084</v>
      </c>
      <c r="E675" s="59" t="s">
        <v>3144</v>
      </c>
      <c r="F675" s="80" t="s">
        <v>3268</v>
      </c>
      <c r="G675" s="81" t="s">
        <v>692</v>
      </c>
      <c r="H675" s="81" t="s">
        <v>692</v>
      </c>
      <c r="I675" s="81" t="s">
        <v>692</v>
      </c>
      <c r="J675" s="81" t="s">
        <v>692</v>
      </c>
      <c r="K675" s="81" t="s">
        <v>692</v>
      </c>
      <c r="L675" s="53" t="str">
        <f t="shared" si="68"/>
        <v>Circulações</v>
      </c>
      <c r="M675" s="53" t="str">
        <f t="shared" si="68"/>
        <v>Verticales</v>
      </c>
      <c r="N675" s="53" t="str">
        <f t="shared" si="66"/>
        <v>Escadas</v>
      </c>
      <c r="O675" s="53" t="str">
        <f t="shared" si="66"/>
        <v>Escada Suporte Lateral</v>
      </c>
      <c r="P675" s="54" t="s">
        <v>3269</v>
      </c>
      <c r="Q675" s="54" t="s">
        <v>3270</v>
      </c>
      <c r="R675" s="54" t="s">
        <v>6654</v>
      </c>
      <c r="S675" s="54" t="s">
        <v>692</v>
      </c>
      <c r="T675" s="55" t="str">
        <f t="shared" si="69"/>
        <v>Circulações</v>
      </c>
      <c r="U675" s="55" t="str">
        <f t="shared" si="69"/>
        <v>Verticales</v>
      </c>
      <c r="V675" s="55" t="str">
        <f t="shared" si="69"/>
        <v>Escadas</v>
      </c>
      <c r="W675" s="54" t="s">
        <v>7259</v>
      </c>
      <c r="X675" s="84" t="str">
        <f t="shared" si="67"/>
        <v>Key-COD-CT-675</v>
      </c>
      <c r="Y675" s="84" t="s">
        <v>5613</v>
      </c>
      <c r="Z675" s="84" t="s">
        <v>692</v>
      </c>
      <c r="AA675" s="84" t="s">
        <v>5456</v>
      </c>
      <c r="AB675" s="84" t="s">
        <v>692</v>
      </c>
      <c r="AC675" s="84" t="s">
        <v>692</v>
      </c>
      <c r="AD675" s="54" t="s">
        <v>692</v>
      </c>
    </row>
    <row r="676" spans="1:30" ht="6.75" customHeight="1" x14ac:dyDescent="0.25">
      <c r="A676" s="85">
        <v>676</v>
      </c>
      <c r="B676" s="59" t="s">
        <v>5419</v>
      </c>
      <c r="C676" s="59" t="s">
        <v>3083</v>
      </c>
      <c r="D676" s="59" t="s">
        <v>3084</v>
      </c>
      <c r="E676" s="59" t="s">
        <v>3144</v>
      </c>
      <c r="F676" s="80" t="s">
        <v>3271</v>
      </c>
      <c r="G676" s="81" t="s">
        <v>692</v>
      </c>
      <c r="H676" s="81" t="s">
        <v>692</v>
      </c>
      <c r="I676" s="81" t="s">
        <v>692</v>
      </c>
      <c r="J676" s="81" t="s">
        <v>692</v>
      </c>
      <c r="K676" s="81" t="s">
        <v>692</v>
      </c>
      <c r="L676" s="53" t="str">
        <f t="shared" si="68"/>
        <v>Circulações</v>
      </c>
      <c r="M676" s="53" t="str">
        <f t="shared" si="68"/>
        <v>Verticales</v>
      </c>
      <c r="N676" s="53" t="str">
        <f t="shared" si="66"/>
        <v>Escadas</v>
      </c>
      <c r="O676" s="53" t="str">
        <f t="shared" si="66"/>
        <v>Escada Suporte Projeção</v>
      </c>
      <c r="P676" s="54" t="s">
        <v>3272</v>
      </c>
      <c r="Q676" s="54" t="s">
        <v>3273</v>
      </c>
      <c r="R676" s="54" t="s">
        <v>6655</v>
      </c>
      <c r="S676" s="54" t="s">
        <v>692</v>
      </c>
      <c r="T676" s="55" t="str">
        <f t="shared" si="69"/>
        <v>Circulações</v>
      </c>
      <c r="U676" s="55" t="str">
        <f t="shared" si="69"/>
        <v>Verticales</v>
      </c>
      <c r="V676" s="55" t="str">
        <f t="shared" si="69"/>
        <v>Escadas</v>
      </c>
      <c r="W676" s="54" t="s">
        <v>7259</v>
      </c>
      <c r="X676" s="84" t="str">
        <f t="shared" si="67"/>
        <v>Key-COD-CT-676</v>
      </c>
      <c r="Y676" s="84" t="s">
        <v>5614</v>
      </c>
      <c r="Z676" s="84" t="s">
        <v>692</v>
      </c>
      <c r="AA676" s="84" t="s">
        <v>5456</v>
      </c>
      <c r="AB676" s="84" t="s">
        <v>692</v>
      </c>
      <c r="AC676" s="84" t="s">
        <v>692</v>
      </c>
      <c r="AD676" s="54" t="s">
        <v>692</v>
      </c>
    </row>
    <row r="677" spans="1:30" ht="6.75" customHeight="1" x14ac:dyDescent="0.25">
      <c r="A677" s="85">
        <v>677</v>
      </c>
      <c r="B677" s="59" t="s">
        <v>5419</v>
      </c>
      <c r="C677" s="59" t="s">
        <v>3083</v>
      </c>
      <c r="D677" s="59" t="s">
        <v>3084</v>
      </c>
      <c r="E677" s="59" t="s">
        <v>3144</v>
      </c>
      <c r="F677" s="80" t="s">
        <v>3274</v>
      </c>
      <c r="G677" s="81" t="s">
        <v>692</v>
      </c>
      <c r="H677" s="81" t="s">
        <v>692</v>
      </c>
      <c r="I677" s="81" t="s">
        <v>692</v>
      </c>
      <c r="J677" s="81" t="s">
        <v>692</v>
      </c>
      <c r="K677" s="81" t="s">
        <v>692</v>
      </c>
      <c r="L677" s="53" t="str">
        <f t="shared" si="68"/>
        <v>Circulações</v>
      </c>
      <c r="M677" s="53" t="str">
        <f t="shared" si="68"/>
        <v>Verticales</v>
      </c>
      <c r="N677" s="53" t="str">
        <f t="shared" si="66"/>
        <v>Escadas</v>
      </c>
      <c r="O677" s="53" t="str">
        <f t="shared" si="66"/>
        <v>Escada Degraus</v>
      </c>
      <c r="P677" s="54" t="s">
        <v>3275</v>
      </c>
      <c r="Q677" s="54" t="s">
        <v>3276</v>
      </c>
      <c r="R677" s="54" t="s">
        <v>6656</v>
      </c>
      <c r="S677" s="54" t="s">
        <v>692</v>
      </c>
      <c r="T677" s="55" t="str">
        <f t="shared" si="69"/>
        <v>Circulações</v>
      </c>
      <c r="U677" s="55" t="str">
        <f t="shared" si="69"/>
        <v>Verticales</v>
      </c>
      <c r="V677" s="55" t="str">
        <f t="shared" si="69"/>
        <v>Escadas</v>
      </c>
      <c r="W677" s="54" t="s">
        <v>7259</v>
      </c>
      <c r="X677" s="84" t="str">
        <f t="shared" si="67"/>
        <v>Key-COD-CT-677</v>
      </c>
      <c r="Y677" s="84" t="s">
        <v>5615</v>
      </c>
      <c r="Z677" s="84" t="s">
        <v>692</v>
      </c>
      <c r="AA677" s="84" t="s">
        <v>5456</v>
      </c>
      <c r="AB677" s="84" t="s">
        <v>692</v>
      </c>
      <c r="AC677" s="84" t="s">
        <v>692</v>
      </c>
      <c r="AD677" s="54" t="s">
        <v>692</v>
      </c>
    </row>
    <row r="678" spans="1:30" ht="6.75" customHeight="1" x14ac:dyDescent="0.25">
      <c r="A678" s="85">
        <v>678</v>
      </c>
      <c r="B678" s="59" t="s">
        <v>5419</v>
      </c>
      <c r="C678" s="59" t="s">
        <v>3083</v>
      </c>
      <c r="D678" s="59" t="s">
        <v>3084</v>
      </c>
      <c r="E678" s="59" t="s">
        <v>3144</v>
      </c>
      <c r="F678" s="80" t="s">
        <v>3277</v>
      </c>
      <c r="G678" s="81" t="s">
        <v>692</v>
      </c>
      <c r="H678" s="81" t="s">
        <v>692</v>
      </c>
      <c r="I678" s="81" t="s">
        <v>692</v>
      </c>
      <c r="J678" s="81" t="s">
        <v>692</v>
      </c>
      <c r="K678" s="81" t="s">
        <v>692</v>
      </c>
      <c r="L678" s="53" t="str">
        <f t="shared" si="68"/>
        <v>Circulações</v>
      </c>
      <c r="M678" s="53" t="str">
        <f t="shared" si="68"/>
        <v>Verticales</v>
      </c>
      <c r="N678" s="53" t="str">
        <f t="shared" si="66"/>
        <v>Escadas</v>
      </c>
      <c r="O678" s="53" t="str">
        <f t="shared" si="66"/>
        <v>Escada Degraus Numeração</v>
      </c>
      <c r="P678" s="54" t="s">
        <v>3278</v>
      </c>
      <c r="Q678" s="54" t="s">
        <v>3279</v>
      </c>
      <c r="R678" s="54" t="s">
        <v>6657</v>
      </c>
      <c r="S678" s="54" t="s">
        <v>692</v>
      </c>
      <c r="T678" s="55" t="str">
        <f t="shared" si="69"/>
        <v>Circulações</v>
      </c>
      <c r="U678" s="55" t="str">
        <f t="shared" si="69"/>
        <v>Verticales</v>
      </c>
      <c r="V678" s="55" t="str">
        <f t="shared" si="69"/>
        <v>Escadas</v>
      </c>
      <c r="W678" s="54" t="s">
        <v>7259</v>
      </c>
      <c r="X678" s="84" t="str">
        <f t="shared" si="67"/>
        <v>Key-COD-CT-678</v>
      </c>
      <c r="Y678" s="84" t="s">
        <v>5616</v>
      </c>
      <c r="Z678" s="84" t="s">
        <v>692</v>
      </c>
      <c r="AA678" s="84" t="s">
        <v>5456</v>
      </c>
      <c r="AB678" s="84" t="s">
        <v>692</v>
      </c>
      <c r="AC678" s="84" t="s">
        <v>692</v>
      </c>
      <c r="AD678" s="54" t="s">
        <v>692</v>
      </c>
    </row>
    <row r="679" spans="1:30" ht="6.75" customHeight="1" x14ac:dyDescent="0.25">
      <c r="A679" s="85">
        <v>679</v>
      </c>
      <c r="B679" s="59" t="s">
        <v>5419</v>
      </c>
      <c r="C679" s="59" t="s">
        <v>3083</v>
      </c>
      <c r="D679" s="59" t="s">
        <v>3084</v>
      </c>
      <c r="E679" s="59" t="s">
        <v>3144</v>
      </c>
      <c r="F679" s="80" t="s">
        <v>3280</v>
      </c>
      <c r="G679" s="81" t="s">
        <v>692</v>
      </c>
      <c r="H679" s="81" t="s">
        <v>692</v>
      </c>
      <c r="I679" s="81" t="s">
        <v>692</v>
      </c>
      <c r="J679" s="81" t="s">
        <v>692</v>
      </c>
      <c r="K679" s="81" t="s">
        <v>692</v>
      </c>
      <c r="L679" s="53" t="str">
        <f t="shared" si="68"/>
        <v>Circulações</v>
      </c>
      <c r="M679" s="53" t="str">
        <f t="shared" si="68"/>
        <v>Verticales</v>
      </c>
      <c r="N679" s="53" t="str">
        <f t="shared" si="66"/>
        <v>Escadas</v>
      </c>
      <c r="O679" s="53" t="str">
        <f t="shared" si="66"/>
        <v>Escada Seta Sobe</v>
      </c>
      <c r="P679" s="54" t="s">
        <v>3281</v>
      </c>
      <c r="Q679" s="54" t="s">
        <v>3282</v>
      </c>
      <c r="R679" s="54" t="s">
        <v>6658</v>
      </c>
      <c r="S679" s="54" t="s">
        <v>692</v>
      </c>
      <c r="T679" s="55" t="str">
        <f t="shared" si="69"/>
        <v>Circulações</v>
      </c>
      <c r="U679" s="55" t="str">
        <f t="shared" si="69"/>
        <v>Verticales</v>
      </c>
      <c r="V679" s="55" t="str">
        <f t="shared" si="69"/>
        <v>Escadas</v>
      </c>
      <c r="W679" s="54" t="s">
        <v>7259</v>
      </c>
      <c r="X679" s="84" t="str">
        <f t="shared" si="67"/>
        <v>Key-COD-CT-679</v>
      </c>
      <c r="Y679" s="84" t="s">
        <v>5617</v>
      </c>
      <c r="Z679" s="84" t="s">
        <v>692</v>
      </c>
      <c r="AA679" s="84" t="s">
        <v>5456</v>
      </c>
      <c r="AB679" s="84" t="s">
        <v>692</v>
      </c>
      <c r="AC679" s="84" t="s">
        <v>692</v>
      </c>
      <c r="AD679" s="54" t="s">
        <v>692</v>
      </c>
    </row>
    <row r="680" spans="1:30" ht="6.75" customHeight="1" x14ac:dyDescent="0.25">
      <c r="A680" s="85">
        <v>680</v>
      </c>
      <c r="B680" s="59" t="s">
        <v>5419</v>
      </c>
      <c r="C680" s="59" t="s">
        <v>3083</v>
      </c>
      <c r="D680" s="59" t="s">
        <v>3084</v>
      </c>
      <c r="E680" s="59" t="s">
        <v>3144</v>
      </c>
      <c r="F680" s="80" t="s">
        <v>3283</v>
      </c>
      <c r="G680" s="81" t="s">
        <v>692</v>
      </c>
      <c r="H680" s="81" t="s">
        <v>692</v>
      </c>
      <c r="I680" s="81" t="s">
        <v>692</v>
      </c>
      <c r="J680" s="81" t="s">
        <v>692</v>
      </c>
      <c r="K680" s="81" t="s">
        <v>692</v>
      </c>
      <c r="L680" s="53" t="str">
        <f t="shared" si="68"/>
        <v>Circulações</v>
      </c>
      <c r="M680" s="53" t="str">
        <f t="shared" si="68"/>
        <v>Verticales</v>
      </c>
      <c r="N680" s="53" t="str">
        <f t="shared" si="66"/>
        <v>Escadas</v>
      </c>
      <c r="O680" s="53" t="str">
        <f t="shared" si="66"/>
        <v>Escada Texto Sobe</v>
      </c>
      <c r="P680" s="54" t="s">
        <v>3284</v>
      </c>
      <c r="Q680" s="54" t="s">
        <v>3285</v>
      </c>
      <c r="R680" s="54" t="s">
        <v>6659</v>
      </c>
      <c r="S680" s="54" t="s">
        <v>692</v>
      </c>
      <c r="T680" s="55" t="str">
        <f t="shared" si="69"/>
        <v>Circulações</v>
      </c>
      <c r="U680" s="55" t="str">
        <f t="shared" si="69"/>
        <v>Verticales</v>
      </c>
      <c r="V680" s="55" t="str">
        <f t="shared" si="69"/>
        <v>Escadas</v>
      </c>
      <c r="W680" s="54" t="s">
        <v>7259</v>
      </c>
      <c r="X680" s="84" t="str">
        <f t="shared" si="67"/>
        <v>Key-COD-CT-680</v>
      </c>
      <c r="Y680" s="84" t="s">
        <v>5618</v>
      </c>
      <c r="Z680" s="84" t="s">
        <v>692</v>
      </c>
      <c r="AA680" s="84" t="s">
        <v>5456</v>
      </c>
      <c r="AB680" s="84" t="s">
        <v>692</v>
      </c>
      <c r="AC680" s="84" t="s">
        <v>692</v>
      </c>
      <c r="AD680" s="54" t="s">
        <v>692</v>
      </c>
    </row>
    <row r="681" spans="1:30" ht="6.75" customHeight="1" x14ac:dyDescent="0.25">
      <c r="A681" s="85">
        <v>681</v>
      </c>
      <c r="B681" s="59" t="s">
        <v>5419</v>
      </c>
      <c r="C681" s="59" t="s">
        <v>3083</v>
      </c>
      <c r="D681" s="59" t="s">
        <v>3084</v>
      </c>
      <c r="E681" s="59" t="s">
        <v>3144</v>
      </c>
      <c r="F681" s="80" t="s">
        <v>3286</v>
      </c>
      <c r="G681" s="81" t="s">
        <v>692</v>
      </c>
      <c r="H681" s="81" t="s">
        <v>692</v>
      </c>
      <c r="I681" s="81" t="s">
        <v>692</v>
      </c>
      <c r="J681" s="81" t="s">
        <v>692</v>
      </c>
      <c r="K681" s="81" t="s">
        <v>692</v>
      </c>
      <c r="L681" s="53" t="str">
        <f t="shared" si="68"/>
        <v>Circulações</v>
      </c>
      <c r="M681" s="53" t="str">
        <f t="shared" si="68"/>
        <v>Verticales</v>
      </c>
      <c r="N681" s="53" t="str">
        <f t="shared" si="66"/>
        <v>Escadas</v>
      </c>
      <c r="O681" s="53" t="str">
        <f t="shared" si="66"/>
        <v>Escada Seta Desce</v>
      </c>
      <c r="P681" s="54" t="s">
        <v>3287</v>
      </c>
      <c r="Q681" s="54" t="s">
        <v>3288</v>
      </c>
      <c r="R681" s="54" t="s">
        <v>6660</v>
      </c>
      <c r="S681" s="54" t="s">
        <v>692</v>
      </c>
      <c r="T681" s="55" t="str">
        <f t="shared" si="69"/>
        <v>Circulações</v>
      </c>
      <c r="U681" s="55" t="str">
        <f t="shared" si="69"/>
        <v>Verticales</v>
      </c>
      <c r="V681" s="55" t="str">
        <f t="shared" si="69"/>
        <v>Escadas</v>
      </c>
      <c r="W681" s="54" t="s">
        <v>7259</v>
      </c>
      <c r="X681" s="84" t="str">
        <f t="shared" si="67"/>
        <v>Key-COD-CT-681</v>
      </c>
      <c r="Y681" s="84" t="s">
        <v>5619</v>
      </c>
      <c r="Z681" s="84" t="s">
        <v>692</v>
      </c>
      <c r="AA681" s="84" t="s">
        <v>5456</v>
      </c>
      <c r="AB681" s="84" t="s">
        <v>692</v>
      </c>
      <c r="AC681" s="84" t="s">
        <v>692</v>
      </c>
      <c r="AD681" s="54" t="s">
        <v>692</v>
      </c>
    </row>
    <row r="682" spans="1:30" ht="6.75" customHeight="1" x14ac:dyDescent="0.25">
      <c r="A682" s="85">
        <v>682</v>
      </c>
      <c r="B682" s="59" t="s">
        <v>5419</v>
      </c>
      <c r="C682" s="59" t="s">
        <v>3083</v>
      </c>
      <c r="D682" s="59" t="s">
        <v>3084</v>
      </c>
      <c r="E682" s="59" t="s">
        <v>3144</v>
      </c>
      <c r="F682" s="80" t="s">
        <v>3289</v>
      </c>
      <c r="G682" s="81" t="s">
        <v>692</v>
      </c>
      <c r="H682" s="81" t="s">
        <v>692</v>
      </c>
      <c r="I682" s="81" t="s">
        <v>692</v>
      </c>
      <c r="J682" s="81" t="s">
        <v>692</v>
      </c>
      <c r="K682" s="81" t="s">
        <v>692</v>
      </c>
      <c r="L682" s="53" t="str">
        <f t="shared" si="68"/>
        <v>Circulações</v>
      </c>
      <c r="M682" s="53" t="str">
        <f t="shared" si="68"/>
        <v>Verticales</v>
      </c>
      <c r="N682" s="53" t="str">
        <f t="shared" si="66"/>
        <v>Escadas</v>
      </c>
      <c r="O682" s="53" t="str">
        <f t="shared" si="66"/>
        <v>Escada Texto Desce</v>
      </c>
      <c r="P682" s="54" t="s">
        <v>3290</v>
      </c>
      <c r="Q682" s="54" t="s">
        <v>3291</v>
      </c>
      <c r="R682" s="54" t="s">
        <v>6661</v>
      </c>
      <c r="S682" s="54" t="s">
        <v>692</v>
      </c>
      <c r="T682" s="55" t="str">
        <f t="shared" si="69"/>
        <v>Circulações</v>
      </c>
      <c r="U682" s="55" t="str">
        <f t="shared" si="69"/>
        <v>Verticales</v>
      </c>
      <c r="V682" s="55" t="str">
        <f t="shared" si="69"/>
        <v>Escadas</v>
      </c>
      <c r="W682" s="54" t="s">
        <v>7259</v>
      </c>
      <c r="X682" s="84" t="str">
        <f t="shared" si="67"/>
        <v>Key-COD-CT-682</v>
      </c>
      <c r="Y682" s="84" t="s">
        <v>5620</v>
      </c>
      <c r="Z682" s="84" t="s">
        <v>692</v>
      </c>
      <c r="AA682" s="84" t="s">
        <v>5456</v>
      </c>
      <c r="AB682" s="84" t="s">
        <v>692</v>
      </c>
      <c r="AC682" s="84" t="s">
        <v>692</v>
      </c>
      <c r="AD682" s="54" t="s">
        <v>692</v>
      </c>
    </row>
    <row r="683" spans="1:30" ht="6.75" customHeight="1" x14ac:dyDescent="0.25">
      <c r="A683" s="85">
        <v>683</v>
      </c>
      <c r="B683" s="59" t="s">
        <v>5419</v>
      </c>
      <c r="C683" s="60" t="s">
        <v>3292</v>
      </c>
      <c r="D683" s="59" t="s">
        <v>3293</v>
      </c>
      <c r="E683" s="59" t="s">
        <v>3294</v>
      </c>
      <c r="F683" s="61" t="s">
        <v>3295</v>
      </c>
      <c r="G683" s="81" t="s">
        <v>692</v>
      </c>
      <c r="H683" s="81" t="s">
        <v>2472</v>
      </c>
      <c r="I683" s="81" t="s">
        <v>692</v>
      </c>
      <c r="J683" s="81" t="s">
        <v>692</v>
      </c>
      <c r="K683" s="81" t="s">
        <v>692</v>
      </c>
      <c r="L683" s="53" t="str">
        <f t="shared" si="68"/>
        <v>Telemetrias</v>
      </c>
      <c r="M683" s="53" t="str">
        <f t="shared" si="68"/>
        <v>MQTT</v>
      </c>
      <c r="N683" s="53" t="str">
        <f t="shared" si="66"/>
        <v>Sensores</v>
      </c>
      <c r="O683" s="53" t="str">
        <f t="shared" si="66"/>
        <v>Sensor</v>
      </c>
      <c r="P683" s="54" t="s">
        <v>3296</v>
      </c>
      <c r="Q683" s="54" t="s">
        <v>3297</v>
      </c>
      <c r="R683" s="54" t="s">
        <v>6662</v>
      </c>
      <c r="S683" s="54" t="s">
        <v>692</v>
      </c>
      <c r="T683" s="55" t="str">
        <f t="shared" si="69"/>
        <v>Telemetrias</v>
      </c>
      <c r="U683" s="55" t="str">
        <f t="shared" si="69"/>
        <v>MQTT</v>
      </c>
      <c r="V683" s="55" t="str">
        <f t="shared" si="69"/>
        <v>Sensores</v>
      </c>
      <c r="W683" s="54" t="s">
        <v>7259</v>
      </c>
      <c r="X683" s="84" t="str">
        <f t="shared" si="67"/>
        <v>Key-COD-CT-683</v>
      </c>
      <c r="Y683" s="84" t="s">
        <v>5556</v>
      </c>
      <c r="Z683" s="84" t="s">
        <v>692</v>
      </c>
      <c r="AA683" s="84" t="s">
        <v>5891</v>
      </c>
      <c r="AB683" s="84" t="s">
        <v>692</v>
      </c>
      <c r="AC683" s="84" t="s">
        <v>692</v>
      </c>
      <c r="AD683" s="54" t="s">
        <v>692</v>
      </c>
    </row>
    <row r="684" spans="1:30" ht="6.75" customHeight="1" x14ac:dyDescent="0.25">
      <c r="A684" s="85">
        <v>684</v>
      </c>
      <c r="B684" s="59" t="s">
        <v>5419</v>
      </c>
      <c r="C684" s="60" t="s">
        <v>3292</v>
      </c>
      <c r="D684" s="59" t="s">
        <v>3293</v>
      </c>
      <c r="E684" s="59" t="s">
        <v>3294</v>
      </c>
      <c r="F684" s="61" t="s">
        <v>3298</v>
      </c>
      <c r="G684" s="81" t="s">
        <v>692</v>
      </c>
      <c r="H684" s="81" t="s">
        <v>692</v>
      </c>
      <c r="I684" s="81" t="s">
        <v>692</v>
      </c>
      <c r="J684" s="81" t="s">
        <v>692</v>
      </c>
      <c r="K684" s="81" t="s">
        <v>692</v>
      </c>
      <c r="L684" s="53" t="str">
        <f t="shared" si="68"/>
        <v>Telemetrias</v>
      </c>
      <c r="M684" s="53" t="str">
        <f t="shared" si="68"/>
        <v>MQTT</v>
      </c>
      <c r="N684" s="53" t="str">
        <f t="shared" si="66"/>
        <v>Sensores</v>
      </c>
      <c r="O684" s="53" t="str">
        <f t="shared" si="66"/>
        <v>Sensor de Monóxido Carbono</v>
      </c>
      <c r="P684" s="54" t="s">
        <v>3299</v>
      </c>
      <c r="Q684" s="54" t="s">
        <v>3300</v>
      </c>
      <c r="R684" s="54" t="s">
        <v>6663</v>
      </c>
      <c r="S684" s="54" t="s">
        <v>692</v>
      </c>
      <c r="T684" s="55" t="str">
        <f t="shared" si="69"/>
        <v>Telemetrias</v>
      </c>
      <c r="U684" s="55" t="str">
        <f t="shared" si="69"/>
        <v>MQTT</v>
      </c>
      <c r="V684" s="55" t="str">
        <f t="shared" si="69"/>
        <v>Sensores</v>
      </c>
      <c r="W684" s="54" t="s">
        <v>7259</v>
      </c>
      <c r="X684" s="84" t="str">
        <f t="shared" si="67"/>
        <v>Key-COD-CT-684</v>
      </c>
      <c r="Y684" s="84" t="s">
        <v>5556</v>
      </c>
      <c r="Z684" s="84" t="s">
        <v>692</v>
      </c>
      <c r="AA684" s="84" t="s">
        <v>5892</v>
      </c>
      <c r="AB684" s="84" t="s">
        <v>692</v>
      </c>
      <c r="AC684" s="84" t="s">
        <v>692</v>
      </c>
      <c r="AD684" s="54" t="s">
        <v>692</v>
      </c>
    </row>
    <row r="685" spans="1:30" ht="6.75" customHeight="1" x14ac:dyDescent="0.25">
      <c r="A685" s="85">
        <v>685</v>
      </c>
      <c r="B685" s="59" t="s">
        <v>5419</v>
      </c>
      <c r="C685" s="60" t="s">
        <v>3292</v>
      </c>
      <c r="D685" s="59" t="s">
        <v>3293</v>
      </c>
      <c r="E685" s="59" t="s">
        <v>3294</v>
      </c>
      <c r="F685" s="61" t="s">
        <v>3301</v>
      </c>
      <c r="G685" s="81" t="s">
        <v>692</v>
      </c>
      <c r="H685" s="81" t="s">
        <v>692</v>
      </c>
      <c r="I685" s="81" t="s">
        <v>692</v>
      </c>
      <c r="J685" s="81" t="s">
        <v>692</v>
      </c>
      <c r="K685" s="81" t="s">
        <v>692</v>
      </c>
      <c r="L685" s="53" t="str">
        <f t="shared" si="68"/>
        <v>Telemetrias</v>
      </c>
      <c r="M685" s="53" t="str">
        <f t="shared" si="68"/>
        <v>MQTT</v>
      </c>
      <c r="N685" s="53" t="str">
        <f t="shared" si="66"/>
        <v>Sensores</v>
      </c>
      <c r="O685" s="53" t="str">
        <f t="shared" si="66"/>
        <v>Sensor de Dióxido Carbono</v>
      </c>
      <c r="P685" s="54" t="s">
        <v>3302</v>
      </c>
      <c r="Q685" s="54" t="s">
        <v>3303</v>
      </c>
      <c r="R685" s="54" t="s">
        <v>6664</v>
      </c>
      <c r="S685" s="54" t="s">
        <v>692</v>
      </c>
      <c r="T685" s="55" t="str">
        <f t="shared" si="69"/>
        <v>Telemetrias</v>
      </c>
      <c r="U685" s="55" t="str">
        <f t="shared" si="69"/>
        <v>MQTT</v>
      </c>
      <c r="V685" s="55" t="str">
        <f t="shared" si="69"/>
        <v>Sensores</v>
      </c>
      <c r="W685" s="54" t="s">
        <v>7259</v>
      </c>
      <c r="X685" s="84" t="str">
        <f t="shared" si="67"/>
        <v>Key-COD-CT-685</v>
      </c>
      <c r="Y685" s="84" t="s">
        <v>5556</v>
      </c>
      <c r="Z685" s="84" t="s">
        <v>692</v>
      </c>
      <c r="AA685" s="84" t="s">
        <v>5893</v>
      </c>
      <c r="AB685" s="84" t="s">
        <v>692</v>
      </c>
      <c r="AC685" s="84" t="s">
        <v>692</v>
      </c>
      <c r="AD685" s="54" t="s">
        <v>692</v>
      </c>
    </row>
    <row r="686" spans="1:30" ht="6.75" customHeight="1" x14ac:dyDescent="0.25">
      <c r="A686" s="85">
        <v>686</v>
      </c>
      <c r="B686" s="59" t="s">
        <v>5419</v>
      </c>
      <c r="C686" s="60" t="s">
        <v>3292</v>
      </c>
      <c r="D686" s="59" t="s">
        <v>3293</v>
      </c>
      <c r="E686" s="59" t="s">
        <v>3294</v>
      </c>
      <c r="F686" s="61" t="s">
        <v>3304</v>
      </c>
      <c r="G686" s="81" t="s">
        <v>692</v>
      </c>
      <c r="H686" s="81" t="s">
        <v>692</v>
      </c>
      <c r="I686" s="81" t="s">
        <v>692</v>
      </c>
      <c r="J686" s="81" t="s">
        <v>692</v>
      </c>
      <c r="K686" s="81" t="s">
        <v>692</v>
      </c>
      <c r="L686" s="53" t="str">
        <f t="shared" si="68"/>
        <v>Telemetrias</v>
      </c>
      <c r="M686" s="53" t="str">
        <f t="shared" si="68"/>
        <v>MQTT</v>
      </c>
      <c r="N686" s="53" t="str">
        <f t="shared" si="66"/>
        <v>Sensores</v>
      </c>
      <c r="O686" s="53" t="str">
        <f t="shared" si="66"/>
        <v>Sensor de Condutância</v>
      </c>
      <c r="P686" s="54" t="s">
        <v>3305</v>
      </c>
      <c r="Q686" s="54" t="s">
        <v>3306</v>
      </c>
      <c r="R686" s="54" t="s">
        <v>6665</v>
      </c>
      <c r="S686" s="54" t="s">
        <v>692</v>
      </c>
      <c r="T686" s="55" t="str">
        <f t="shared" si="69"/>
        <v>Telemetrias</v>
      </c>
      <c r="U686" s="55" t="str">
        <f t="shared" si="69"/>
        <v>MQTT</v>
      </c>
      <c r="V686" s="55" t="str">
        <f t="shared" si="69"/>
        <v>Sensores</v>
      </c>
      <c r="W686" s="54" t="s">
        <v>7259</v>
      </c>
      <c r="X686" s="84" t="str">
        <f t="shared" si="67"/>
        <v>Key-COD-CT-686</v>
      </c>
      <c r="Y686" s="84" t="s">
        <v>5556</v>
      </c>
      <c r="Z686" s="84" t="s">
        <v>692</v>
      </c>
      <c r="AA686" s="84" t="s">
        <v>5894</v>
      </c>
      <c r="AB686" s="84" t="s">
        <v>692</v>
      </c>
      <c r="AC686" s="84" t="s">
        <v>692</v>
      </c>
      <c r="AD686" s="54" t="s">
        <v>692</v>
      </c>
    </row>
    <row r="687" spans="1:30" ht="6.75" customHeight="1" x14ac:dyDescent="0.25">
      <c r="A687" s="85">
        <v>687</v>
      </c>
      <c r="B687" s="59" t="s">
        <v>5419</v>
      </c>
      <c r="C687" s="60" t="s">
        <v>3292</v>
      </c>
      <c r="D687" s="59" t="s">
        <v>3293</v>
      </c>
      <c r="E687" s="59" t="s">
        <v>3294</v>
      </c>
      <c r="F687" s="61" t="s">
        <v>3307</v>
      </c>
      <c r="G687" s="81" t="s">
        <v>692</v>
      </c>
      <c r="H687" s="81" t="s">
        <v>692</v>
      </c>
      <c r="I687" s="81" t="s">
        <v>692</v>
      </c>
      <c r="J687" s="81" t="s">
        <v>692</v>
      </c>
      <c r="K687" s="81" t="s">
        <v>692</v>
      </c>
      <c r="L687" s="53" t="str">
        <f t="shared" si="68"/>
        <v>Telemetrias</v>
      </c>
      <c r="M687" s="53" t="str">
        <f t="shared" si="68"/>
        <v>MQTT</v>
      </c>
      <c r="N687" s="53" t="str">
        <f t="shared" si="66"/>
        <v>Sensores</v>
      </c>
      <c r="O687" s="53" t="str">
        <f t="shared" si="66"/>
        <v>Sensor de Contato</v>
      </c>
      <c r="P687" s="54" t="s">
        <v>3308</v>
      </c>
      <c r="Q687" s="54" t="s">
        <v>3309</v>
      </c>
      <c r="R687" s="54" t="s">
        <v>6666</v>
      </c>
      <c r="S687" s="54" t="s">
        <v>692</v>
      </c>
      <c r="T687" s="55" t="str">
        <f t="shared" si="69"/>
        <v>Telemetrias</v>
      </c>
      <c r="U687" s="55" t="str">
        <f t="shared" si="69"/>
        <v>MQTT</v>
      </c>
      <c r="V687" s="55" t="str">
        <f t="shared" si="69"/>
        <v>Sensores</v>
      </c>
      <c r="W687" s="54" t="s">
        <v>7259</v>
      </c>
      <c r="X687" s="84" t="str">
        <f t="shared" si="67"/>
        <v>Key-COD-CT-687</v>
      </c>
      <c r="Y687" s="84" t="s">
        <v>5556</v>
      </c>
      <c r="Z687" s="84" t="s">
        <v>692</v>
      </c>
      <c r="AA687" s="84" t="s">
        <v>5895</v>
      </c>
      <c r="AB687" s="84" t="s">
        <v>692</v>
      </c>
      <c r="AC687" s="84" t="s">
        <v>692</v>
      </c>
      <c r="AD687" s="54" t="s">
        <v>692</v>
      </c>
    </row>
    <row r="688" spans="1:30" ht="6.75" customHeight="1" x14ac:dyDescent="0.25">
      <c r="A688" s="85">
        <v>688</v>
      </c>
      <c r="B688" s="59" t="s">
        <v>5419</v>
      </c>
      <c r="C688" s="60" t="s">
        <v>3292</v>
      </c>
      <c r="D688" s="59" t="s">
        <v>3293</v>
      </c>
      <c r="E688" s="59" t="s">
        <v>3294</v>
      </c>
      <c r="F688" s="61" t="s">
        <v>3310</v>
      </c>
      <c r="G688" s="81" t="s">
        <v>692</v>
      </c>
      <c r="H688" s="81" t="s">
        <v>692</v>
      </c>
      <c r="I688" s="81" t="s">
        <v>692</v>
      </c>
      <c r="J688" s="81" t="s">
        <v>692</v>
      </c>
      <c r="K688" s="81" t="s">
        <v>692</v>
      </c>
      <c r="L688" s="53" t="str">
        <f t="shared" si="68"/>
        <v>Telemetrias</v>
      </c>
      <c r="M688" s="53" t="str">
        <f t="shared" si="68"/>
        <v>MQTT</v>
      </c>
      <c r="N688" s="53" t="str">
        <f t="shared" si="66"/>
        <v>Sensores</v>
      </c>
      <c r="O688" s="53" t="str">
        <f t="shared" si="66"/>
        <v>Sensor de Sismos</v>
      </c>
      <c r="P688" s="54" t="s">
        <v>3311</v>
      </c>
      <c r="Q688" s="54" t="s">
        <v>3312</v>
      </c>
      <c r="R688" s="54" t="s">
        <v>6667</v>
      </c>
      <c r="S688" s="54" t="s">
        <v>692</v>
      </c>
      <c r="T688" s="55" t="str">
        <f t="shared" si="69"/>
        <v>Telemetrias</v>
      </c>
      <c r="U688" s="55" t="str">
        <f t="shared" si="69"/>
        <v>MQTT</v>
      </c>
      <c r="V688" s="55" t="str">
        <f t="shared" si="69"/>
        <v>Sensores</v>
      </c>
      <c r="W688" s="54" t="s">
        <v>7259</v>
      </c>
      <c r="X688" s="84" t="str">
        <f t="shared" si="67"/>
        <v>Key-COD-CT-688</v>
      </c>
      <c r="Y688" s="84" t="s">
        <v>5556</v>
      </c>
      <c r="Z688" s="84" t="s">
        <v>692</v>
      </c>
      <c r="AA688" s="84" t="s">
        <v>5896</v>
      </c>
      <c r="AB688" s="84" t="s">
        <v>692</v>
      </c>
      <c r="AC688" s="84" t="s">
        <v>692</v>
      </c>
      <c r="AD688" s="54" t="s">
        <v>692</v>
      </c>
    </row>
    <row r="689" spans="1:30" ht="6.75" customHeight="1" x14ac:dyDescent="0.25">
      <c r="A689" s="85">
        <v>689</v>
      </c>
      <c r="B689" s="59" t="s">
        <v>5419</v>
      </c>
      <c r="C689" s="60" t="s">
        <v>3292</v>
      </c>
      <c r="D689" s="59" t="s">
        <v>3293</v>
      </c>
      <c r="E689" s="59" t="s">
        <v>3294</v>
      </c>
      <c r="F689" s="61" t="s">
        <v>3313</v>
      </c>
      <c r="G689" s="81" t="s">
        <v>692</v>
      </c>
      <c r="H689" s="81" t="s">
        <v>692</v>
      </c>
      <c r="I689" s="81" t="s">
        <v>692</v>
      </c>
      <c r="J689" s="81" t="s">
        <v>692</v>
      </c>
      <c r="K689" s="81" t="s">
        <v>692</v>
      </c>
      <c r="L689" s="53" t="str">
        <f t="shared" si="68"/>
        <v>Telemetrias</v>
      </c>
      <c r="M689" s="53" t="str">
        <f t="shared" si="68"/>
        <v>MQTT</v>
      </c>
      <c r="N689" s="53" t="str">
        <f t="shared" si="66"/>
        <v>Sensores</v>
      </c>
      <c r="O689" s="53" t="str">
        <f t="shared" si="66"/>
        <v>Sensor de Incêndio</v>
      </c>
      <c r="P689" s="54" t="s">
        <v>3314</v>
      </c>
      <c r="Q689" s="54" t="s">
        <v>3315</v>
      </c>
      <c r="R689" s="54" t="s">
        <v>6668</v>
      </c>
      <c r="S689" s="54" t="s">
        <v>692</v>
      </c>
      <c r="T689" s="55" t="str">
        <f t="shared" si="69"/>
        <v>Telemetrias</v>
      </c>
      <c r="U689" s="55" t="str">
        <f t="shared" si="69"/>
        <v>MQTT</v>
      </c>
      <c r="V689" s="55" t="str">
        <f t="shared" si="69"/>
        <v>Sensores</v>
      </c>
      <c r="W689" s="54" t="s">
        <v>7259</v>
      </c>
      <c r="X689" s="84" t="str">
        <f t="shared" si="67"/>
        <v>Key-COD-CT-689</v>
      </c>
      <c r="Y689" s="84" t="s">
        <v>5556</v>
      </c>
      <c r="Z689" s="84" t="s">
        <v>692</v>
      </c>
      <c r="AA689" s="84" t="s">
        <v>5897</v>
      </c>
      <c r="AB689" s="84" t="s">
        <v>692</v>
      </c>
      <c r="AC689" s="84" t="s">
        <v>692</v>
      </c>
      <c r="AD689" s="54" t="s">
        <v>692</v>
      </c>
    </row>
    <row r="690" spans="1:30" ht="6.75" customHeight="1" x14ac:dyDescent="0.25">
      <c r="A690" s="85">
        <v>690</v>
      </c>
      <c r="B690" s="59" t="s">
        <v>5419</v>
      </c>
      <c r="C690" s="60" t="s">
        <v>3292</v>
      </c>
      <c r="D690" s="59" t="s">
        <v>3293</v>
      </c>
      <c r="E690" s="59" t="s">
        <v>3294</v>
      </c>
      <c r="F690" s="61" t="s">
        <v>3316</v>
      </c>
      <c r="G690" s="81" t="s">
        <v>692</v>
      </c>
      <c r="H690" s="81" t="s">
        <v>692</v>
      </c>
      <c r="I690" s="81" t="s">
        <v>692</v>
      </c>
      <c r="J690" s="81" t="s">
        <v>692</v>
      </c>
      <c r="K690" s="81" t="s">
        <v>692</v>
      </c>
      <c r="L690" s="53" t="str">
        <f t="shared" si="68"/>
        <v>Telemetrias</v>
      </c>
      <c r="M690" s="53" t="str">
        <f t="shared" si="68"/>
        <v>MQTT</v>
      </c>
      <c r="N690" s="53" t="str">
        <f t="shared" si="66"/>
        <v>Sensores</v>
      </c>
      <c r="O690" s="53" t="str">
        <f t="shared" si="66"/>
        <v>Sensor de Fluxo</v>
      </c>
      <c r="P690" s="54" t="s">
        <v>3317</v>
      </c>
      <c r="Q690" s="54" t="s">
        <v>3318</v>
      </c>
      <c r="R690" s="54" t="s">
        <v>6669</v>
      </c>
      <c r="S690" s="54" t="s">
        <v>692</v>
      </c>
      <c r="T690" s="55" t="str">
        <f t="shared" si="69"/>
        <v>Telemetrias</v>
      </c>
      <c r="U690" s="55" t="str">
        <f t="shared" si="69"/>
        <v>MQTT</v>
      </c>
      <c r="V690" s="55" t="str">
        <f t="shared" si="69"/>
        <v>Sensores</v>
      </c>
      <c r="W690" s="54" t="s">
        <v>7259</v>
      </c>
      <c r="X690" s="84" t="str">
        <f t="shared" si="67"/>
        <v>Key-COD-CT-690</v>
      </c>
      <c r="Y690" s="84" t="s">
        <v>5556</v>
      </c>
      <c r="Z690" s="84" t="s">
        <v>692</v>
      </c>
      <c r="AA690" s="84" t="s">
        <v>5898</v>
      </c>
      <c r="AB690" s="84" t="s">
        <v>692</v>
      </c>
      <c r="AC690" s="84" t="s">
        <v>692</v>
      </c>
      <c r="AD690" s="54" t="s">
        <v>692</v>
      </c>
    </row>
    <row r="691" spans="1:30" ht="6.75" customHeight="1" x14ac:dyDescent="0.25">
      <c r="A691" s="85">
        <v>691</v>
      </c>
      <c r="B691" s="59" t="s">
        <v>5419</v>
      </c>
      <c r="C691" s="60" t="s">
        <v>3292</v>
      </c>
      <c r="D691" s="59" t="s">
        <v>3293</v>
      </c>
      <c r="E691" s="59" t="s">
        <v>3294</v>
      </c>
      <c r="F691" s="61" t="s">
        <v>3319</v>
      </c>
      <c r="G691" s="81" t="s">
        <v>692</v>
      </c>
      <c r="H691" s="81" t="s">
        <v>692</v>
      </c>
      <c r="I691" s="81" t="s">
        <v>692</v>
      </c>
      <c r="J691" s="81" t="s">
        <v>692</v>
      </c>
      <c r="K691" s="81" t="s">
        <v>692</v>
      </c>
      <c r="L691" s="53" t="str">
        <f t="shared" si="68"/>
        <v>Telemetrias</v>
      </c>
      <c r="M691" s="53" t="str">
        <f t="shared" si="68"/>
        <v>MQTT</v>
      </c>
      <c r="N691" s="53" t="str">
        <f t="shared" si="66"/>
        <v>Sensores</v>
      </c>
      <c r="O691" s="53" t="str">
        <f t="shared" si="66"/>
        <v>Sensor de Detecção Objeto Estranho</v>
      </c>
      <c r="P691" s="54" t="s">
        <v>3320</v>
      </c>
      <c r="Q691" s="54" t="s">
        <v>3321</v>
      </c>
      <c r="R691" s="54" t="s">
        <v>6670</v>
      </c>
      <c r="S691" s="54" t="s">
        <v>692</v>
      </c>
      <c r="T691" s="55" t="str">
        <f t="shared" si="69"/>
        <v>Telemetrias</v>
      </c>
      <c r="U691" s="55" t="str">
        <f t="shared" si="69"/>
        <v>MQTT</v>
      </c>
      <c r="V691" s="55" t="str">
        <f t="shared" si="69"/>
        <v>Sensores</v>
      </c>
      <c r="W691" s="54" t="s">
        <v>7259</v>
      </c>
      <c r="X691" s="84" t="str">
        <f t="shared" si="67"/>
        <v>Key-COD-CT-691</v>
      </c>
      <c r="Y691" s="84" t="s">
        <v>5556</v>
      </c>
      <c r="Z691" s="84" t="s">
        <v>692</v>
      </c>
      <c r="AA691" s="84" t="s">
        <v>5899</v>
      </c>
      <c r="AB691" s="84" t="s">
        <v>692</v>
      </c>
      <c r="AC691" s="84" t="s">
        <v>692</v>
      </c>
      <c r="AD691" s="54" t="s">
        <v>692</v>
      </c>
    </row>
    <row r="692" spans="1:30" ht="6.75" customHeight="1" x14ac:dyDescent="0.25">
      <c r="A692" s="85">
        <v>692</v>
      </c>
      <c r="B692" s="59" t="s">
        <v>5419</v>
      </c>
      <c r="C692" s="60" t="s">
        <v>3292</v>
      </c>
      <c r="D692" s="59" t="s">
        <v>3293</v>
      </c>
      <c r="E692" s="59" t="s">
        <v>3294</v>
      </c>
      <c r="F692" s="61" t="s">
        <v>3322</v>
      </c>
      <c r="G692" s="81" t="s">
        <v>692</v>
      </c>
      <c r="H692" s="81" t="s">
        <v>692</v>
      </c>
      <c r="I692" s="81" t="s">
        <v>692</v>
      </c>
      <c r="J692" s="81" t="s">
        <v>692</v>
      </c>
      <c r="K692" s="81" t="s">
        <v>692</v>
      </c>
      <c r="L692" s="53" t="str">
        <f t="shared" si="68"/>
        <v>Telemetrias</v>
      </c>
      <c r="M692" s="53" t="str">
        <f t="shared" si="68"/>
        <v>MQTT</v>
      </c>
      <c r="N692" s="53" t="str">
        <f t="shared" si="66"/>
        <v>Sensores</v>
      </c>
      <c r="O692" s="53" t="str">
        <f t="shared" si="66"/>
        <v>Sensor de Geada</v>
      </c>
      <c r="P692" s="54" t="s">
        <v>3323</v>
      </c>
      <c r="Q692" s="54" t="s">
        <v>3324</v>
      </c>
      <c r="R692" s="54" t="s">
        <v>6671</v>
      </c>
      <c r="S692" s="54" t="s">
        <v>692</v>
      </c>
      <c r="T692" s="55" t="str">
        <f t="shared" si="69"/>
        <v>Telemetrias</v>
      </c>
      <c r="U692" s="55" t="str">
        <f t="shared" si="69"/>
        <v>MQTT</v>
      </c>
      <c r="V692" s="55" t="str">
        <f t="shared" si="69"/>
        <v>Sensores</v>
      </c>
      <c r="W692" s="54" t="s">
        <v>7259</v>
      </c>
      <c r="X692" s="84" t="str">
        <f t="shared" si="67"/>
        <v>Key-COD-CT-692</v>
      </c>
      <c r="Y692" s="84" t="s">
        <v>5556</v>
      </c>
      <c r="Z692" s="84" t="s">
        <v>692</v>
      </c>
      <c r="AA692" s="84" t="s">
        <v>5900</v>
      </c>
      <c r="AB692" s="84" t="s">
        <v>692</v>
      </c>
      <c r="AC692" s="84" t="s">
        <v>692</v>
      </c>
      <c r="AD692" s="54" t="s">
        <v>692</v>
      </c>
    </row>
    <row r="693" spans="1:30" ht="6.75" customHeight="1" x14ac:dyDescent="0.25">
      <c r="A693" s="85">
        <v>693</v>
      </c>
      <c r="B693" s="59" t="s">
        <v>5419</v>
      </c>
      <c r="C693" s="60" t="s">
        <v>3292</v>
      </c>
      <c r="D693" s="59" t="s">
        <v>3293</v>
      </c>
      <c r="E693" s="59" t="s">
        <v>3294</v>
      </c>
      <c r="F693" s="61" t="s">
        <v>3325</v>
      </c>
      <c r="G693" s="81" t="s">
        <v>692</v>
      </c>
      <c r="H693" s="81" t="s">
        <v>692</v>
      </c>
      <c r="I693" s="81" t="s">
        <v>692</v>
      </c>
      <c r="J693" s="81" t="s">
        <v>692</v>
      </c>
      <c r="K693" s="81" t="s">
        <v>692</v>
      </c>
      <c r="L693" s="53" t="str">
        <f t="shared" si="68"/>
        <v>Telemetrias</v>
      </c>
      <c r="M693" s="53" t="str">
        <f t="shared" si="68"/>
        <v>MQTT</v>
      </c>
      <c r="N693" s="53" t="str">
        <f t="shared" si="66"/>
        <v>Sensores</v>
      </c>
      <c r="O693" s="53" t="str">
        <f t="shared" si="66"/>
        <v>Sensor de Gás</v>
      </c>
      <c r="P693" s="54" t="s">
        <v>3326</v>
      </c>
      <c r="Q693" s="54" t="s">
        <v>3327</v>
      </c>
      <c r="R693" s="54" t="s">
        <v>6672</v>
      </c>
      <c r="S693" s="54" t="s">
        <v>692</v>
      </c>
      <c r="T693" s="55" t="str">
        <f t="shared" si="69"/>
        <v>Telemetrias</v>
      </c>
      <c r="U693" s="55" t="str">
        <f t="shared" si="69"/>
        <v>MQTT</v>
      </c>
      <c r="V693" s="55" t="str">
        <f t="shared" si="69"/>
        <v>Sensores</v>
      </c>
      <c r="W693" s="54" t="s">
        <v>7259</v>
      </c>
      <c r="X693" s="84" t="str">
        <f t="shared" si="67"/>
        <v>Key-COD-CT-693</v>
      </c>
      <c r="Y693" s="84" t="s">
        <v>5556</v>
      </c>
      <c r="Z693" s="84" t="s">
        <v>692</v>
      </c>
      <c r="AA693" s="84" t="s">
        <v>5901</v>
      </c>
      <c r="AB693" s="84" t="s">
        <v>692</v>
      </c>
      <c r="AC693" s="84" t="s">
        <v>692</v>
      </c>
      <c r="AD693" s="54" t="s">
        <v>692</v>
      </c>
    </row>
    <row r="694" spans="1:30" ht="6.75" customHeight="1" x14ac:dyDescent="0.25">
      <c r="A694" s="85">
        <v>694</v>
      </c>
      <c r="B694" s="59" t="s">
        <v>5419</v>
      </c>
      <c r="C694" s="60" t="s">
        <v>3292</v>
      </c>
      <c r="D694" s="59" t="s">
        <v>3293</v>
      </c>
      <c r="E694" s="59" t="s">
        <v>3294</v>
      </c>
      <c r="F694" s="61" t="s">
        <v>3328</v>
      </c>
      <c r="G694" s="81" t="s">
        <v>692</v>
      </c>
      <c r="H694" s="81" t="s">
        <v>692</v>
      </c>
      <c r="I694" s="81" t="s">
        <v>692</v>
      </c>
      <c r="J694" s="81" t="s">
        <v>692</v>
      </c>
      <c r="K694" s="81" t="s">
        <v>692</v>
      </c>
      <c r="L694" s="53" t="str">
        <f t="shared" si="68"/>
        <v>Telemetrias</v>
      </c>
      <c r="M694" s="53" t="str">
        <f t="shared" si="68"/>
        <v>MQTT</v>
      </c>
      <c r="N694" s="53" t="str">
        <f t="shared" si="66"/>
        <v>Sensores</v>
      </c>
      <c r="O694" s="53" t="str">
        <f t="shared" si="66"/>
        <v>Sensor de Calor</v>
      </c>
      <c r="P694" s="54" t="s">
        <v>3329</v>
      </c>
      <c r="Q694" s="54" t="s">
        <v>3330</v>
      </c>
      <c r="R694" s="54" t="s">
        <v>6673</v>
      </c>
      <c r="S694" s="54" t="s">
        <v>692</v>
      </c>
      <c r="T694" s="55" t="str">
        <f t="shared" si="69"/>
        <v>Telemetrias</v>
      </c>
      <c r="U694" s="55" t="str">
        <f t="shared" si="69"/>
        <v>MQTT</v>
      </c>
      <c r="V694" s="55" t="str">
        <f t="shared" si="69"/>
        <v>Sensores</v>
      </c>
      <c r="W694" s="54" t="s">
        <v>7259</v>
      </c>
      <c r="X694" s="84" t="str">
        <f t="shared" si="67"/>
        <v>Key-COD-CT-694</v>
      </c>
      <c r="Y694" s="84" t="s">
        <v>5556</v>
      </c>
      <c r="Z694" s="84" t="s">
        <v>692</v>
      </c>
      <c r="AA694" s="84" t="s">
        <v>5902</v>
      </c>
      <c r="AB694" s="84" t="s">
        <v>692</v>
      </c>
      <c r="AC694" s="84" t="s">
        <v>692</v>
      </c>
      <c r="AD694" s="54" t="s">
        <v>692</v>
      </c>
    </row>
    <row r="695" spans="1:30" ht="6.75" customHeight="1" x14ac:dyDescent="0.25">
      <c r="A695" s="85">
        <v>695</v>
      </c>
      <c r="B695" s="59" t="s">
        <v>5419</v>
      </c>
      <c r="C695" s="60" t="s">
        <v>3292</v>
      </c>
      <c r="D695" s="59" t="s">
        <v>3293</v>
      </c>
      <c r="E695" s="59" t="s">
        <v>3294</v>
      </c>
      <c r="F695" s="61" t="s">
        <v>3331</v>
      </c>
      <c r="G695" s="81" t="s">
        <v>692</v>
      </c>
      <c r="H695" s="81" t="s">
        <v>692</v>
      </c>
      <c r="I695" s="81" t="s">
        <v>692</v>
      </c>
      <c r="J695" s="81" t="s">
        <v>692</v>
      </c>
      <c r="K695" s="81" t="s">
        <v>692</v>
      </c>
      <c r="L695" s="53" t="str">
        <f t="shared" si="68"/>
        <v>Telemetrias</v>
      </c>
      <c r="M695" s="53" t="str">
        <f t="shared" si="68"/>
        <v>MQTT</v>
      </c>
      <c r="N695" s="53" t="str">
        <f t="shared" si="66"/>
        <v>Sensores</v>
      </c>
      <c r="O695" s="53" t="str">
        <f t="shared" si="66"/>
        <v>Sensor de Umidade</v>
      </c>
      <c r="P695" s="54" t="s">
        <v>3332</v>
      </c>
      <c r="Q695" s="54" t="s">
        <v>3333</v>
      </c>
      <c r="R695" s="54" t="s">
        <v>6674</v>
      </c>
      <c r="S695" s="54" t="s">
        <v>692</v>
      </c>
      <c r="T695" s="55" t="str">
        <f t="shared" si="69"/>
        <v>Telemetrias</v>
      </c>
      <c r="U695" s="55" t="str">
        <f t="shared" si="69"/>
        <v>MQTT</v>
      </c>
      <c r="V695" s="55" t="str">
        <f t="shared" si="69"/>
        <v>Sensores</v>
      </c>
      <c r="W695" s="54" t="s">
        <v>7259</v>
      </c>
      <c r="X695" s="84" t="str">
        <f t="shared" si="67"/>
        <v>Key-COD-CT-695</v>
      </c>
      <c r="Y695" s="84" t="s">
        <v>5556</v>
      </c>
      <c r="Z695" s="84" t="s">
        <v>692</v>
      </c>
      <c r="AA695" s="84" t="s">
        <v>5903</v>
      </c>
      <c r="AB695" s="84" t="s">
        <v>692</v>
      </c>
      <c r="AC695" s="84" t="s">
        <v>692</v>
      </c>
      <c r="AD695" s="54" t="s">
        <v>692</v>
      </c>
    </row>
    <row r="696" spans="1:30" ht="6.75" customHeight="1" x14ac:dyDescent="0.25">
      <c r="A696" s="85">
        <v>696</v>
      </c>
      <c r="B696" s="59" t="s">
        <v>5419</v>
      </c>
      <c r="C696" s="60" t="s">
        <v>3292</v>
      </c>
      <c r="D696" s="59" t="s">
        <v>3293</v>
      </c>
      <c r="E696" s="59" t="s">
        <v>3294</v>
      </c>
      <c r="F696" s="61" t="s">
        <v>3334</v>
      </c>
      <c r="G696" s="81" t="s">
        <v>692</v>
      </c>
      <c r="H696" s="81" t="s">
        <v>692</v>
      </c>
      <c r="I696" s="81" t="s">
        <v>692</v>
      </c>
      <c r="J696" s="81" t="s">
        <v>692</v>
      </c>
      <c r="K696" s="81" t="s">
        <v>692</v>
      </c>
      <c r="L696" s="53" t="str">
        <f t="shared" si="68"/>
        <v>Telemetrias</v>
      </c>
      <c r="M696" s="53" t="str">
        <f t="shared" si="68"/>
        <v>MQTT</v>
      </c>
      <c r="N696" s="53" t="str">
        <f t="shared" si="66"/>
        <v>Sensores</v>
      </c>
      <c r="O696" s="53" t="str">
        <f t="shared" si="66"/>
        <v>Sensor de Identificação</v>
      </c>
      <c r="P696" s="54" t="s">
        <v>3335</v>
      </c>
      <c r="Q696" s="54" t="s">
        <v>3336</v>
      </c>
      <c r="R696" s="54" t="s">
        <v>6675</v>
      </c>
      <c r="S696" s="54" t="s">
        <v>692</v>
      </c>
      <c r="T696" s="55" t="str">
        <f t="shared" si="69"/>
        <v>Telemetrias</v>
      </c>
      <c r="U696" s="55" t="str">
        <f t="shared" si="69"/>
        <v>MQTT</v>
      </c>
      <c r="V696" s="55" t="str">
        <f t="shared" si="69"/>
        <v>Sensores</v>
      </c>
      <c r="W696" s="54" t="s">
        <v>7259</v>
      </c>
      <c r="X696" s="84" t="str">
        <f t="shared" si="67"/>
        <v>Key-COD-CT-696</v>
      </c>
      <c r="Y696" s="84" t="s">
        <v>5556</v>
      </c>
      <c r="Z696" s="84" t="s">
        <v>692</v>
      </c>
      <c r="AA696" s="84" t="s">
        <v>5904</v>
      </c>
      <c r="AB696" s="84" t="s">
        <v>692</v>
      </c>
      <c r="AC696" s="84" t="s">
        <v>692</v>
      </c>
      <c r="AD696" s="54" t="s">
        <v>692</v>
      </c>
    </row>
    <row r="697" spans="1:30" ht="6.75" customHeight="1" x14ac:dyDescent="0.25">
      <c r="A697" s="85">
        <v>697</v>
      </c>
      <c r="B697" s="59" t="s">
        <v>5419</v>
      </c>
      <c r="C697" s="60" t="s">
        <v>3292</v>
      </c>
      <c r="D697" s="59" t="s">
        <v>3293</v>
      </c>
      <c r="E697" s="59" t="s">
        <v>3294</v>
      </c>
      <c r="F697" s="61" t="s">
        <v>3337</v>
      </c>
      <c r="G697" s="81" t="s">
        <v>692</v>
      </c>
      <c r="H697" s="81" t="s">
        <v>692</v>
      </c>
      <c r="I697" s="81" t="s">
        <v>692</v>
      </c>
      <c r="J697" s="81" t="s">
        <v>692</v>
      </c>
      <c r="K697" s="81" t="s">
        <v>692</v>
      </c>
      <c r="L697" s="53" t="str">
        <f t="shared" si="68"/>
        <v>Telemetrias</v>
      </c>
      <c r="M697" s="53" t="str">
        <f t="shared" si="68"/>
        <v>MQTT</v>
      </c>
      <c r="N697" s="53" t="str">
        <f t="shared" si="66"/>
        <v>Sensores</v>
      </c>
      <c r="O697" s="53" t="str">
        <f t="shared" si="66"/>
        <v>Sensor de Concentração de Íons</v>
      </c>
      <c r="P697" s="54" t="s">
        <v>3338</v>
      </c>
      <c r="Q697" s="54" t="s">
        <v>3339</v>
      </c>
      <c r="R697" s="54" t="s">
        <v>6676</v>
      </c>
      <c r="S697" s="54" t="s">
        <v>692</v>
      </c>
      <c r="T697" s="55" t="str">
        <f t="shared" si="69"/>
        <v>Telemetrias</v>
      </c>
      <c r="U697" s="55" t="str">
        <f t="shared" si="69"/>
        <v>MQTT</v>
      </c>
      <c r="V697" s="55" t="str">
        <f t="shared" si="69"/>
        <v>Sensores</v>
      </c>
      <c r="W697" s="54" t="s">
        <v>7259</v>
      </c>
      <c r="X697" s="84" t="str">
        <f t="shared" si="67"/>
        <v>Key-COD-CT-697</v>
      </c>
      <c r="Y697" s="84" t="s">
        <v>5556</v>
      </c>
      <c r="Z697" s="84" t="s">
        <v>692</v>
      </c>
      <c r="AA697" s="84" t="s">
        <v>5905</v>
      </c>
      <c r="AB697" s="84" t="s">
        <v>692</v>
      </c>
      <c r="AC697" s="84" t="s">
        <v>692</v>
      </c>
      <c r="AD697" s="54" t="s">
        <v>692</v>
      </c>
    </row>
    <row r="698" spans="1:30" ht="6.75" customHeight="1" x14ac:dyDescent="0.25">
      <c r="A698" s="85">
        <v>698</v>
      </c>
      <c r="B698" s="59" t="s">
        <v>5419</v>
      </c>
      <c r="C698" s="60" t="s">
        <v>3292</v>
      </c>
      <c r="D698" s="59" t="s">
        <v>3293</v>
      </c>
      <c r="E698" s="59" t="s">
        <v>3294</v>
      </c>
      <c r="F698" s="61" t="s">
        <v>3340</v>
      </c>
      <c r="G698" s="81" t="s">
        <v>692</v>
      </c>
      <c r="H698" s="81" t="s">
        <v>692</v>
      </c>
      <c r="I698" s="81" t="s">
        <v>692</v>
      </c>
      <c r="J698" s="81" t="s">
        <v>692</v>
      </c>
      <c r="K698" s="81" t="s">
        <v>692</v>
      </c>
      <c r="L698" s="53" t="str">
        <f t="shared" si="68"/>
        <v>Telemetrias</v>
      </c>
      <c r="M698" s="53" t="str">
        <f t="shared" si="68"/>
        <v>MQTT</v>
      </c>
      <c r="N698" s="53" t="str">
        <f t="shared" si="66"/>
        <v>Sensores</v>
      </c>
      <c r="O698" s="53" t="str">
        <f t="shared" si="66"/>
        <v>Sensor de Nível</v>
      </c>
      <c r="P698" s="54" t="s">
        <v>3341</v>
      </c>
      <c r="Q698" s="54" t="s">
        <v>3342</v>
      </c>
      <c r="R698" s="54" t="s">
        <v>6677</v>
      </c>
      <c r="S698" s="54" t="s">
        <v>692</v>
      </c>
      <c r="T698" s="55" t="str">
        <f t="shared" si="69"/>
        <v>Telemetrias</v>
      </c>
      <c r="U698" s="55" t="str">
        <f t="shared" si="69"/>
        <v>MQTT</v>
      </c>
      <c r="V698" s="55" t="str">
        <f t="shared" si="69"/>
        <v>Sensores</v>
      </c>
      <c r="W698" s="54" t="s">
        <v>7259</v>
      </c>
      <c r="X698" s="84" t="str">
        <f t="shared" si="67"/>
        <v>Key-COD-CT-698</v>
      </c>
      <c r="Y698" s="84" t="s">
        <v>5556</v>
      </c>
      <c r="Z698" s="84" t="s">
        <v>692</v>
      </c>
      <c r="AA698" s="84" t="s">
        <v>5906</v>
      </c>
      <c r="AB698" s="84" t="s">
        <v>692</v>
      </c>
      <c r="AC698" s="84" t="s">
        <v>692</v>
      </c>
      <c r="AD698" s="54" t="s">
        <v>692</v>
      </c>
    </row>
    <row r="699" spans="1:30" ht="6.75" customHeight="1" x14ac:dyDescent="0.25">
      <c r="A699" s="85">
        <v>699</v>
      </c>
      <c r="B699" s="59" t="s">
        <v>5419</v>
      </c>
      <c r="C699" s="60" t="s">
        <v>3292</v>
      </c>
      <c r="D699" s="59" t="s">
        <v>3293</v>
      </c>
      <c r="E699" s="59" t="s">
        <v>3294</v>
      </c>
      <c r="F699" s="61" t="s">
        <v>3343</v>
      </c>
      <c r="G699" s="81" t="s">
        <v>692</v>
      </c>
      <c r="H699" s="81" t="s">
        <v>692</v>
      </c>
      <c r="I699" s="81" t="s">
        <v>692</v>
      </c>
      <c r="J699" s="81" t="s">
        <v>692</v>
      </c>
      <c r="K699" s="81" t="s">
        <v>692</v>
      </c>
      <c r="L699" s="53" t="str">
        <f t="shared" si="68"/>
        <v>Telemetrias</v>
      </c>
      <c r="M699" s="53" t="str">
        <f t="shared" si="68"/>
        <v>MQTT</v>
      </c>
      <c r="N699" s="53" t="str">
        <f t="shared" ref="N699:O762" si="70">(SUBSTITUTE(SUBSTITUTE(CONCATENATE("",E699),"."," ")," De "," de "))</f>
        <v>Sensores</v>
      </c>
      <c r="O699" s="53" t="str">
        <f t="shared" si="70"/>
        <v>Sensor de Luz</v>
      </c>
      <c r="P699" s="54" t="s">
        <v>3344</v>
      </c>
      <c r="Q699" s="54" t="s">
        <v>3345</v>
      </c>
      <c r="R699" s="54" t="s">
        <v>6678</v>
      </c>
      <c r="S699" s="54" t="s">
        <v>692</v>
      </c>
      <c r="T699" s="55" t="str">
        <f t="shared" si="69"/>
        <v>Telemetrias</v>
      </c>
      <c r="U699" s="55" t="str">
        <f t="shared" si="69"/>
        <v>MQTT</v>
      </c>
      <c r="V699" s="55" t="str">
        <f t="shared" si="69"/>
        <v>Sensores</v>
      </c>
      <c r="W699" s="54" t="s">
        <v>7259</v>
      </c>
      <c r="X699" s="84" t="str">
        <f t="shared" si="67"/>
        <v>Key-COD-CT-699</v>
      </c>
      <c r="Y699" s="84" t="s">
        <v>5556</v>
      </c>
      <c r="Z699" s="84" t="s">
        <v>692</v>
      </c>
      <c r="AA699" s="84" t="s">
        <v>5907</v>
      </c>
      <c r="AB699" s="84" t="s">
        <v>692</v>
      </c>
      <c r="AC699" s="84" t="s">
        <v>692</v>
      </c>
      <c r="AD699" s="54" t="s">
        <v>692</v>
      </c>
    </row>
    <row r="700" spans="1:30" ht="6.75" customHeight="1" x14ac:dyDescent="0.25">
      <c r="A700" s="85">
        <v>700</v>
      </c>
      <c r="B700" s="59" t="s">
        <v>5419</v>
      </c>
      <c r="C700" s="60" t="s">
        <v>3292</v>
      </c>
      <c r="D700" s="59" t="s">
        <v>3293</v>
      </c>
      <c r="E700" s="59" t="s">
        <v>3294</v>
      </c>
      <c r="F700" s="61" t="s">
        <v>3346</v>
      </c>
      <c r="G700" s="81" t="s">
        <v>692</v>
      </c>
      <c r="H700" s="81" t="s">
        <v>692</v>
      </c>
      <c r="I700" s="81" t="s">
        <v>692</v>
      </c>
      <c r="J700" s="81" t="s">
        <v>692</v>
      </c>
      <c r="K700" s="81" t="s">
        <v>692</v>
      </c>
      <c r="L700" s="53" t="str">
        <f t="shared" si="68"/>
        <v>Telemetrias</v>
      </c>
      <c r="M700" s="53" t="str">
        <f t="shared" si="68"/>
        <v>MQTT</v>
      </c>
      <c r="N700" s="53" t="str">
        <f t="shared" si="70"/>
        <v>Sensores</v>
      </c>
      <c r="O700" s="53" t="str">
        <f t="shared" si="70"/>
        <v>Sensor de Umidade do Solo</v>
      </c>
      <c r="P700" s="54" t="s">
        <v>3347</v>
      </c>
      <c r="Q700" s="54" t="s">
        <v>3348</v>
      </c>
      <c r="R700" s="54" t="s">
        <v>6679</v>
      </c>
      <c r="S700" s="54" t="s">
        <v>692</v>
      </c>
      <c r="T700" s="55" t="str">
        <f t="shared" si="69"/>
        <v>Telemetrias</v>
      </c>
      <c r="U700" s="55" t="str">
        <f t="shared" si="69"/>
        <v>MQTT</v>
      </c>
      <c r="V700" s="55" t="str">
        <f t="shared" si="69"/>
        <v>Sensores</v>
      </c>
      <c r="W700" s="54" t="s">
        <v>7259</v>
      </c>
      <c r="X700" s="84" t="str">
        <f t="shared" si="67"/>
        <v>Key-COD-CT-700</v>
      </c>
      <c r="Y700" s="84" t="s">
        <v>5556</v>
      </c>
      <c r="Z700" s="84" t="s">
        <v>692</v>
      </c>
      <c r="AA700" s="84" t="s">
        <v>5908</v>
      </c>
      <c r="AB700" s="84" t="s">
        <v>692</v>
      </c>
      <c r="AC700" s="84" t="s">
        <v>692</v>
      </c>
      <c r="AD700" s="54" t="s">
        <v>692</v>
      </c>
    </row>
    <row r="701" spans="1:30" ht="6.75" customHeight="1" x14ac:dyDescent="0.25">
      <c r="A701" s="85">
        <v>701</v>
      </c>
      <c r="B701" s="59" t="s">
        <v>5419</v>
      </c>
      <c r="C701" s="60" t="s">
        <v>3292</v>
      </c>
      <c r="D701" s="59" t="s">
        <v>3293</v>
      </c>
      <c r="E701" s="59" t="s">
        <v>3294</v>
      </c>
      <c r="F701" s="61" t="s">
        <v>3349</v>
      </c>
      <c r="G701" s="81" t="s">
        <v>692</v>
      </c>
      <c r="H701" s="81" t="s">
        <v>692</v>
      </c>
      <c r="I701" s="81" t="s">
        <v>692</v>
      </c>
      <c r="J701" s="81" t="s">
        <v>692</v>
      </c>
      <c r="K701" s="81" t="s">
        <v>692</v>
      </c>
      <c r="L701" s="53" t="str">
        <f t="shared" si="68"/>
        <v>Telemetrias</v>
      </c>
      <c r="M701" s="53" t="str">
        <f t="shared" si="68"/>
        <v>MQTT</v>
      </c>
      <c r="N701" s="53" t="str">
        <f t="shared" si="70"/>
        <v>Sensores</v>
      </c>
      <c r="O701" s="53" t="str">
        <f t="shared" si="70"/>
        <v>Sensor de Movimento</v>
      </c>
      <c r="P701" s="54" t="s">
        <v>3350</v>
      </c>
      <c r="Q701" s="54" t="s">
        <v>3351</v>
      </c>
      <c r="R701" s="54" t="s">
        <v>6680</v>
      </c>
      <c r="S701" s="54" t="s">
        <v>692</v>
      </c>
      <c r="T701" s="55" t="str">
        <f t="shared" si="69"/>
        <v>Telemetrias</v>
      </c>
      <c r="U701" s="55" t="str">
        <f t="shared" si="69"/>
        <v>MQTT</v>
      </c>
      <c r="V701" s="55" t="str">
        <f t="shared" si="69"/>
        <v>Sensores</v>
      </c>
      <c r="W701" s="54" t="s">
        <v>7259</v>
      </c>
      <c r="X701" s="84" t="str">
        <f t="shared" si="67"/>
        <v>Key-COD-CT-701</v>
      </c>
      <c r="Y701" s="84" t="s">
        <v>5556</v>
      </c>
      <c r="Z701" s="84" t="s">
        <v>692</v>
      </c>
      <c r="AA701" s="84" t="s">
        <v>5909</v>
      </c>
      <c r="AB701" s="84" t="s">
        <v>692</v>
      </c>
      <c r="AC701" s="84" t="s">
        <v>692</v>
      </c>
      <c r="AD701" s="54" t="s">
        <v>692</v>
      </c>
    </row>
    <row r="702" spans="1:30" ht="6.75" customHeight="1" x14ac:dyDescent="0.25">
      <c r="A702" s="85">
        <v>702</v>
      </c>
      <c r="B702" s="59" t="s">
        <v>5419</v>
      </c>
      <c r="C702" s="60" t="s">
        <v>3292</v>
      </c>
      <c r="D702" s="59" t="s">
        <v>3293</v>
      </c>
      <c r="E702" s="59" t="s">
        <v>3294</v>
      </c>
      <c r="F702" s="61" t="s">
        <v>3352</v>
      </c>
      <c r="G702" s="81" t="s">
        <v>692</v>
      </c>
      <c r="H702" s="81" t="s">
        <v>692</v>
      </c>
      <c r="I702" s="81" t="s">
        <v>692</v>
      </c>
      <c r="J702" s="81" t="s">
        <v>692</v>
      </c>
      <c r="K702" s="81" t="s">
        <v>692</v>
      </c>
      <c r="L702" s="53" t="str">
        <f t="shared" si="68"/>
        <v>Telemetrias</v>
      </c>
      <c r="M702" s="53" t="str">
        <f t="shared" si="68"/>
        <v>MQTT</v>
      </c>
      <c r="N702" s="53" t="str">
        <f t="shared" si="70"/>
        <v>Sensores</v>
      </c>
      <c r="O702" s="53" t="str">
        <f t="shared" si="70"/>
        <v>Sensor de Obstáculo</v>
      </c>
      <c r="P702" s="54" t="s">
        <v>3353</v>
      </c>
      <c r="Q702" s="54" t="s">
        <v>3354</v>
      </c>
      <c r="R702" s="54" t="s">
        <v>6681</v>
      </c>
      <c r="S702" s="54" t="s">
        <v>692</v>
      </c>
      <c r="T702" s="55" t="str">
        <f t="shared" si="69"/>
        <v>Telemetrias</v>
      </c>
      <c r="U702" s="55" t="str">
        <f t="shared" si="69"/>
        <v>MQTT</v>
      </c>
      <c r="V702" s="55" t="str">
        <f t="shared" si="69"/>
        <v>Sensores</v>
      </c>
      <c r="W702" s="54" t="s">
        <v>7259</v>
      </c>
      <c r="X702" s="84" t="str">
        <f t="shared" si="67"/>
        <v>Key-COD-CT-702</v>
      </c>
      <c r="Y702" s="84" t="s">
        <v>5556</v>
      </c>
      <c r="Z702" s="84" t="s">
        <v>692</v>
      </c>
      <c r="AA702" s="84" t="s">
        <v>5910</v>
      </c>
      <c r="AB702" s="84" t="s">
        <v>692</v>
      </c>
      <c r="AC702" s="84" t="s">
        <v>692</v>
      </c>
      <c r="AD702" s="54" t="s">
        <v>692</v>
      </c>
    </row>
    <row r="703" spans="1:30" ht="6.75" customHeight="1" x14ac:dyDescent="0.25">
      <c r="A703" s="85">
        <v>703</v>
      </c>
      <c r="B703" s="59" t="s">
        <v>5419</v>
      </c>
      <c r="C703" s="60" t="s">
        <v>3292</v>
      </c>
      <c r="D703" s="59" t="s">
        <v>3293</v>
      </c>
      <c r="E703" s="59" t="s">
        <v>3294</v>
      </c>
      <c r="F703" s="61" t="s">
        <v>3355</v>
      </c>
      <c r="G703" s="81" t="s">
        <v>692</v>
      </c>
      <c r="H703" s="81" t="s">
        <v>692</v>
      </c>
      <c r="I703" s="81" t="s">
        <v>692</v>
      </c>
      <c r="J703" s="81" t="s">
        <v>692</v>
      </c>
      <c r="K703" s="81" t="s">
        <v>692</v>
      </c>
      <c r="L703" s="53" t="str">
        <f t="shared" si="68"/>
        <v>Telemetrias</v>
      </c>
      <c r="M703" s="53" t="str">
        <f t="shared" si="68"/>
        <v>MQTT</v>
      </c>
      <c r="N703" s="53" t="str">
        <f t="shared" si="70"/>
        <v>Sensores</v>
      </c>
      <c r="O703" s="53" t="str">
        <f t="shared" si="70"/>
        <v>Sensor de pH</v>
      </c>
      <c r="P703" s="54" t="s">
        <v>3356</v>
      </c>
      <c r="Q703" s="54" t="s">
        <v>3357</v>
      </c>
      <c r="R703" s="54" t="s">
        <v>6682</v>
      </c>
      <c r="S703" s="54" t="s">
        <v>692</v>
      </c>
      <c r="T703" s="55" t="str">
        <f t="shared" si="69"/>
        <v>Telemetrias</v>
      </c>
      <c r="U703" s="55" t="str">
        <f t="shared" si="69"/>
        <v>MQTT</v>
      </c>
      <c r="V703" s="55" t="str">
        <f t="shared" si="69"/>
        <v>Sensores</v>
      </c>
      <c r="W703" s="54" t="s">
        <v>7259</v>
      </c>
      <c r="X703" s="84" t="str">
        <f t="shared" si="67"/>
        <v>Key-COD-CT-703</v>
      </c>
      <c r="Y703" s="84" t="s">
        <v>5556</v>
      </c>
      <c r="Z703" s="84" t="s">
        <v>692</v>
      </c>
      <c r="AA703" s="84" t="s">
        <v>5911</v>
      </c>
      <c r="AB703" s="84" t="s">
        <v>692</v>
      </c>
      <c r="AC703" s="84" t="s">
        <v>692</v>
      </c>
      <c r="AD703" s="54" t="s">
        <v>692</v>
      </c>
    </row>
    <row r="704" spans="1:30" ht="6.75" customHeight="1" x14ac:dyDescent="0.25">
      <c r="A704" s="85">
        <v>704</v>
      </c>
      <c r="B704" s="59" t="s">
        <v>5419</v>
      </c>
      <c r="C704" s="60" t="s">
        <v>3292</v>
      </c>
      <c r="D704" s="59" t="s">
        <v>3293</v>
      </c>
      <c r="E704" s="59" t="s">
        <v>3294</v>
      </c>
      <c r="F704" s="61" t="s">
        <v>3358</v>
      </c>
      <c r="G704" s="81" t="s">
        <v>692</v>
      </c>
      <c r="H704" s="81" t="s">
        <v>692</v>
      </c>
      <c r="I704" s="81" t="s">
        <v>692</v>
      </c>
      <c r="J704" s="81" t="s">
        <v>692</v>
      </c>
      <c r="K704" s="81" t="s">
        <v>692</v>
      </c>
      <c r="L704" s="53" t="str">
        <f t="shared" si="68"/>
        <v>Telemetrias</v>
      </c>
      <c r="M704" s="53" t="str">
        <f t="shared" si="68"/>
        <v>MQTT</v>
      </c>
      <c r="N704" s="53" t="str">
        <f t="shared" si="70"/>
        <v>Sensores</v>
      </c>
      <c r="O704" s="53" t="str">
        <f t="shared" si="70"/>
        <v>Sensor de Pressão</v>
      </c>
      <c r="P704" s="54" t="s">
        <v>3359</v>
      </c>
      <c r="Q704" s="54" t="s">
        <v>3360</v>
      </c>
      <c r="R704" s="54" t="s">
        <v>6683</v>
      </c>
      <c r="S704" s="54" t="s">
        <v>692</v>
      </c>
      <c r="T704" s="55" t="str">
        <f t="shared" si="69"/>
        <v>Telemetrias</v>
      </c>
      <c r="U704" s="55" t="str">
        <f t="shared" si="69"/>
        <v>MQTT</v>
      </c>
      <c r="V704" s="55" t="str">
        <f t="shared" si="69"/>
        <v>Sensores</v>
      </c>
      <c r="W704" s="54" t="s">
        <v>7259</v>
      </c>
      <c r="X704" s="84" t="str">
        <f t="shared" si="67"/>
        <v>Key-COD-CT-704</v>
      </c>
      <c r="Y704" s="84" t="s">
        <v>5556</v>
      </c>
      <c r="Z704" s="84" t="s">
        <v>692</v>
      </c>
      <c r="AA704" s="84" t="s">
        <v>5912</v>
      </c>
      <c r="AB704" s="84" t="s">
        <v>692</v>
      </c>
      <c r="AC704" s="84" t="s">
        <v>692</v>
      </c>
      <c r="AD704" s="54" t="s">
        <v>692</v>
      </c>
    </row>
    <row r="705" spans="1:30" ht="6.75" customHeight="1" x14ac:dyDescent="0.25">
      <c r="A705" s="85">
        <v>705</v>
      </c>
      <c r="B705" s="59" t="s">
        <v>5419</v>
      </c>
      <c r="C705" s="60" t="s">
        <v>3292</v>
      </c>
      <c r="D705" s="59" t="s">
        <v>3293</v>
      </c>
      <c r="E705" s="59" t="s">
        <v>3294</v>
      </c>
      <c r="F705" s="61" t="s">
        <v>3361</v>
      </c>
      <c r="G705" s="81" t="s">
        <v>692</v>
      </c>
      <c r="H705" s="81" t="s">
        <v>692</v>
      </c>
      <c r="I705" s="81" t="s">
        <v>692</v>
      </c>
      <c r="J705" s="81" t="s">
        <v>692</v>
      </c>
      <c r="K705" s="81" t="s">
        <v>692</v>
      </c>
      <c r="L705" s="53" t="str">
        <f t="shared" si="68"/>
        <v>Telemetrias</v>
      </c>
      <c r="M705" s="53" t="str">
        <f t="shared" si="68"/>
        <v>MQTT</v>
      </c>
      <c r="N705" s="53" t="str">
        <f t="shared" si="70"/>
        <v>Sensores</v>
      </c>
      <c r="O705" s="53" t="str">
        <f t="shared" si="70"/>
        <v>Sensor de Radiação</v>
      </c>
      <c r="P705" s="54" t="s">
        <v>3362</v>
      </c>
      <c r="Q705" s="54" t="s">
        <v>3363</v>
      </c>
      <c r="R705" s="54" t="s">
        <v>6684</v>
      </c>
      <c r="S705" s="54" t="s">
        <v>692</v>
      </c>
      <c r="T705" s="55" t="str">
        <f t="shared" si="69"/>
        <v>Telemetrias</v>
      </c>
      <c r="U705" s="55" t="str">
        <f t="shared" si="69"/>
        <v>MQTT</v>
      </c>
      <c r="V705" s="55" t="str">
        <f t="shared" si="69"/>
        <v>Sensores</v>
      </c>
      <c r="W705" s="54" t="s">
        <v>7259</v>
      </c>
      <c r="X705" s="84" t="str">
        <f t="shared" si="67"/>
        <v>Key-COD-CT-705</v>
      </c>
      <c r="Y705" s="84" t="s">
        <v>5556</v>
      </c>
      <c r="Z705" s="84" t="s">
        <v>692</v>
      </c>
      <c r="AA705" s="84" t="s">
        <v>5913</v>
      </c>
      <c r="AB705" s="84" t="s">
        <v>692</v>
      </c>
      <c r="AC705" s="84" t="s">
        <v>692</v>
      </c>
      <c r="AD705" s="54" t="s">
        <v>692</v>
      </c>
    </row>
    <row r="706" spans="1:30" ht="6.75" customHeight="1" x14ac:dyDescent="0.25">
      <c r="A706" s="85">
        <v>706</v>
      </c>
      <c r="B706" s="59" t="s">
        <v>5419</v>
      </c>
      <c r="C706" s="60" t="s">
        <v>3292</v>
      </c>
      <c r="D706" s="59" t="s">
        <v>3293</v>
      </c>
      <c r="E706" s="59" t="s">
        <v>3294</v>
      </c>
      <c r="F706" s="61" t="s">
        <v>3364</v>
      </c>
      <c r="G706" s="81" t="s">
        <v>692</v>
      </c>
      <c r="H706" s="81" t="s">
        <v>692</v>
      </c>
      <c r="I706" s="81" t="s">
        <v>692</v>
      </c>
      <c r="J706" s="81" t="s">
        <v>692</v>
      </c>
      <c r="K706" s="81" t="s">
        <v>692</v>
      </c>
      <c r="L706" s="53" t="str">
        <f t="shared" si="68"/>
        <v>Telemetrias</v>
      </c>
      <c r="M706" s="53" t="str">
        <f t="shared" si="68"/>
        <v>MQTT</v>
      </c>
      <c r="N706" s="53" t="str">
        <f t="shared" si="70"/>
        <v>Sensores</v>
      </c>
      <c r="O706" s="53" t="str">
        <f t="shared" si="70"/>
        <v>Sensor de Radioatividade</v>
      </c>
      <c r="P706" s="54" t="s">
        <v>3365</v>
      </c>
      <c r="Q706" s="54" t="s">
        <v>3366</v>
      </c>
      <c r="R706" s="54" t="s">
        <v>6685</v>
      </c>
      <c r="S706" s="54" t="s">
        <v>692</v>
      </c>
      <c r="T706" s="55" t="str">
        <f t="shared" si="69"/>
        <v>Telemetrias</v>
      </c>
      <c r="U706" s="55" t="str">
        <f t="shared" si="69"/>
        <v>MQTT</v>
      </c>
      <c r="V706" s="55" t="str">
        <f t="shared" si="69"/>
        <v>Sensores</v>
      </c>
      <c r="W706" s="54" t="s">
        <v>7259</v>
      </c>
      <c r="X706" s="84" t="str">
        <f t="shared" si="67"/>
        <v>Key-COD-CT-706</v>
      </c>
      <c r="Y706" s="84" t="s">
        <v>5556</v>
      </c>
      <c r="Z706" s="84" t="s">
        <v>692</v>
      </c>
      <c r="AA706" s="84" t="s">
        <v>5914</v>
      </c>
      <c r="AB706" s="84" t="s">
        <v>692</v>
      </c>
      <c r="AC706" s="84" t="s">
        <v>692</v>
      </c>
      <c r="AD706" s="54" t="s">
        <v>692</v>
      </c>
    </row>
    <row r="707" spans="1:30" ht="6.75" customHeight="1" x14ac:dyDescent="0.25">
      <c r="A707" s="85">
        <v>707</v>
      </c>
      <c r="B707" s="59" t="s">
        <v>5419</v>
      </c>
      <c r="C707" s="60" t="s">
        <v>3292</v>
      </c>
      <c r="D707" s="59" t="s">
        <v>3293</v>
      </c>
      <c r="E707" s="59" t="s">
        <v>3294</v>
      </c>
      <c r="F707" s="61" t="s">
        <v>3367</v>
      </c>
      <c r="G707" s="81" t="s">
        <v>692</v>
      </c>
      <c r="H707" s="81" t="s">
        <v>692</v>
      </c>
      <c r="I707" s="81" t="s">
        <v>692</v>
      </c>
      <c r="J707" s="81" t="s">
        <v>692</v>
      </c>
      <c r="K707" s="81" t="s">
        <v>692</v>
      </c>
      <c r="L707" s="53" t="str">
        <f t="shared" si="68"/>
        <v>Telemetrias</v>
      </c>
      <c r="M707" s="53" t="str">
        <f t="shared" si="68"/>
        <v>MQTT</v>
      </c>
      <c r="N707" s="53" t="str">
        <f t="shared" si="70"/>
        <v>Sensores</v>
      </c>
      <c r="O707" s="53" t="str">
        <f t="shared" si="70"/>
        <v>Sensor de Chuva</v>
      </c>
      <c r="P707" s="54" t="s">
        <v>3368</v>
      </c>
      <c r="Q707" s="54" t="s">
        <v>3369</v>
      </c>
      <c r="R707" s="54" t="s">
        <v>6686</v>
      </c>
      <c r="S707" s="54" t="s">
        <v>692</v>
      </c>
      <c r="T707" s="55" t="str">
        <f t="shared" si="69"/>
        <v>Telemetrias</v>
      </c>
      <c r="U707" s="55" t="str">
        <f t="shared" si="69"/>
        <v>MQTT</v>
      </c>
      <c r="V707" s="55" t="str">
        <f t="shared" si="69"/>
        <v>Sensores</v>
      </c>
      <c r="W707" s="54" t="s">
        <v>7259</v>
      </c>
      <c r="X707" s="84" t="str">
        <f t="shared" ref="X707:X770" si="71">CONCATENATE("Key-COD-CT-",A707)</f>
        <v>Key-COD-CT-707</v>
      </c>
      <c r="Y707" s="84" t="s">
        <v>5556</v>
      </c>
      <c r="Z707" s="84" t="s">
        <v>692</v>
      </c>
      <c r="AA707" s="84" t="s">
        <v>5915</v>
      </c>
      <c r="AB707" s="84" t="s">
        <v>692</v>
      </c>
      <c r="AC707" s="84" t="s">
        <v>692</v>
      </c>
      <c r="AD707" s="54" t="s">
        <v>692</v>
      </c>
    </row>
    <row r="708" spans="1:30" ht="6.75" customHeight="1" x14ac:dyDescent="0.25">
      <c r="A708" s="85">
        <v>708</v>
      </c>
      <c r="B708" s="59" t="s">
        <v>5419</v>
      </c>
      <c r="C708" s="60" t="s">
        <v>3292</v>
      </c>
      <c r="D708" s="59" t="s">
        <v>3293</v>
      </c>
      <c r="E708" s="59" t="s">
        <v>3294</v>
      </c>
      <c r="F708" s="61" t="s">
        <v>3370</v>
      </c>
      <c r="G708" s="81" t="s">
        <v>692</v>
      </c>
      <c r="H708" s="81" t="s">
        <v>692</v>
      </c>
      <c r="I708" s="81" t="s">
        <v>692</v>
      </c>
      <c r="J708" s="81" t="s">
        <v>692</v>
      </c>
      <c r="K708" s="81" t="s">
        <v>692</v>
      </c>
      <c r="L708" s="53" t="str">
        <f t="shared" si="68"/>
        <v>Telemetrias</v>
      </c>
      <c r="M708" s="53" t="str">
        <f t="shared" si="68"/>
        <v>MQTT</v>
      </c>
      <c r="N708" s="53" t="str">
        <f t="shared" si="70"/>
        <v>Sensores</v>
      </c>
      <c r="O708" s="53" t="str">
        <f t="shared" si="70"/>
        <v>Sensor de Fumaça</v>
      </c>
      <c r="P708" s="54" t="s">
        <v>3371</v>
      </c>
      <c r="Q708" s="54" t="s">
        <v>3372</v>
      </c>
      <c r="R708" s="54" t="s">
        <v>6687</v>
      </c>
      <c r="S708" s="54" t="s">
        <v>692</v>
      </c>
      <c r="T708" s="55" t="str">
        <f t="shared" si="69"/>
        <v>Telemetrias</v>
      </c>
      <c r="U708" s="55" t="str">
        <f t="shared" si="69"/>
        <v>MQTT</v>
      </c>
      <c r="V708" s="55" t="str">
        <f t="shared" si="69"/>
        <v>Sensores</v>
      </c>
      <c r="W708" s="54" t="s">
        <v>7259</v>
      </c>
      <c r="X708" s="84" t="str">
        <f t="shared" si="71"/>
        <v>Key-COD-CT-708</v>
      </c>
      <c r="Y708" s="84" t="s">
        <v>5556</v>
      </c>
      <c r="Z708" s="84" t="s">
        <v>692</v>
      </c>
      <c r="AA708" s="84" t="s">
        <v>5916</v>
      </c>
      <c r="AB708" s="84" t="s">
        <v>692</v>
      </c>
      <c r="AC708" s="84" t="s">
        <v>692</v>
      </c>
      <c r="AD708" s="54" t="s">
        <v>692</v>
      </c>
    </row>
    <row r="709" spans="1:30" ht="6.75" customHeight="1" x14ac:dyDescent="0.25">
      <c r="A709" s="85">
        <v>709</v>
      </c>
      <c r="B709" s="59" t="s">
        <v>5419</v>
      </c>
      <c r="C709" s="60" t="s">
        <v>3292</v>
      </c>
      <c r="D709" s="59" t="s">
        <v>3293</v>
      </c>
      <c r="E709" s="59" t="s">
        <v>3294</v>
      </c>
      <c r="F709" s="61" t="s">
        <v>3373</v>
      </c>
      <c r="G709" s="81" t="s">
        <v>692</v>
      </c>
      <c r="H709" s="81" t="s">
        <v>692</v>
      </c>
      <c r="I709" s="81" t="s">
        <v>692</v>
      </c>
      <c r="J709" s="81" t="s">
        <v>692</v>
      </c>
      <c r="K709" s="81" t="s">
        <v>692</v>
      </c>
      <c r="L709" s="53" t="str">
        <f t="shared" si="68"/>
        <v>Telemetrias</v>
      </c>
      <c r="M709" s="53" t="str">
        <f t="shared" si="68"/>
        <v>MQTT</v>
      </c>
      <c r="N709" s="53" t="str">
        <f t="shared" si="70"/>
        <v>Sensores</v>
      </c>
      <c r="O709" s="53" t="str">
        <f t="shared" si="70"/>
        <v>Sensor de Profundidade da Neve</v>
      </c>
      <c r="P709" s="54" t="s">
        <v>3374</v>
      </c>
      <c r="Q709" s="54" t="s">
        <v>3375</v>
      </c>
      <c r="R709" s="54" t="s">
        <v>6688</v>
      </c>
      <c r="S709" s="54" t="s">
        <v>692</v>
      </c>
      <c r="T709" s="55" t="str">
        <f t="shared" si="69"/>
        <v>Telemetrias</v>
      </c>
      <c r="U709" s="55" t="str">
        <f t="shared" si="69"/>
        <v>MQTT</v>
      </c>
      <c r="V709" s="55" t="str">
        <f t="shared" si="69"/>
        <v>Sensores</v>
      </c>
      <c r="W709" s="54" t="s">
        <v>7259</v>
      </c>
      <c r="X709" s="84" t="str">
        <f t="shared" si="71"/>
        <v>Key-COD-CT-709</v>
      </c>
      <c r="Y709" s="84" t="s">
        <v>5556</v>
      </c>
      <c r="Z709" s="84" t="s">
        <v>692</v>
      </c>
      <c r="AA709" s="84" t="s">
        <v>5917</v>
      </c>
      <c r="AB709" s="84" t="s">
        <v>692</v>
      </c>
      <c r="AC709" s="84" t="s">
        <v>692</v>
      </c>
      <c r="AD709" s="54" t="s">
        <v>692</v>
      </c>
    </row>
    <row r="710" spans="1:30" ht="6.75" customHeight="1" x14ac:dyDescent="0.25">
      <c r="A710" s="85">
        <v>710</v>
      </c>
      <c r="B710" s="59" t="s">
        <v>5419</v>
      </c>
      <c r="C710" s="60" t="s">
        <v>3292</v>
      </c>
      <c r="D710" s="59" t="s">
        <v>3293</v>
      </c>
      <c r="E710" s="59" t="s">
        <v>3294</v>
      </c>
      <c r="F710" s="61" t="s">
        <v>3376</v>
      </c>
      <c r="G710" s="81" t="s">
        <v>692</v>
      </c>
      <c r="H710" s="81" t="s">
        <v>692</v>
      </c>
      <c r="I710" s="81" t="s">
        <v>692</v>
      </c>
      <c r="J710" s="81" t="s">
        <v>692</v>
      </c>
      <c r="K710" s="81" t="s">
        <v>692</v>
      </c>
      <c r="L710" s="53" t="str">
        <f t="shared" si="68"/>
        <v>Telemetrias</v>
      </c>
      <c r="M710" s="53" t="str">
        <f t="shared" si="68"/>
        <v>MQTT</v>
      </c>
      <c r="N710" s="53" t="str">
        <f t="shared" si="70"/>
        <v>Sensores</v>
      </c>
      <c r="O710" s="53" t="str">
        <f t="shared" si="70"/>
        <v>Sensor de Som</v>
      </c>
      <c r="P710" s="54" t="s">
        <v>3377</v>
      </c>
      <c r="Q710" s="54" t="s">
        <v>3378</v>
      </c>
      <c r="R710" s="54" t="s">
        <v>6689</v>
      </c>
      <c r="S710" s="54" t="s">
        <v>692</v>
      </c>
      <c r="T710" s="55" t="str">
        <f t="shared" si="69"/>
        <v>Telemetrias</v>
      </c>
      <c r="U710" s="55" t="str">
        <f t="shared" si="69"/>
        <v>MQTT</v>
      </c>
      <c r="V710" s="55" t="str">
        <f t="shared" si="69"/>
        <v>Sensores</v>
      </c>
      <c r="W710" s="54" t="s">
        <v>7259</v>
      </c>
      <c r="X710" s="84" t="str">
        <f t="shared" si="71"/>
        <v>Key-COD-CT-710</v>
      </c>
      <c r="Y710" s="84" t="s">
        <v>5556</v>
      </c>
      <c r="Z710" s="84" t="s">
        <v>692</v>
      </c>
      <c r="AA710" s="84" t="s">
        <v>5918</v>
      </c>
      <c r="AB710" s="84" t="s">
        <v>692</v>
      </c>
      <c r="AC710" s="84" t="s">
        <v>692</v>
      </c>
      <c r="AD710" s="54" t="s">
        <v>692</v>
      </c>
    </row>
    <row r="711" spans="1:30" ht="6.75" customHeight="1" x14ac:dyDescent="0.25">
      <c r="A711" s="85">
        <v>711</v>
      </c>
      <c r="B711" s="59" t="s">
        <v>5419</v>
      </c>
      <c r="C711" s="60" t="s">
        <v>3292</v>
      </c>
      <c r="D711" s="59" t="s">
        <v>3293</v>
      </c>
      <c r="E711" s="59" t="s">
        <v>3294</v>
      </c>
      <c r="F711" s="61" t="s">
        <v>3379</v>
      </c>
      <c r="G711" s="81" t="s">
        <v>692</v>
      </c>
      <c r="H711" s="81" t="s">
        <v>692</v>
      </c>
      <c r="I711" s="81" t="s">
        <v>692</v>
      </c>
      <c r="J711" s="81" t="s">
        <v>692</v>
      </c>
      <c r="K711" s="81" t="s">
        <v>692</v>
      </c>
      <c r="L711" s="53" t="str">
        <f t="shared" ref="L711:M774" si="72">CONCATENATE("", C711)</f>
        <v>Telemetrias</v>
      </c>
      <c r="M711" s="53" t="str">
        <f t="shared" si="72"/>
        <v>MQTT</v>
      </c>
      <c r="N711" s="53" t="str">
        <f t="shared" si="70"/>
        <v>Sensores</v>
      </c>
      <c r="O711" s="53" t="str">
        <f t="shared" si="70"/>
        <v>Sensor de Temperatura</v>
      </c>
      <c r="P711" s="54" t="s">
        <v>3380</v>
      </c>
      <c r="Q711" s="54" t="s">
        <v>3381</v>
      </c>
      <c r="R711" s="54" t="s">
        <v>6690</v>
      </c>
      <c r="S711" s="54" t="s">
        <v>692</v>
      </c>
      <c r="T711" s="55" t="str">
        <f t="shared" si="69"/>
        <v>Telemetrias</v>
      </c>
      <c r="U711" s="55" t="str">
        <f t="shared" si="69"/>
        <v>MQTT</v>
      </c>
      <c r="V711" s="55" t="str">
        <f t="shared" si="69"/>
        <v>Sensores</v>
      </c>
      <c r="W711" s="54" t="s">
        <v>7259</v>
      </c>
      <c r="X711" s="84" t="str">
        <f t="shared" si="71"/>
        <v>Key-COD-CT-711</v>
      </c>
      <c r="Y711" s="84" t="s">
        <v>5556</v>
      </c>
      <c r="Z711" s="84" t="s">
        <v>692</v>
      </c>
      <c r="AA711" s="84" t="s">
        <v>5919</v>
      </c>
      <c r="AB711" s="84" t="s">
        <v>692</v>
      </c>
      <c r="AC711" s="84" t="s">
        <v>692</v>
      </c>
      <c r="AD711" s="54" t="s">
        <v>692</v>
      </c>
    </row>
    <row r="712" spans="1:30" ht="6.75" customHeight="1" x14ac:dyDescent="0.25">
      <c r="A712" s="85">
        <v>712</v>
      </c>
      <c r="B712" s="59" t="s">
        <v>5419</v>
      </c>
      <c r="C712" s="60" t="s">
        <v>3292</v>
      </c>
      <c r="D712" s="59" t="s">
        <v>3293</v>
      </c>
      <c r="E712" s="59" t="s">
        <v>3294</v>
      </c>
      <c r="F712" s="61" t="s">
        <v>3382</v>
      </c>
      <c r="G712" s="81" t="s">
        <v>692</v>
      </c>
      <c r="H712" s="81" t="s">
        <v>692</v>
      </c>
      <c r="I712" s="81" t="s">
        <v>692</v>
      </c>
      <c r="J712" s="81" t="s">
        <v>692</v>
      </c>
      <c r="K712" s="81" t="s">
        <v>692</v>
      </c>
      <c r="L712" s="53" t="str">
        <f t="shared" si="72"/>
        <v>Telemetrias</v>
      </c>
      <c r="M712" s="53" t="str">
        <f t="shared" si="72"/>
        <v>MQTT</v>
      </c>
      <c r="N712" s="53" t="str">
        <f t="shared" si="70"/>
        <v>Sensores</v>
      </c>
      <c r="O712" s="53" t="str">
        <f t="shared" si="70"/>
        <v>Sensor de Trem</v>
      </c>
      <c r="P712" s="54" t="s">
        <v>3383</v>
      </c>
      <c r="Q712" s="54" t="s">
        <v>3384</v>
      </c>
      <c r="R712" s="54" t="s">
        <v>6691</v>
      </c>
      <c r="S712" s="54" t="s">
        <v>692</v>
      </c>
      <c r="T712" s="55" t="str">
        <f t="shared" si="69"/>
        <v>Telemetrias</v>
      </c>
      <c r="U712" s="55" t="str">
        <f t="shared" si="69"/>
        <v>MQTT</v>
      </c>
      <c r="V712" s="55" t="str">
        <f t="shared" si="69"/>
        <v>Sensores</v>
      </c>
      <c r="W712" s="54" t="s">
        <v>7259</v>
      </c>
      <c r="X712" s="84" t="str">
        <f t="shared" si="71"/>
        <v>Key-COD-CT-712</v>
      </c>
      <c r="Y712" s="84" t="s">
        <v>5556</v>
      </c>
      <c r="Z712" s="84" t="s">
        <v>692</v>
      </c>
      <c r="AA712" s="84" t="s">
        <v>5920</v>
      </c>
      <c r="AB712" s="84" t="s">
        <v>692</v>
      </c>
      <c r="AC712" s="84" t="s">
        <v>692</v>
      </c>
      <c r="AD712" s="54" t="s">
        <v>692</v>
      </c>
    </row>
    <row r="713" spans="1:30" ht="6.75" customHeight="1" x14ac:dyDescent="0.25">
      <c r="A713" s="85">
        <v>713</v>
      </c>
      <c r="B713" s="59" t="s">
        <v>5419</v>
      </c>
      <c r="C713" s="60" t="s">
        <v>3292</v>
      </c>
      <c r="D713" s="59" t="s">
        <v>3293</v>
      </c>
      <c r="E713" s="59" t="s">
        <v>3294</v>
      </c>
      <c r="F713" s="61" t="s">
        <v>3385</v>
      </c>
      <c r="G713" s="81" t="s">
        <v>692</v>
      </c>
      <c r="H713" s="81" t="s">
        <v>692</v>
      </c>
      <c r="I713" s="81" t="s">
        <v>692</v>
      </c>
      <c r="J713" s="81" t="s">
        <v>692</v>
      </c>
      <c r="K713" s="81" t="s">
        <v>692</v>
      </c>
      <c r="L713" s="53" t="str">
        <f t="shared" si="72"/>
        <v>Telemetrias</v>
      </c>
      <c r="M713" s="53" t="str">
        <f t="shared" si="72"/>
        <v>MQTT</v>
      </c>
      <c r="N713" s="53" t="str">
        <f t="shared" si="70"/>
        <v>Sensores</v>
      </c>
      <c r="O713" s="53" t="str">
        <f t="shared" si="70"/>
        <v>Sensor de Desvio Ferroviário</v>
      </c>
      <c r="P713" s="54" t="s">
        <v>3386</v>
      </c>
      <c r="Q713" s="54" t="s">
        <v>3387</v>
      </c>
      <c r="R713" s="54" t="s">
        <v>6692</v>
      </c>
      <c r="S713" s="54" t="s">
        <v>692</v>
      </c>
      <c r="T713" s="55" t="str">
        <f t="shared" si="69"/>
        <v>Telemetrias</v>
      </c>
      <c r="U713" s="55" t="str">
        <f t="shared" si="69"/>
        <v>MQTT</v>
      </c>
      <c r="V713" s="55" t="str">
        <f t="shared" si="69"/>
        <v>Sensores</v>
      </c>
      <c r="W713" s="54" t="s">
        <v>7259</v>
      </c>
      <c r="X713" s="84" t="str">
        <f t="shared" si="71"/>
        <v>Key-COD-CT-713</v>
      </c>
      <c r="Y713" s="84" t="s">
        <v>5556</v>
      </c>
      <c r="Z713" s="84" t="s">
        <v>692</v>
      </c>
      <c r="AA713" s="84" t="s">
        <v>5921</v>
      </c>
      <c r="AB713" s="84" t="s">
        <v>692</v>
      </c>
      <c r="AC713" s="84" t="s">
        <v>692</v>
      </c>
      <c r="AD713" s="54" t="s">
        <v>692</v>
      </c>
    </row>
    <row r="714" spans="1:30" ht="6.75" customHeight="1" x14ac:dyDescent="0.25">
      <c r="A714" s="85">
        <v>714</v>
      </c>
      <c r="B714" s="59" t="s">
        <v>5419</v>
      </c>
      <c r="C714" s="60" t="s">
        <v>3292</v>
      </c>
      <c r="D714" s="59" t="s">
        <v>3293</v>
      </c>
      <c r="E714" s="59" t="s">
        <v>3294</v>
      </c>
      <c r="F714" s="61" t="s">
        <v>3388</v>
      </c>
      <c r="G714" s="81" t="s">
        <v>692</v>
      </c>
      <c r="H714" s="81" t="s">
        <v>692</v>
      </c>
      <c r="I714" s="81" t="s">
        <v>692</v>
      </c>
      <c r="J714" s="81" t="s">
        <v>692</v>
      </c>
      <c r="K714" s="81" t="s">
        <v>692</v>
      </c>
      <c r="L714" s="53" t="str">
        <f t="shared" si="72"/>
        <v>Telemetrias</v>
      </c>
      <c r="M714" s="53" t="str">
        <f t="shared" si="72"/>
        <v>MQTT</v>
      </c>
      <c r="N714" s="53" t="str">
        <f t="shared" si="70"/>
        <v>Sensores</v>
      </c>
      <c r="O714" s="53" t="str">
        <f t="shared" si="70"/>
        <v>Sensor de Roda</v>
      </c>
      <c r="P714" s="54" t="s">
        <v>3389</v>
      </c>
      <c r="Q714" s="54" t="s">
        <v>3390</v>
      </c>
      <c r="R714" s="54" t="s">
        <v>6693</v>
      </c>
      <c r="S714" s="54" t="s">
        <v>692</v>
      </c>
      <c r="T714" s="55" t="str">
        <f t="shared" si="69"/>
        <v>Telemetrias</v>
      </c>
      <c r="U714" s="55" t="str">
        <f t="shared" si="69"/>
        <v>MQTT</v>
      </c>
      <c r="V714" s="55" t="str">
        <f t="shared" si="69"/>
        <v>Sensores</v>
      </c>
      <c r="W714" s="54" t="s">
        <v>7259</v>
      </c>
      <c r="X714" s="84" t="str">
        <f t="shared" si="71"/>
        <v>Key-COD-CT-714</v>
      </c>
      <c r="Y714" s="84" t="s">
        <v>5556</v>
      </c>
      <c r="Z714" s="84" t="s">
        <v>692</v>
      </c>
      <c r="AA714" s="84" t="s">
        <v>5922</v>
      </c>
      <c r="AB714" s="84" t="s">
        <v>692</v>
      </c>
      <c r="AC714" s="84" t="s">
        <v>692</v>
      </c>
      <c r="AD714" s="54" t="s">
        <v>692</v>
      </c>
    </row>
    <row r="715" spans="1:30" ht="6.75" customHeight="1" x14ac:dyDescent="0.25">
      <c r="A715" s="85">
        <v>715</v>
      </c>
      <c r="B715" s="59" t="s">
        <v>5419</v>
      </c>
      <c r="C715" s="60" t="s">
        <v>3292</v>
      </c>
      <c r="D715" s="59" t="s">
        <v>3293</v>
      </c>
      <c r="E715" s="59" t="s">
        <v>3294</v>
      </c>
      <c r="F715" s="61" t="s">
        <v>3391</v>
      </c>
      <c r="G715" s="81" t="s">
        <v>692</v>
      </c>
      <c r="H715" s="81" t="s">
        <v>692</v>
      </c>
      <c r="I715" s="81" t="s">
        <v>692</v>
      </c>
      <c r="J715" s="81" t="s">
        <v>692</v>
      </c>
      <c r="K715" s="81" t="s">
        <v>692</v>
      </c>
      <c r="L715" s="53" t="str">
        <f t="shared" si="72"/>
        <v>Telemetrias</v>
      </c>
      <c r="M715" s="53" t="str">
        <f t="shared" si="72"/>
        <v>MQTT</v>
      </c>
      <c r="N715" s="53" t="str">
        <f t="shared" si="70"/>
        <v>Sensores</v>
      </c>
      <c r="O715" s="53" t="str">
        <f t="shared" si="70"/>
        <v>Sensor de Vento</v>
      </c>
      <c r="P715" s="54" t="s">
        <v>3392</v>
      </c>
      <c r="Q715" s="54" t="s">
        <v>3393</v>
      </c>
      <c r="R715" s="54" t="s">
        <v>6694</v>
      </c>
      <c r="S715" s="54" t="s">
        <v>692</v>
      </c>
      <c r="T715" s="55" t="str">
        <f t="shared" si="69"/>
        <v>Telemetrias</v>
      </c>
      <c r="U715" s="55" t="str">
        <f t="shared" si="69"/>
        <v>MQTT</v>
      </c>
      <c r="V715" s="55" t="str">
        <f t="shared" si="69"/>
        <v>Sensores</v>
      </c>
      <c r="W715" s="54" t="s">
        <v>7259</v>
      </c>
      <c r="X715" s="84" t="str">
        <f t="shared" si="71"/>
        <v>Key-COD-CT-715</v>
      </c>
      <c r="Y715" s="84" t="s">
        <v>5556</v>
      </c>
      <c r="Z715" s="84" t="s">
        <v>692</v>
      </c>
      <c r="AA715" s="84" t="s">
        <v>5923</v>
      </c>
      <c r="AB715" s="84" t="s">
        <v>692</v>
      </c>
      <c r="AC715" s="84" t="s">
        <v>692</v>
      </c>
      <c r="AD715" s="54" t="s">
        <v>692</v>
      </c>
    </row>
    <row r="716" spans="1:30" ht="6.75" customHeight="1" x14ac:dyDescent="0.25">
      <c r="A716" s="85">
        <v>716</v>
      </c>
      <c r="B716" s="59" t="s">
        <v>5419</v>
      </c>
      <c r="C716" s="59" t="s">
        <v>3394</v>
      </c>
      <c r="D716" s="60" t="s">
        <v>3395</v>
      </c>
      <c r="E716" s="59" t="s">
        <v>3396</v>
      </c>
      <c r="F716" s="61" t="s">
        <v>3397</v>
      </c>
      <c r="G716" s="81" t="s">
        <v>692</v>
      </c>
      <c r="H716" s="81" t="s">
        <v>692</v>
      </c>
      <c r="I716" s="81" t="s">
        <v>692</v>
      </c>
      <c r="J716" s="81" t="s">
        <v>2472</v>
      </c>
      <c r="K716" s="81" t="s">
        <v>692</v>
      </c>
      <c r="L716" s="53" t="str">
        <f t="shared" si="72"/>
        <v>Insumos</v>
      </c>
      <c r="M716" s="53" t="str">
        <f t="shared" si="72"/>
        <v>Insumos.Elétricos</v>
      </c>
      <c r="N716" s="53" t="str">
        <f t="shared" si="70"/>
        <v>Tomadas Elétricas</v>
      </c>
      <c r="O716" s="53" t="str">
        <f t="shared" si="70"/>
        <v>Tomada</v>
      </c>
      <c r="P716" s="54" t="s">
        <v>3398</v>
      </c>
      <c r="Q716" s="54" t="s">
        <v>3399</v>
      </c>
      <c r="R716" s="54" t="s">
        <v>6695</v>
      </c>
      <c r="S716" s="54" t="s">
        <v>692</v>
      </c>
      <c r="T716" s="55" t="str">
        <f t="shared" si="69"/>
        <v>Insumos</v>
      </c>
      <c r="U716" s="55" t="str">
        <f t="shared" si="69"/>
        <v>Insumos Elétricos</v>
      </c>
      <c r="V716" s="55" t="str">
        <f t="shared" si="69"/>
        <v>Tomadas Elétricas</v>
      </c>
      <c r="W716" s="54" t="s">
        <v>7259</v>
      </c>
      <c r="X716" s="84" t="str">
        <f t="shared" si="71"/>
        <v>Key-COD-CT-716</v>
      </c>
      <c r="Y716" s="84" t="s">
        <v>5996</v>
      </c>
      <c r="Z716" s="84" t="s">
        <v>692</v>
      </c>
      <c r="AA716" s="84" t="s">
        <v>5924</v>
      </c>
      <c r="AB716" s="84" t="s">
        <v>692</v>
      </c>
      <c r="AC716" s="84" t="s">
        <v>692</v>
      </c>
      <c r="AD716" s="54" t="s">
        <v>692</v>
      </c>
    </row>
    <row r="717" spans="1:30" ht="6.75" customHeight="1" x14ac:dyDescent="0.25">
      <c r="A717" s="85">
        <v>717</v>
      </c>
      <c r="B717" s="59" t="s">
        <v>5419</v>
      </c>
      <c r="C717" s="59" t="s">
        <v>3394</v>
      </c>
      <c r="D717" s="60" t="s">
        <v>3395</v>
      </c>
      <c r="E717" s="59" t="s">
        <v>3396</v>
      </c>
      <c r="F717" s="61" t="s">
        <v>3400</v>
      </c>
      <c r="G717" s="81" t="s">
        <v>692</v>
      </c>
      <c r="H717" s="81" t="s">
        <v>692</v>
      </c>
      <c r="I717" s="81" t="s">
        <v>692</v>
      </c>
      <c r="J717" s="81" t="s">
        <v>692</v>
      </c>
      <c r="K717" s="81" t="s">
        <v>692</v>
      </c>
      <c r="L717" s="53" t="str">
        <f t="shared" si="72"/>
        <v>Insumos</v>
      </c>
      <c r="M717" s="53" t="str">
        <f t="shared" si="72"/>
        <v>Insumos.Elétricos</v>
      </c>
      <c r="N717" s="53" t="str">
        <f t="shared" si="70"/>
        <v>Tomadas Elétricas</v>
      </c>
      <c r="O717" s="53" t="str">
        <f t="shared" si="70"/>
        <v>Tomada de Energia</v>
      </c>
      <c r="P717" s="54" t="s">
        <v>3401</v>
      </c>
      <c r="Q717" s="54" t="s">
        <v>3402</v>
      </c>
      <c r="R717" s="54" t="s">
        <v>6696</v>
      </c>
      <c r="S717" s="54" t="s">
        <v>692</v>
      </c>
      <c r="T717" s="55" t="str">
        <f t="shared" si="69"/>
        <v>Insumos</v>
      </c>
      <c r="U717" s="55" t="str">
        <f t="shared" si="69"/>
        <v>Insumos Elétricos</v>
      </c>
      <c r="V717" s="55" t="str">
        <f t="shared" si="69"/>
        <v>Tomadas Elétricas</v>
      </c>
      <c r="W717" s="54" t="s">
        <v>7259</v>
      </c>
      <c r="X717" s="84" t="str">
        <f t="shared" si="71"/>
        <v>Key-COD-CT-717</v>
      </c>
      <c r="Y717" s="84" t="s">
        <v>5996</v>
      </c>
      <c r="Z717" s="84" t="s">
        <v>692</v>
      </c>
      <c r="AA717" s="84" t="s">
        <v>5925</v>
      </c>
      <c r="AB717" s="84" t="s">
        <v>692</v>
      </c>
      <c r="AC717" s="84" t="s">
        <v>692</v>
      </c>
      <c r="AD717" s="54" t="s">
        <v>692</v>
      </c>
    </row>
    <row r="718" spans="1:30" ht="6.75" customHeight="1" x14ac:dyDescent="0.25">
      <c r="A718" s="85">
        <v>718</v>
      </c>
      <c r="B718" s="59" t="s">
        <v>5419</v>
      </c>
      <c r="C718" s="59" t="s">
        <v>3394</v>
      </c>
      <c r="D718" s="60" t="s">
        <v>3395</v>
      </c>
      <c r="E718" s="59" t="s">
        <v>3396</v>
      </c>
      <c r="F718" s="61" t="s">
        <v>3403</v>
      </c>
      <c r="G718" s="81" t="s">
        <v>692</v>
      </c>
      <c r="H718" s="81" t="s">
        <v>692</v>
      </c>
      <c r="I718" s="81" t="s">
        <v>692</v>
      </c>
      <c r="J718" s="81" t="s">
        <v>692</v>
      </c>
      <c r="K718" s="81" t="s">
        <v>692</v>
      </c>
      <c r="L718" s="53" t="str">
        <f t="shared" si="72"/>
        <v>Insumos</v>
      </c>
      <c r="M718" s="53" t="str">
        <f t="shared" si="72"/>
        <v>Insumos.Elétricos</v>
      </c>
      <c r="N718" s="53" t="str">
        <f t="shared" si="70"/>
        <v>Tomadas Elétricas</v>
      </c>
      <c r="O718" s="53" t="str">
        <f t="shared" si="70"/>
        <v>Tomada de Energia Sobrepor</v>
      </c>
      <c r="P718" s="54" t="s">
        <v>3404</v>
      </c>
      <c r="Q718" s="54" t="s">
        <v>3405</v>
      </c>
      <c r="R718" s="54" t="s">
        <v>6697</v>
      </c>
      <c r="S718" s="54" t="s">
        <v>692</v>
      </c>
      <c r="T718" s="55" t="str">
        <f t="shared" si="69"/>
        <v>Insumos</v>
      </c>
      <c r="U718" s="55" t="str">
        <f t="shared" si="69"/>
        <v>Insumos Elétricos</v>
      </c>
      <c r="V718" s="55" t="str">
        <f t="shared" si="69"/>
        <v>Tomadas Elétricas</v>
      </c>
      <c r="W718" s="54" t="s">
        <v>7259</v>
      </c>
      <c r="X718" s="84" t="str">
        <f t="shared" si="71"/>
        <v>Key-COD-CT-718</v>
      </c>
      <c r="Y718" s="84" t="s">
        <v>5996</v>
      </c>
      <c r="Z718" s="84" t="s">
        <v>692</v>
      </c>
      <c r="AA718" s="84" t="s">
        <v>5925</v>
      </c>
      <c r="AB718" s="84" t="s">
        <v>692</v>
      </c>
      <c r="AC718" s="84" t="s">
        <v>692</v>
      </c>
      <c r="AD718" s="54" t="s">
        <v>692</v>
      </c>
    </row>
    <row r="719" spans="1:30" ht="6.75" customHeight="1" x14ac:dyDescent="0.25">
      <c r="A719" s="85">
        <v>719</v>
      </c>
      <c r="B719" s="59" t="s">
        <v>5419</v>
      </c>
      <c r="C719" s="59" t="s">
        <v>3394</v>
      </c>
      <c r="D719" s="60" t="s">
        <v>3395</v>
      </c>
      <c r="E719" s="59" t="s">
        <v>3396</v>
      </c>
      <c r="F719" s="61" t="s">
        <v>3406</v>
      </c>
      <c r="G719" s="81" t="s">
        <v>692</v>
      </c>
      <c r="H719" s="81" t="s">
        <v>692</v>
      </c>
      <c r="I719" s="81" t="s">
        <v>692</v>
      </c>
      <c r="J719" s="81" t="s">
        <v>692</v>
      </c>
      <c r="K719" s="81" t="s">
        <v>692</v>
      </c>
      <c r="L719" s="53" t="str">
        <f t="shared" si="72"/>
        <v>Insumos</v>
      </c>
      <c r="M719" s="53" t="str">
        <f t="shared" si="72"/>
        <v>Insumos.Elétricos</v>
      </c>
      <c r="N719" s="53" t="str">
        <f t="shared" si="70"/>
        <v>Tomadas Elétricas</v>
      </c>
      <c r="O719" s="53" t="str">
        <f t="shared" si="70"/>
        <v>Conector Elétrico</v>
      </c>
      <c r="P719" s="54" t="s">
        <v>3407</v>
      </c>
      <c r="Q719" s="54" t="s">
        <v>3408</v>
      </c>
      <c r="R719" s="54" t="s">
        <v>6698</v>
      </c>
      <c r="S719" s="54" t="s">
        <v>692</v>
      </c>
      <c r="T719" s="55" t="str">
        <f t="shared" si="69"/>
        <v>Insumos</v>
      </c>
      <c r="U719" s="55" t="str">
        <f t="shared" si="69"/>
        <v>Insumos Elétricos</v>
      </c>
      <c r="V719" s="55" t="str">
        <f t="shared" si="69"/>
        <v>Tomadas Elétricas</v>
      </c>
      <c r="W719" s="54" t="s">
        <v>7259</v>
      </c>
      <c r="X719" s="84" t="str">
        <f t="shared" si="71"/>
        <v>Key-COD-CT-719</v>
      </c>
      <c r="Y719" s="84" t="s">
        <v>5621</v>
      </c>
      <c r="Z719" s="84" t="s">
        <v>692</v>
      </c>
      <c r="AA719" s="84" t="s">
        <v>5926</v>
      </c>
      <c r="AB719" s="84" t="s">
        <v>692</v>
      </c>
      <c r="AC719" s="84" t="s">
        <v>692</v>
      </c>
      <c r="AD719" s="54" t="s">
        <v>692</v>
      </c>
    </row>
    <row r="720" spans="1:30" ht="6.75" customHeight="1" x14ac:dyDescent="0.25">
      <c r="A720" s="85">
        <v>720</v>
      </c>
      <c r="B720" s="59" t="s">
        <v>5419</v>
      </c>
      <c r="C720" s="59" t="s">
        <v>3394</v>
      </c>
      <c r="D720" s="60" t="s">
        <v>3395</v>
      </c>
      <c r="E720" s="59" t="s">
        <v>3409</v>
      </c>
      <c r="F720" s="61" t="s">
        <v>3410</v>
      </c>
      <c r="G720" s="81" t="s">
        <v>692</v>
      </c>
      <c r="H720" s="81" t="s">
        <v>692</v>
      </c>
      <c r="I720" s="81" t="s">
        <v>692</v>
      </c>
      <c r="J720" s="81" t="s">
        <v>692</v>
      </c>
      <c r="K720" s="81" t="s">
        <v>692</v>
      </c>
      <c r="L720" s="53" t="str">
        <f t="shared" si="72"/>
        <v>Insumos</v>
      </c>
      <c r="M720" s="53" t="str">
        <f t="shared" si="72"/>
        <v>Insumos.Elétricos</v>
      </c>
      <c r="N720" s="53" t="str">
        <f t="shared" si="70"/>
        <v>Caixas Piso Elétricas</v>
      </c>
      <c r="O720" s="53" t="str">
        <f t="shared" si="70"/>
        <v>Caixa 3E</v>
      </c>
      <c r="P720" s="54" t="s">
        <v>3411</v>
      </c>
      <c r="Q720" s="54" t="s">
        <v>3412</v>
      </c>
      <c r="R720" s="54" t="s">
        <v>6699</v>
      </c>
      <c r="S720" s="54" t="s">
        <v>692</v>
      </c>
      <c r="T720" s="55" t="str">
        <f t="shared" si="69"/>
        <v>Insumos</v>
      </c>
      <c r="U720" s="55" t="str">
        <f t="shared" si="69"/>
        <v>Insumos Elétricos</v>
      </c>
      <c r="V720" s="55" t="str">
        <f t="shared" si="69"/>
        <v>Caixas Piso Elétricas</v>
      </c>
      <c r="W720" s="54" t="s">
        <v>7259</v>
      </c>
      <c r="X720" s="84" t="str">
        <f t="shared" si="71"/>
        <v>Key-COD-CT-720</v>
      </c>
      <c r="Y720" s="84" t="s">
        <v>5996</v>
      </c>
      <c r="Z720" s="84" t="s">
        <v>692</v>
      </c>
      <c r="AA720" s="84" t="s">
        <v>5927</v>
      </c>
      <c r="AB720" s="84" t="s">
        <v>692</v>
      </c>
      <c r="AC720" s="84" t="s">
        <v>692</v>
      </c>
      <c r="AD720" s="54" t="s">
        <v>692</v>
      </c>
    </row>
    <row r="721" spans="1:30" ht="6.75" customHeight="1" x14ac:dyDescent="0.25">
      <c r="A721" s="85">
        <v>721</v>
      </c>
      <c r="B721" s="59" t="s">
        <v>5419</v>
      </c>
      <c r="C721" s="59" t="s">
        <v>3394</v>
      </c>
      <c r="D721" s="60" t="s">
        <v>3395</v>
      </c>
      <c r="E721" s="59" t="s">
        <v>3413</v>
      </c>
      <c r="F721" s="61" t="s">
        <v>3414</v>
      </c>
      <c r="G721" s="81" t="s">
        <v>692</v>
      </c>
      <c r="H721" s="81" t="s">
        <v>692</v>
      </c>
      <c r="I721" s="81" t="s">
        <v>692</v>
      </c>
      <c r="J721" s="81" t="s">
        <v>2472</v>
      </c>
      <c r="K721" s="81" t="s">
        <v>3415</v>
      </c>
      <c r="L721" s="53" t="str">
        <f t="shared" si="72"/>
        <v>Insumos</v>
      </c>
      <c r="M721" s="53" t="str">
        <f t="shared" si="72"/>
        <v>Insumos.Elétricos</v>
      </c>
      <c r="N721" s="53" t="str">
        <f t="shared" si="70"/>
        <v>Interruptores</v>
      </c>
      <c r="O721" s="53" t="str">
        <f t="shared" si="70"/>
        <v>Interruptor</v>
      </c>
      <c r="P721" s="54" t="s">
        <v>3416</v>
      </c>
      <c r="Q721" s="54" t="s">
        <v>3417</v>
      </c>
      <c r="R721" s="54" t="s">
        <v>6700</v>
      </c>
      <c r="S721" s="54" t="s">
        <v>692</v>
      </c>
      <c r="T721" s="55" t="str">
        <f t="shared" si="69"/>
        <v>Insumos</v>
      </c>
      <c r="U721" s="55" t="str">
        <f t="shared" si="69"/>
        <v>Insumos Elétricos</v>
      </c>
      <c r="V721" s="55" t="str">
        <f t="shared" si="69"/>
        <v>Interruptores</v>
      </c>
      <c r="W721" s="54" t="s">
        <v>7259</v>
      </c>
      <c r="X721" s="84" t="str">
        <f t="shared" si="71"/>
        <v>Key-COD-CT-721</v>
      </c>
      <c r="Y721" s="84" t="s">
        <v>5997</v>
      </c>
      <c r="Z721" s="84" t="s">
        <v>692</v>
      </c>
      <c r="AA721" s="84" t="s">
        <v>5928</v>
      </c>
      <c r="AB721" s="84" t="s">
        <v>692</v>
      </c>
      <c r="AC721" s="84" t="s">
        <v>692</v>
      </c>
      <c r="AD721" s="54" t="s">
        <v>692</v>
      </c>
    </row>
    <row r="722" spans="1:30" ht="6.75" customHeight="1" x14ac:dyDescent="0.25">
      <c r="A722" s="85">
        <v>722</v>
      </c>
      <c r="B722" s="59" t="s">
        <v>5419</v>
      </c>
      <c r="C722" s="59" t="s">
        <v>3394</v>
      </c>
      <c r="D722" s="60" t="s">
        <v>3395</v>
      </c>
      <c r="E722" s="59" t="s">
        <v>3413</v>
      </c>
      <c r="F722" s="61" t="s">
        <v>3418</v>
      </c>
      <c r="G722" s="81" t="s">
        <v>692</v>
      </c>
      <c r="H722" s="81" t="s">
        <v>692</v>
      </c>
      <c r="I722" s="81" t="s">
        <v>692</v>
      </c>
      <c r="J722" s="81" t="s">
        <v>692</v>
      </c>
      <c r="K722" s="81" t="s">
        <v>3415</v>
      </c>
      <c r="L722" s="53" t="str">
        <f t="shared" si="72"/>
        <v>Insumos</v>
      </c>
      <c r="M722" s="53" t="str">
        <f t="shared" si="72"/>
        <v>Insumos.Elétricos</v>
      </c>
      <c r="N722" s="53" t="str">
        <f t="shared" si="70"/>
        <v>Interruptores</v>
      </c>
      <c r="O722" s="53" t="str">
        <f t="shared" si="70"/>
        <v>Interruptor Duplo</v>
      </c>
      <c r="P722" s="54" t="s">
        <v>3419</v>
      </c>
      <c r="Q722" s="54" t="s">
        <v>3420</v>
      </c>
      <c r="R722" s="54" t="s">
        <v>6701</v>
      </c>
      <c r="S722" s="54" t="s">
        <v>692</v>
      </c>
      <c r="T722" s="55" t="str">
        <f t="shared" si="69"/>
        <v>Insumos</v>
      </c>
      <c r="U722" s="55" t="str">
        <f t="shared" si="69"/>
        <v>Insumos Elétricos</v>
      </c>
      <c r="V722" s="55" t="str">
        <f t="shared" si="69"/>
        <v>Interruptores</v>
      </c>
      <c r="W722" s="54" t="s">
        <v>7259</v>
      </c>
      <c r="X722" s="84" t="str">
        <f t="shared" si="71"/>
        <v>Key-COD-CT-722</v>
      </c>
      <c r="Y722" s="84" t="s">
        <v>5997</v>
      </c>
      <c r="Z722" s="84" t="s">
        <v>692</v>
      </c>
      <c r="AA722" s="84" t="s">
        <v>5929</v>
      </c>
      <c r="AB722" s="84" t="s">
        <v>692</v>
      </c>
      <c r="AC722" s="84" t="s">
        <v>692</v>
      </c>
      <c r="AD722" s="54" t="s">
        <v>692</v>
      </c>
    </row>
    <row r="723" spans="1:30" ht="6.75" customHeight="1" x14ac:dyDescent="0.25">
      <c r="A723" s="85">
        <v>723</v>
      </c>
      <c r="B723" s="59" t="s">
        <v>5419</v>
      </c>
      <c r="C723" s="59" t="s">
        <v>3394</v>
      </c>
      <c r="D723" s="60" t="s">
        <v>3395</v>
      </c>
      <c r="E723" s="59" t="s">
        <v>3413</v>
      </c>
      <c r="F723" s="61" t="s">
        <v>3421</v>
      </c>
      <c r="G723" s="81" t="s">
        <v>692</v>
      </c>
      <c r="H723" s="81" t="s">
        <v>692</v>
      </c>
      <c r="I723" s="81" t="s">
        <v>692</v>
      </c>
      <c r="J723" s="81" t="s">
        <v>692</v>
      </c>
      <c r="K723" s="81" t="s">
        <v>3415</v>
      </c>
      <c r="L723" s="53" t="str">
        <f t="shared" si="72"/>
        <v>Insumos</v>
      </c>
      <c r="M723" s="53" t="str">
        <f t="shared" si="72"/>
        <v>Insumos.Elétricos</v>
      </c>
      <c r="N723" s="53" t="str">
        <f t="shared" si="70"/>
        <v>Interruptores</v>
      </c>
      <c r="O723" s="53" t="str">
        <f t="shared" si="70"/>
        <v>Interruptor Triplo</v>
      </c>
      <c r="P723" s="54" t="s">
        <v>3422</v>
      </c>
      <c r="Q723" s="54" t="s">
        <v>3420</v>
      </c>
      <c r="R723" s="54" t="s">
        <v>6702</v>
      </c>
      <c r="S723" s="54" t="s">
        <v>692</v>
      </c>
      <c r="T723" s="55" t="str">
        <f t="shared" si="69"/>
        <v>Insumos</v>
      </c>
      <c r="U723" s="55" t="str">
        <f t="shared" si="69"/>
        <v>Insumos Elétricos</v>
      </c>
      <c r="V723" s="55" t="str">
        <f t="shared" si="69"/>
        <v>Interruptores</v>
      </c>
      <c r="W723" s="54" t="s">
        <v>7259</v>
      </c>
      <c r="X723" s="84" t="str">
        <f t="shared" si="71"/>
        <v>Key-COD-CT-723</v>
      </c>
      <c r="Y723" s="84" t="s">
        <v>5997</v>
      </c>
      <c r="Z723" s="84" t="s">
        <v>692</v>
      </c>
      <c r="AA723" s="84" t="s">
        <v>5929</v>
      </c>
      <c r="AB723" s="84" t="s">
        <v>692</v>
      </c>
      <c r="AC723" s="84" t="s">
        <v>692</v>
      </c>
      <c r="AD723" s="54" t="s">
        <v>692</v>
      </c>
    </row>
    <row r="724" spans="1:30" ht="6.75" customHeight="1" x14ac:dyDescent="0.25">
      <c r="A724" s="85">
        <v>724</v>
      </c>
      <c r="B724" s="59" t="s">
        <v>5419</v>
      </c>
      <c r="C724" s="59" t="s">
        <v>3394</v>
      </c>
      <c r="D724" s="60" t="s">
        <v>3395</v>
      </c>
      <c r="E724" s="59" t="s">
        <v>3413</v>
      </c>
      <c r="F724" s="61" t="s">
        <v>3423</v>
      </c>
      <c r="G724" s="81" t="s">
        <v>692</v>
      </c>
      <c r="H724" s="81" t="s">
        <v>692</v>
      </c>
      <c r="I724" s="81" t="s">
        <v>692</v>
      </c>
      <c r="J724" s="81" t="s">
        <v>692</v>
      </c>
      <c r="K724" s="81" t="s">
        <v>692</v>
      </c>
      <c r="L724" s="53" t="str">
        <f t="shared" si="72"/>
        <v>Insumos</v>
      </c>
      <c r="M724" s="53" t="str">
        <f t="shared" si="72"/>
        <v>Insumos.Elétricos</v>
      </c>
      <c r="N724" s="53" t="str">
        <f t="shared" si="70"/>
        <v>Interruptores</v>
      </c>
      <c r="O724" s="53" t="str">
        <f t="shared" si="70"/>
        <v>Interruptor 3W</v>
      </c>
      <c r="P724" s="54" t="s">
        <v>3424</v>
      </c>
      <c r="Q724" s="54" t="s">
        <v>3425</v>
      </c>
      <c r="R724" s="54" t="s">
        <v>6703</v>
      </c>
      <c r="S724" s="54" t="s">
        <v>692</v>
      </c>
      <c r="T724" s="55" t="str">
        <f t="shared" si="69"/>
        <v>Insumos</v>
      </c>
      <c r="U724" s="55" t="str">
        <f t="shared" si="69"/>
        <v>Insumos Elétricos</v>
      </c>
      <c r="V724" s="55" t="str">
        <f t="shared" si="69"/>
        <v>Interruptores</v>
      </c>
      <c r="W724" s="54" t="s">
        <v>7259</v>
      </c>
      <c r="X724" s="84" t="str">
        <f t="shared" si="71"/>
        <v>Key-COD-CT-724</v>
      </c>
      <c r="Y724" s="84" t="s">
        <v>5997</v>
      </c>
      <c r="Z724" s="84" t="s">
        <v>692</v>
      </c>
      <c r="AA724" s="84" t="s">
        <v>5930</v>
      </c>
      <c r="AB724" s="84" t="s">
        <v>692</v>
      </c>
      <c r="AC724" s="84" t="s">
        <v>692</v>
      </c>
      <c r="AD724" s="54" t="s">
        <v>692</v>
      </c>
    </row>
    <row r="725" spans="1:30" ht="6.75" customHeight="1" x14ac:dyDescent="0.25">
      <c r="A725" s="85">
        <v>725</v>
      </c>
      <c r="B725" s="59" t="s">
        <v>5419</v>
      </c>
      <c r="C725" s="59" t="s">
        <v>3394</v>
      </c>
      <c r="D725" s="60" t="s">
        <v>3395</v>
      </c>
      <c r="E725" s="59" t="s">
        <v>3413</v>
      </c>
      <c r="F725" s="61" t="s">
        <v>3426</v>
      </c>
      <c r="G725" s="81" t="s">
        <v>692</v>
      </c>
      <c r="H725" s="81" t="s">
        <v>692</v>
      </c>
      <c r="I725" s="81" t="s">
        <v>692</v>
      </c>
      <c r="J725" s="81" t="s">
        <v>692</v>
      </c>
      <c r="K725" s="81" t="s">
        <v>692</v>
      </c>
      <c r="L725" s="53" t="str">
        <f t="shared" si="72"/>
        <v>Insumos</v>
      </c>
      <c r="M725" s="53" t="str">
        <f t="shared" si="72"/>
        <v>Insumos.Elétricos</v>
      </c>
      <c r="N725" s="53" t="str">
        <f t="shared" si="70"/>
        <v>Interruptores</v>
      </c>
      <c r="O725" s="53" t="str">
        <f t="shared" si="70"/>
        <v>Interruptor 4W</v>
      </c>
      <c r="P725" s="54" t="s">
        <v>3427</v>
      </c>
      <c r="Q725" s="54" t="s">
        <v>3428</v>
      </c>
      <c r="R725" s="54" t="s">
        <v>6704</v>
      </c>
      <c r="S725" s="54" t="s">
        <v>692</v>
      </c>
      <c r="T725" s="55" t="str">
        <f t="shared" si="69"/>
        <v>Insumos</v>
      </c>
      <c r="U725" s="55" t="str">
        <f t="shared" si="69"/>
        <v>Insumos Elétricos</v>
      </c>
      <c r="V725" s="55" t="str">
        <f t="shared" si="69"/>
        <v>Interruptores</v>
      </c>
      <c r="W725" s="54" t="s">
        <v>7259</v>
      </c>
      <c r="X725" s="84" t="str">
        <f t="shared" si="71"/>
        <v>Key-COD-CT-725</v>
      </c>
      <c r="Y725" s="84" t="s">
        <v>5997</v>
      </c>
      <c r="Z725" s="84" t="s">
        <v>692</v>
      </c>
      <c r="AA725" s="84" t="s">
        <v>5930</v>
      </c>
      <c r="AB725" s="84" t="s">
        <v>692</v>
      </c>
      <c r="AC725" s="84" t="s">
        <v>692</v>
      </c>
      <c r="AD725" s="54" t="s">
        <v>692</v>
      </c>
    </row>
    <row r="726" spans="1:30" ht="6.75" customHeight="1" x14ac:dyDescent="0.25">
      <c r="A726" s="85">
        <v>726</v>
      </c>
      <c r="B726" s="59" t="s">
        <v>5419</v>
      </c>
      <c r="C726" s="59" t="s">
        <v>3394</v>
      </c>
      <c r="D726" s="60" t="s">
        <v>3395</v>
      </c>
      <c r="E726" s="59" t="s">
        <v>3413</v>
      </c>
      <c r="F726" s="61" t="s">
        <v>3429</v>
      </c>
      <c r="G726" s="81" t="s">
        <v>692</v>
      </c>
      <c r="H726" s="81" t="s">
        <v>692</v>
      </c>
      <c r="I726" s="81" t="s">
        <v>692</v>
      </c>
      <c r="J726" s="81" t="s">
        <v>692</v>
      </c>
      <c r="K726" s="81" t="s">
        <v>692</v>
      </c>
      <c r="L726" s="53" t="str">
        <f t="shared" si="72"/>
        <v>Insumos</v>
      </c>
      <c r="M726" s="53" t="str">
        <f t="shared" si="72"/>
        <v>Insumos.Elétricos</v>
      </c>
      <c r="N726" s="53" t="str">
        <f t="shared" si="70"/>
        <v>Interruptores</v>
      </c>
      <c r="O726" s="53" t="str">
        <f t="shared" si="70"/>
        <v>Interruptor Dimmer</v>
      </c>
      <c r="P726" s="54" t="s">
        <v>3430</v>
      </c>
      <c r="Q726" s="54" t="s">
        <v>3431</v>
      </c>
      <c r="R726" s="54" t="s">
        <v>6705</v>
      </c>
      <c r="S726" s="54" t="s">
        <v>692</v>
      </c>
      <c r="T726" s="55" t="str">
        <f t="shared" si="69"/>
        <v>Insumos</v>
      </c>
      <c r="U726" s="55" t="str">
        <f t="shared" si="69"/>
        <v>Insumos Elétricos</v>
      </c>
      <c r="V726" s="55" t="str">
        <f t="shared" si="69"/>
        <v>Interruptores</v>
      </c>
      <c r="W726" s="54" t="s">
        <v>7259</v>
      </c>
      <c r="X726" s="84" t="str">
        <f t="shared" si="71"/>
        <v>Key-COD-CT-726</v>
      </c>
      <c r="Y726" s="84" t="s">
        <v>5997</v>
      </c>
      <c r="Z726" s="84" t="s">
        <v>692</v>
      </c>
      <c r="AA726" s="84" t="s">
        <v>5931</v>
      </c>
      <c r="AB726" s="84" t="s">
        <v>692</v>
      </c>
      <c r="AC726" s="84" t="s">
        <v>692</v>
      </c>
      <c r="AD726" s="54" t="s">
        <v>692</v>
      </c>
    </row>
    <row r="727" spans="1:30" ht="6.75" customHeight="1" x14ac:dyDescent="0.25">
      <c r="A727" s="85">
        <v>727</v>
      </c>
      <c r="B727" s="59" t="s">
        <v>5419</v>
      </c>
      <c r="C727" s="59" t="s">
        <v>3394</v>
      </c>
      <c r="D727" s="60" t="s">
        <v>3395</v>
      </c>
      <c r="E727" s="59" t="s">
        <v>3413</v>
      </c>
      <c r="F727" s="61" t="s">
        <v>3432</v>
      </c>
      <c r="G727" s="81" t="s">
        <v>692</v>
      </c>
      <c r="H727" s="81" t="s">
        <v>692</v>
      </c>
      <c r="I727" s="81" t="s">
        <v>692</v>
      </c>
      <c r="J727" s="81" t="s">
        <v>692</v>
      </c>
      <c r="K727" s="81" t="s">
        <v>692</v>
      </c>
      <c r="L727" s="53" t="str">
        <f t="shared" si="72"/>
        <v>Insumos</v>
      </c>
      <c r="M727" s="53" t="str">
        <f t="shared" si="72"/>
        <v>Insumos.Elétricos</v>
      </c>
      <c r="N727" s="53" t="str">
        <f t="shared" si="70"/>
        <v>Interruptores</v>
      </c>
      <c r="O727" s="53" t="str">
        <f t="shared" si="70"/>
        <v>Interruptor de Toque</v>
      </c>
      <c r="P727" s="54" t="s">
        <v>3433</v>
      </c>
      <c r="Q727" s="54" t="s">
        <v>3434</v>
      </c>
      <c r="R727" s="54" t="s">
        <v>6706</v>
      </c>
      <c r="S727" s="54" t="s">
        <v>692</v>
      </c>
      <c r="T727" s="55" t="str">
        <f t="shared" si="69"/>
        <v>Insumos</v>
      </c>
      <c r="U727" s="55" t="str">
        <f t="shared" si="69"/>
        <v>Insumos Elétricos</v>
      </c>
      <c r="V727" s="55" t="str">
        <f t="shared" si="69"/>
        <v>Interruptores</v>
      </c>
      <c r="W727" s="54" t="s">
        <v>7259</v>
      </c>
      <c r="X727" s="84" t="str">
        <f t="shared" si="71"/>
        <v>Key-COD-CT-727</v>
      </c>
      <c r="Y727" s="84" t="s">
        <v>5997</v>
      </c>
      <c r="Z727" s="84" t="s">
        <v>692</v>
      </c>
      <c r="AA727" s="84" t="s">
        <v>5928</v>
      </c>
      <c r="AB727" s="84" t="s">
        <v>692</v>
      </c>
      <c r="AC727" s="84" t="s">
        <v>692</v>
      </c>
      <c r="AD727" s="54" t="s">
        <v>692</v>
      </c>
    </row>
    <row r="728" spans="1:30" ht="6.75" customHeight="1" x14ac:dyDescent="0.25">
      <c r="A728" s="85">
        <v>728</v>
      </c>
      <c r="B728" s="59" t="s">
        <v>5419</v>
      </c>
      <c r="C728" s="59" t="s">
        <v>3394</v>
      </c>
      <c r="D728" s="60" t="s">
        <v>3395</v>
      </c>
      <c r="E728" s="59" t="s">
        <v>3413</v>
      </c>
      <c r="F728" s="61" t="s">
        <v>3435</v>
      </c>
      <c r="G728" s="81" t="s">
        <v>692</v>
      </c>
      <c r="H728" s="81" t="s">
        <v>692</v>
      </c>
      <c r="I728" s="81" t="s">
        <v>692</v>
      </c>
      <c r="J728" s="81" t="s">
        <v>692</v>
      </c>
      <c r="K728" s="81" t="s">
        <v>692</v>
      </c>
      <c r="L728" s="53" t="str">
        <f t="shared" si="72"/>
        <v>Insumos</v>
      </c>
      <c r="M728" s="53" t="str">
        <f t="shared" si="72"/>
        <v>Insumos.Elétricos</v>
      </c>
      <c r="N728" s="53" t="str">
        <f t="shared" si="70"/>
        <v>Interruptores</v>
      </c>
      <c r="O728" s="53" t="str">
        <f t="shared" si="70"/>
        <v>Interruptor Inteligente</v>
      </c>
      <c r="P728" s="54" t="s">
        <v>3436</v>
      </c>
      <c r="Q728" s="54" t="s">
        <v>3437</v>
      </c>
      <c r="R728" s="54" t="s">
        <v>6707</v>
      </c>
      <c r="S728" s="54" t="s">
        <v>692</v>
      </c>
      <c r="T728" s="55" t="str">
        <f t="shared" si="69"/>
        <v>Insumos</v>
      </c>
      <c r="U728" s="55" t="str">
        <f t="shared" si="69"/>
        <v>Insumos Elétricos</v>
      </c>
      <c r="V728" s="55" t="str">
        <f t="shared" si="69"/>
        <v>Interruptores</v>
      </c>
      <c r="W728" s="54" t="s">
        <v>7259</v>
      </c>
      <c r="X728" s="84" t="str">
        <f t="shared" si="71"/>
        <v>Key-COD-CT-728</v>
      </c>
      <c r="Y728" s="84" t="s">
        <v>5997</v>
      </c>
      <c r="Z728" s="84" t="s">
        <v>692</v>
      </c>
      <c r="AA728" s="84" t="s">
        <v>5928</v>
      </c>
      <c r="AB728" s="84" t="s">
        <v>692</v>
      </c>
      <c r="AC728" s="84" t="s">
        <v>692</v>
      </c>
      <c r="AD728" s="54" t="s">
        <v>692</v>
      </c>
    </row>
    <row r="729" spans="1:30" ht="6.75" customHeight="1" x14ac:dyDescent="0.25">
      <c r="A729" s="85">
        <v>729</v>
      </c>
      <c r="B729" s="59" t="s">
        <v>5419</v>
      </c>
      <c r="C729" s="59" t="s">
        <v>3394</v>
      </c>
      <c r="D729" s="60" t="s">
        <v>3395</v>
      </c>
      <c r="E729" s="59" t="s">
        <v>3413</v>
      </c>
      <c r="F729" s="61" t="s">
        <v>3438</v>
      </c>
      <c r="G729" s="81" t="s">
        <v>692</v>
      </c>
      <c r="H729" s="81" t="s">
        <v>692</v>
      </c>
      <c r="I729" s="81" t="s">
        <v>692</v>
      </c>
      <c r="J729" s="81" t="s">
        <v>692</v>
      </c>
      <c r="K729" s="81" t="s">
        <v>692</v>
      </c>
      <c r="L729" s="53" t="str">
        <f t="shared" si="72"/>
        <v>Insumos</v>
      </c>
      <c r="M729" s="53" t="str">
        <f t="shared" si="72"/>
        <v>Insumos.Elétricos</v>
      </c>
      <c r="N729" s="53" t="str">
        <f t="shared" si="70"/>
        <v>Interruptores</v>
      </c>
      <c r="O729" s="53" t="str">
        <f t="shared" si="70"/>
        <v>Interruptor Temporizador</v>
      </c>
      <c r="P729" s="54" t="s">
        <v>3439</v>
      </c>
      <c r="Q729" s="54" t="s">
        <v>3440</v>
      </c>
      <c r="R729" s="54" t="s">
        <v>6708</v>
      </c>
      <c r="S729" s="54" t="s">
        <v>692</v>
      </c>
      <c r="T729" s="55" t="str">
        <f t="shared" si="69"/>
        <v>Insumos</v>
      </c>
      <c r="U729" s="55" t="str">
        <f t="shared" si="69"/>
        <v>Insumos Elétricos</v>
      </c>
      <c r="V729" s="55" t="str">
        <f t="shared" si="69"/>
        <v>Interruptores</v>
      </c>
      <c r="W729" s="54" t="s">
        <v>7259</v>
      </c>
      <c r="X729" s="84" t="str">
        <f t="shared" si="71"/>
        <v>Key-COD-CT-729</v>
      </c>
      <c r="Y729" s="84" t="s">
        <v>5997</v>
      </c>
      <c r="Z729" s="84" t="s">
        <v>692</v>
      </c>
      <c r="AA729" s="84" t="s">
        <v>5928</v>
      </c>
      <c r="AB729" s="84" t="s">
        <v>692</v>
      </c>
      <c r="AC729" s="84" t="s">
        <v>692</v>
      </c>
      <c r="AD729" s="54" t="s">
        <v>692</v>
      </c>
    </row>
    <row r="730" spans="1:30" ht="6.75" customHeight="1" x14ac:dyDescent="0.25">
      <c r="A730" s="85">
        <v>730</v>
      </c>
      <c r="B730" s="59" t="s">
        <v>5419</v>
      </c>
      <c r="C730" s="59" t="s">
        <v>3394</v>
      </c>
      <c r="D730" s="60" t="s">
        <v>3395</v>
      </c>
      <c r="E730" s="59" t="s">
        <v>3413</v>
      </c>
      <c r="F730" s="61" t="s">
        <v>3441</v>
      </c>
      <c r="G730" s="81" t="s">
        <v>692</v>
      </c>
      <c r="H730" s="81" t="s">
        <v>692</v>
      </c>
      <c r="I730" s="81" t="s">
        <v>692</v>
      </c>
      <c r="J730" s="81" t="s">
        <v>692</v>
      </c>
      <c r="K730" s="81" t="s">
        <v>692</v>
      </c>
      <c r="L730" s="53" t="str">
        <f t="shared" si="72"/>
        <v>Insumos</v>
      </c>
      <c r="M730" s="53" t="str">
        <f t="shared" si="72"/>
        <v>Insumos.Elétricos</v>
      </c>
      <c r="N730" s="53" t="str">
        <f t="shared" si="70"/>
        <v>Interruptores</v>
      </c>
      <c r="O730" s="53" t="str">
        <f t="shared" si="70"/>
        <v>Interruptor Corda</v>
      </c>
      <c r="P730" s="54" t="s">
        <v>3442</v>
      </c>
      <c r="Q730" s="54" t="s">
        <v>3443</v>
      </c>
      <c r="R730" s="54" t="s">
        <v>6709</v>
      </c>
      <c r="S730" s="54" t="s">
        <v>692</v>
      </c>
      <c r="T730" s="55" t="str">
        <f t="shared" si="69"/>
        <v>Insumos</v>
      </c>
      <c r="U730" s="55" t="str">
        <f t="shared" si="69"/>
        <v>Insumos Elétricos</v>
      </c>
      <c r="V730" s="55" t="str">
        <f t="shared" si="69"/>
        <v>Interruptores</v>
      </c>
      <c r="W730" s="54" t="s">
        <v>7259</v>
      </c>
      <c r="X730" s="84" t="str">
        <f t="shared" si="71"/>
        <v>Key-COD-CT-730</v>
      </c>
      <c r="Y730" s="84" t="s">
        <v>5997</v>
      </c>
      <c r="Z730" s="84" t="s">
        <v>692</v>
      </c>
      <c r="AA730" s="84" t="s">
        <v>5928</v>
      </c>
      <c r="AB730" s="84" t="s">
        <v>692</v>
      </c>
      <c r="AC730" s="84" t="s">
        <v>692</v>
      </c>
      <c r="AD730" s="54" t="s">
        <v>692</v>
      </c>
    </row>
    <row r="731" spans="1:30" ht="6.75" customHeight="1" x14ac:dyDescent="0.25">
      <c r="A731" s="85">
        <v>731</v>
      </c>
      <c r="B731" s="59" t="s">
        <v>5419</v>
      </c>
      <c r="C731" s="59" t="s">
        <v>3394</v>
      </c>
      <c r="D731" s="60" t="s">
        <v>3395</v>
      </c>
      <c r="E731" s="59" t="s">
        <v>3413</v>
      </c>
      <c r="F731" s="61" t="s">
        <v>3444</v>
      </c>
      <c r="G731" s="81" t="s">
        <v>692</v>
      </c>
      <c r="H731" s="81" t="s">
        <v>692</v>
      </c>
      <c r="I731" s="81" t="s">
        <v>692</v>
      </c>
      <c r="J731" s="81" t="s">
        <v>692</v>
      </c>
      <c r="K731" s="81" t="s">
        <v>692</v>
      </c>
      <c r="L731" s="53" t="str">
        <f t="shared" si="72"/>
        <v>Insumos</v>
      </c>
      <c r="M731" s="53" t="str">
        <f t="shared" si="72"/>
        <v>Insumos.Elétricos</v>
      </c>
      <c r="N731" s="53" t="str">
        <f t="shared" si="70"/>
        <v>Interruptores</v>
      </c>
      <c r="O731" s="53" t="str">
        <f t="shared" si="70"/>
        <v>Interruptor Cartão Chave</v>
      </c>
      <c r="P731" s="54" t="s">
        <v>3445</v>
      </c>
      <c r="Q731" s="54" t="s">
        <v>3446</v>
      </c>
      <c r="R731" s="54" t="s">
        <v>6710</v>
      </c>
      <c r="S731" s="54" t="s">
        <v>692</v>
      </c>
      <c r="T731" s="55" t="str">
        <f t="shared" si="69"/>
        <v>Insumos</v>
      </c>
      <c r="U731" s="55" t="str">
        <f t="shared" si="69"/>
        <v>Insumos Elétricos</v>
      </c>
      <c r="V731" s="55" t="str">
        <f t="shared" si="69"/>
        <v>Interruptores</v>
      </c>
      <c r="W731" s="54" t="s">
        <v>7259</v>
      </c>
      <c r="X731" s="84" t="str">
        <f t="shared" si="71"/>
        <v>Key-COD-CT-731</v>
      </c>
      <c r="Y731" s="84" t="s">
        <v>5997</v>
      </c>
      <c r="Z731" s="84" t="s">
        <v>692</v>
      </c>
      <c r="AA731" s="84" t="s">
        <v>5928</v>
      </c>
      <c r="AB731" s="84" t="s">
        <v>692</v>
      </c>
      <c r="AC731" s="84" t="s">
        <v>692</v>
      </c>
      <c r="AD731" s="54" t="s">
        <v>692</v>
      </c>
    </row>
    <row r="732" spans="1:30" ht="6.75" customHeight="1" x14ac:dyDescent="0.25">
      <c r="A732" s="85">
        <v>732</v>
      </c>
      <c r="B732" s="59" t="s">
        <v>5419</v>
      </c>
      <c r="C732" s="59" t="s">
        <v>3394</v>
      </c>
      <c r="D732" s="60" t="s">
        <v>3395</v>
      </c>
      <c r="E732" s="59" t="s">
        <v>3413</v>
      </c>
      <c r="F732" s="61" t="s">
        <v>3447</v>
      </c>
      <c r="G732" s="81" t="s">
        <v>692</v>
      </c>
      <c r="H732" s="81" t="s">
        <v>692</v>
      </c>
      <c r="I732" s="81" t="s">
        <v>692</v>
      </c>
      <c r="J732" s="81" t="s">
        <v>692</v>
      </c>
      <c r="K732" s="81" t="s">
        <v>3415</v>
      </c>
      <c r="L732" s="53" t="str">
        <f t="shared" si="72"/>
        <v>Insumos</v>
      </c>
      <c r="M732" s="53" t="str">
        <f t="shared" si="72"/>
        <v>Insumos.Elétricos</v>
      </c>
      <c r="N732" s="53" t="str">
        <f t="shared" si="70"/>
        <v>Interruptores</v>
      </c>
      <c r="O732" s="53" t="str">
        <f t="shared" si="70"/>
        <v>Interruptor de Parada</v>
      </c>
      <c r="P732" s="54" t="s">
        <v>3448</v>
      </c>
      <c r="Q732" s="54" t="s">
        <v>3449</v>
      </c>
      <c r="R732" s="54" t="s">
        <v>6711</v>
      </c>
      <c r="S732" s="54" t="s">
        <v>692</v>
      </c>
      <c r="T732" s="55" t="str">
        <f t="shared" si="69"/>
        <v>Insumos</v>
      </c>
      <c r="U732" s="55" t="str">
        <f t="shared" si="69"/>
        <v>Insumos Elétricos</v>
      </c>
      <c r="V732" s="55" t="str">
        <f t="shared" si="69"/>
        <v>Interruptores</v>
      </c>
      <c r="W732" s="54" t="s">
        <v>7259</v>
      </c>
      <c r="X732" s="84" t="str">
        <f t="shared" si="71"/>
        <v>Key-COD-CT-732</v>
      </c>
      <c r="Y732" s="84" t="s">
        <v>5997</v>
      </c>
      <c r="Z732" s="84" t="s">
        <v>692</v>
      </c>
      <c r="AA732" s="84" t="s">
        <v>5932</v>
      </c>
      <c r="AB732" s="84" t="s">
        <v>692</v>
      </c>
      <c r="AC732" s="84" t="s">
        <v>692</v>
      </c>
      <c r="AD732" s="54" t="s">
        <v>692</v>
      </c>
    </row>
    <row r="733" spans="1:30" ht="6.75" customHeight="1" x14ac:dyDescent="0.25">
      <c r="A733" s="85">
        <v>733</v>
      </c>
      <c r="B733" s="59" t="s">
        <v>5419</v>
      </c>
      <c r="C733" s="59" t="s">
        <v>3394</v>
      </c>
      <c r="D733" s="60" t="s">
        <v>3395</v>
      </c>
      <c r="E733" s="59" t="s">
        <v>3413</v>
      </c>
      <c r="F733" s="61" t="s">
        <v>3450</v>
      </c>
      <c r="G733" s="81" t="s">
        <v>692</v>
      </c>
      <c r="H733" s="81" t="s">
        <v>692</v>
      </c>
      <c r="I733" s="81" t="s">
        <v>692</v>
      </c>
      <c r="J733" s="81" t="s">
        <v>692</v>
      </c>
      <c r="K733" s="81" t="s">
        <v>3415</v>
      </c>
      <c r="L733" s="53" t="str">
        <f t="shared" si="72"/>
        <v>Insumos</v>
      </c>
      <c r="M733" s="53" t="str">
        <f t="shared" si="72"/>
        <v>Insumos.Elétricos</v>
      </c>
      <c r="N733" s="53" t="str">
        <f t="shared" si="70"/>
        <v>Interruptores</v>
      </c>
      <c r="O733" s="53" t="str">
        <f t="shared" si="70"/>
        <v>Interruptor Botão</v>
      </c>
      <c r="P733" s="54" t="s">
        <v>3448</v>
      </c>
      <c r="Q733" s="54" t="s">
        <v>3449</v>
      </c>
      <c r="R733" s="54" t="s">
        <v>6711</v>
      </c>
      <c r="S733" s="54" t="s">
        <v>692</v>
      </c>
      <c r="T733" s="55" t="str">
        <f t="shared" si="69"/>
        <v>Insumos</v>
      </c>
      <c r="U733" s="55" t="str">
        <f t="shared" si="69"/>
        <v>Insumos Elétricos</v>
      </c>
      <c r="V733" s="55" t="str">
        <f t="shared" si="69"/>
        <v>Interruptores</v>
      </c>
      <c r="W733" s="54" t="s">
        <v>7259</v>
      </c>
      <c r="X733" s="84" t="str">
        <f t="shared" si="71"/>
        <v>Key-COD-CT-733</v>
      </c>
      <c r="Y733" s="84" t="s">
        <v>5997</v>
      </c>
      <c r="Z733" s="84" t="s">
        <v>692</v>
      </c>
      <c r="AA733" s="84" t="s">
        <v>5933</v>
      </c>
      <c r="AB733" s="84" t="s">
        <v>692</v>
      </c>
      <c r="AC733" s="84" t="s">
        <v>692</v>
      </c>
      <c r="AD733" s="54" t="s">
        <v>692</v>
      </c>
    </row>
    <row r="734" spans="1:30" ht="6.75" customHeight="1" x14ac:dyDescent="0.25">
      <c r="A734" s="85">
        <v>734</v>
      </c>
      <c r="B734" s="59" t="s">
        <v>5419</v>
      </c>
      <c r="C734" s="59" t="s">
        <v>3394</v>
      </c>
      <c r="D734" s="60" t="s">
        <v>3395</v>
      </c>
      <c r="E734" s="59" t="s">
        <v>3413</v>
      </c>
      <c r="F734" s="61" t="s">
        <v>3451</v>
      </c>
      <c r="G734" s="81" t="s">
        <v>692</v>
      </c>
      <c r="H734" s="81" t="s">
        <v>692</v>
      </c>
      <c r="I734" s="81" t="s">
        <v>692</v>
      </c>
      <c r="J734" s="81" t="s">
        <v>692</v>
      </c>
      <c r="K734" s="81" t="s">
        <v>3415</v>
      </c>
      <c r="L734" s="53" t="str">
        <f t="shared" si="72"/>
        <v>Insumos</v>
      </c>
      <c r="M734" s="53" t="str">
        <f t="shared" si="72"/>
        <v>Insumos.Elétricos</v>
      </c>
      <c r="N734" s="53" t="str">
        <f t="shared" si="70"/>
        <v>Interruptores</v>
      </c>
      <c r="O734" s="53" t="str">
        <f t="shared" si="70"/>
        <v>Interruptor Momentâneo</v>
      </c>
      <c r="P734" s="54" t="s">
        <v>3452</v>
      </c>
      <c r="Q734" s="54" t="s">
        <v>3453</v>
      </c>
      <c r="R734" s="54" t="s">
        <v>6712</v>
      </c>
      <c r="S734" s="54" t="s">
        <v>692</v>
      </c>
      <c r="T734" s="55" t="str">
        <f t="shared" si="69"/>
        <v>Insumos</v>
      </c>
      <c r="U734" s="55" t="str">
        <f t="shared" si="69"/>
        <v>Insumos Elétricos</v>
      </c>
      <c r="V734" s="55" t="str">
        <f t="shared" si="69"/>
        <v>Interruptores</v>
      </c>
      <c r="W734" s="54" t="s">
        <v>7259</v>
      </c>
      <c r="X734" s="84" t="str">
        <f t="shared" si="71"/>
        <v>Key-COD-CT-734</v>
      </c>
      <c r="Y734" s="84" t="s">
        <v>5997</v>
      </c>
      <c r="Z734" s="84" t="s">
        <v>692</v>
      </c>
      <c r="AA734" s="84" t="s">
        <v>5934</v>
      </c>
      <c r="AB734" s="84" t="s">
        <v>692</v>
      </c>
      <c r="AC734" s="84" t="s">
        <v>692</v>
      </c>
      <c r="AD734" s="54" t="s">
        <v>692</v>
      </c>
    </row>
    <row r="735" spans="1:30" ht="6.75" customHeight="1" x14ac:dyDescent="0.25">
      <c r="A735" s="85">
        <v>735</v>
      </c>
      <c r="B735" s="59" t="s">
        <v>5419</v>
      </c>
      <c r="C735" s="59" t="s">
        <v>3394</v>
      </c>
      <c r="D735" s="60" t="s">
        <v>3395</v>
      </c>
      <c r="E735" s="59" t="s">
        <v>3413</v>
      </c>
      <c r="F735" s="61" t="s">
        <v>3454</v>
      </c>
      <c r="G735" s="81" t="s">
        <v>692</v>
      </c>
      <c r="H735" s="81" t="s">
        <v>692</v>
      </c>
      <c r="I735" s="81" t="s">
        <v>692</v>
      </c>
      <c r="J735" s="81" t="s">
        <v>692</v>
      </c>
      <c r="K735" s="81" t="s">
        <v>3415</v>
      </c>
      <c r="L735" s="53" t="str">
        <f t="shared" si="72"/>
        <v>Insumos</v>
      </c>
      <c r="M735" s="53" t="str">
        <f t="shared" si="72"/>
        <v>Insumos.Elétricos</v>
      </c>
      <c r="N735" s="53" t="str">
        <f t="shared" si="70"/>
        <v>Interruptores</v>
      </c>
      <c r="O735" s="53" t="str">
        <f t="shared" si="70"/>
        <v>Interruptor Emergência</v>
      </c>
      <c r="P735" s="54" t="s">
        <v>3455</v>
      </c>
      <c r="Q735" s="54" t="s">
        <v>3456</v>
      </c>
      <c r="R735" s="54" t="s">
        <v>6713</v>
      </c>
      <c r="S735" s="54" t="s">
        <v>692</v>
      </c>
      <c r="T735" s="55" t="str">
        <f t="shared" ref="T735:V790" si="73">SUBSTITUTE(C735, ".", " ")</f>
        <v>Insumos</v>
      </c>
      <c r="U735" s="55" t="str">
        <f t="shared" si="73"/>
        <v>Insumos Elétricos</v>
      </c>
      <c r="V735" s="55" t="str">
        <f t="shared" si="73"/>
        <v>Interruptores</v>
      </c>
      <c r="W735" s="54" t="s">
        <v>7259</v>
      </c>
      <c r="X735" s="84" t="str">
        <f t="shared" si="71"/>
        <v>Key-COD-CT-735</v>
      </c>
      <c r="Y735" s="84" t="s">
        <v>5997</v>
      </c>
      <c r="Z735" s="84" t="s">
        <v>692</v>
      </c>
      <c r="AA735" s="84" t="s">
        <v>5935</v>
      </c>
      <c r="AB735" s="84" t="s">
        <v>692</v>
      </c>
      <c r="AC735" s="84" t="s">
        <v>692</v>
      </c>
      <c r="AD735" s="54" t="s">
        <v>692</v>
      </c>
    </row>
    <row r="736" spans="1:30" ht="6.75" customHeight="1" x14ac:dyDescent="0.25">
      <c r="A736" s="85">
        <v>736</v>
      </c>
      <c r="B736" s="59" t="s">
        <v>5419</v>
      </c>
      <c r="C736" s="59" t="s">
        <v>3394</v>
      </c>
      <c r="D736" s="60" t="s">
        <v>3395</v>
      </c>
      <c r="E736" s="59" t="s">
        <v>3413</v>
      </c>
      <c r="F736" s="61" t="s">
        <v>3457</v>
      </c>
      <c r="G736" s="81" t="s">
        <v>692</v>
      </c>
      <c r="H736" s="81" t="s">
        <v>692</v>
      </c>
      <c r="I736" s="81" t="s">
        <v>692</v>
      </c>
      <c r="J736" s="81" t="s">
        <v>692</v>
      </c>
      <c r="K736" s="81" t="s">
        <v>3415</v>
      </c>
      <c r="L736" s="53" t="str">
        <f t="shared" si="72"/>
        <v>Insumos</v>
      </c>
      <c r="M736" s="53" t="str">
        <f t="shared" si="72"/>
        <v>Insumos.Elétricos</v>
      </c>
      <c r="N736" s="53" t="str">
        <f t="shared" si="70"/>
        <v>Interruptores</v>
      </c>
      <c r="O736" s="53" t="str">
        <f t="shared" si="70"/>
        <v>Interruptor MultiPosição</v>
      </c>
      <c r="P736" s="54" t="s">
        <v>3455</v>
      </c>
      <c r="Q736" s="54" t="s">
        <v>3456</v>
      </c>
      <c r="R736" s="54" t="s">
        <v>6713</v>
      </c>
      <c r="S736" s="54" t="s">
        <v>692</v>
      </c>
      <c r="T736" s="55" t="str">
        <f t="shared" si="73"/>
        <v>Insumos</v>
      </c>
      <c r="U736" s="55" t="str">
        <f t="shared" si="73"/>
        <v>Insumos Elétricos</v>
      </c>
      <c r="V736" s="55" t="str">
        <f t="shared" si="73"/>
        <v>Interruptores</v>
      </c>
      <c r="W736" s="54" t="s">
        <v>7259</v>
      </c>
      <c r="X736" s="84" t="str">
        <f t="shared" si="71"/>
        <v>Key-COD-CT-736</v>
      </c>
      <c r="Y736" s="84" t="s">
        <v>5997</v>
      </c>
      <c r="Z736" s="84" t="s">
        <v>692</v>
      </c>
      <c r="AA736" s="84" t="s">
        <v>5936</v>
      </c>
      <c r="AB736" s="84" t="s">
        <v>692</v>
      </c>
      <c r="AC736" s="84" t="s">
        <v>692</v>
      </c>
      <c r="AD736" s="54" t="s">
        <v>692</v>
      </c>
    </row>
    <row r="737" spans="1:30" ht="6.75" customHeight="1" x14ac:dyDescent="0.25">
      <c r="A737" s="85">
        <v>737</v>
      </c>
      <c r="B737" s="59" t="s">
        <v>5419</v>
      </c>
      <c r="C737" s="59" t="s">
        <v>3394</v>
      </c>
      <c r="D737" s="60" t="s">
        <v>3395</v>
      </c>
      <c r="E737" s="59" t="s">
        <v>3413</v>
      </c>
      <c r="F737" s="61" t="s">
        <v>3458</v>
      </c>
      <c r="G737" s="81" t="s">
        <v>692</v>
      </c>
      <c r="H737" s="81" t="s">
        <v>692</v>
      </c>
      <c r="I737" s="81" t="s">
        <v>692</v>
      </c>
      <c r="J737" s="81" t="s">
        <v>692</v>
      </c>
      <c r="K737" s="81" t="s">
        <v>3415</v>
      </c>
      <c r="L737" s="53" t="str">
        <f t="shared" si="72"/>
        <v>Insumos</v>
      </c>
      <c r="M737" s="53" t="str">
        <f t="shared" si="72"/>
        <v>Insumos.Elétricos</v>
      </c>
      <c r="N737" s="53" t="str">
        <f t="shared" si="70"/>
        <v>Interruptores</v>
      </c>
      <c r="O737" s="53" t="str">
        <f t="shared" si="70"/>
        <v>Interruptor Contactor</v>
      </c>
      <c r="P737" s="54" t="s">
        <v>3459</v>
      </c>
      <c r="Q737" s="54" t="s">
        <v>3460</v>
      </c>
      <c r="R737" s="54" t="s">
        <v>6714</v>
      </c>
      <c r="S737" s="54" t="s">
        <v>692</v>
      </c>
      <c r="T737" s="55" t="str">
        <f t="shared" si="73"/>
        <v>Insumos</v>
      </c>
      <c r="U737" s="55" t="str">
        <f t="shared" si="73"/>
        <v>Insumos Elétricos</v>
      </c>
      <c r="V737" s="55" t="str">
        <f t="shared" si="73"/>
        <v>Interruptores</v>
      </c>
      <c r="W737" s="54" t="s">
        <v>7259</v>
      </c>
      <c r="X737" s="84" t="str">
        <f t="shared" si="71"/>
        <v>Key-COD-CT-737</v>
      </c>
      <c r="Y737" s="84" t="s">
        <v>5997</v>
      </c>
      <c r="Z737" s="84" t="s">
        <v>692</v>
      </c>
      <c r="AA737" s="84" t="s">
        <v>5937</v>
      </c>
      <c r="AB737" s="84" t="s">
        <v>692</v>
      </c>
      <c r="AC737" s="84" t="s">
        <v>692</v>
      </c>
      <c r="AD737" s="54" t="s">
        <v>692</v>
      </c>
    </row>
    <row r="738" spans="1:30" ht="6.75" customHeight="1" x14ac:dyDescent="0.25">
      <c r="A738" s="85">
        <v>738</v>
      </c>
      <c r="B738" s="59" t="s">
        <v>5419</v>
      </c>
      <c r="C738" s="59" t="s">
        <v>3394</v>
      </c>
      <c r="D738" s="60" t="s">
        <v>3395</v>
      </c>
      <c r="E738" s="59" t="s">
        <v>3413</v>
      </c>
      <c r="F738" s="61" t="s">
        <v>3461</v>
      </c>
      <c r="G738" s="81" t="s">
        <v>692</v>
      </c>
      <c r="H738" s="81" t="s">
        <v>692</v>
      </c>
      <c r="I738" s="81" t="s">
        <v>692</v>
      </c>
      <c r="J738" s="81" t="s">
        <v>692</v>
      </c>
      <c r="K738" s="81" t="s">
        <v>3415</v>
      </c>
      <c r="L738" s="53" t="str">
        <f t="shared" si="72"/>
        <v>Insumos</v>
      </c>
      <c r="M738" s="53" t="str">
        <f t="shared" si="72"/>
        <v>Insumos.Elétricos</v>
      </c>
      <c r="N738" s="53" t="str">
        <f t="shared" si="70"/>
        <v>Interruptores</v>
      </c>
      <c r="O738" s="53" t="str">
        <f t="shared" si="70"/>
        <v>Interruptor Relé</v>
      </c>
      <c r="P738" s="54" t="s">
        <v>3462</v>
      </c>
      <c r="Q738" s="54" t="s">
        <v>3463</v>
      </c>
      <c r="R738" s="54" t="s">
        <v>6715</v>
      </c>
      <c r="S738" s="54" t="s">
        <v>692</v>
      </c>
      <c r="T738" s="55" t="str">
        <f t="shared" si="73"/>
        <v>Insumos</v>
      </c>
      <c r="U738" s="55" t="str">
        <f t="shared" si="73"/>
        <v>Insumos Elétricos</v>
      </c>
      <c r="V738" s="55" t="str">
        <f t="shared" si="73"/>
        <v>Interruptores</v>
      </c>
      <c r="W738" s="54" t="s">
        <v>7259</v>
      </c>
      <c r="X738" s="84" t="str">
        <f t="shared" si="71"/>
        <v>Key-COD-CT-738</v>
      </c>
      <c r="Y738" s="84" t="s">
        <v>5997</v>
      </c>
      <c r="Z738" s="84" t="s">
        <v>692</v>
      </c>
      <c r="AA738" s="84" t="s">
        <v>5938</v>
      </c>
      <c r="AB738" s="84" t="s">
        <v>692</v>
      </c>
      <c r="AC738" s="84" t="s">
        <v>692</v>
      </c>
      <c r="AD738" s="54" t="s">
        <v>692</v>
      </c>
    </row>
    <row r="739" spans="1:30" ht="6.75" customHeight="1" x14ac:dyDescent="0.25">
      <c r="A739" s="85">
        <v>739</v>
      </c>
      <c r="B739" s="59" t="s">
        <v>5419</v>
      </c>
      <c r="C739" s="59" t="s">
        <v>3394</v>
      </c>
      <c r="D739" s="60" t="s">
        <v>3395</v>
      </c>
      <c r="E739" s="59" t="s">
        <v>3464</v>
      </c>
      <c r="F739" s="61" t="s">
        <v>3465</v>
      </c>
      <c r="G739" s="81" t="s">
        <v>692</v>
      </c>
      <c r="H739" s="81" t="s">
        <v>692</v>
      </c>
      <c r="I739" s="81" t="s">
        <v>692</v>
      </c>
      <c r="J739" s="81" t="s">
        <v>692</v>
      </c>
      <c r="K739" s="81" t="s">
        <v>692</v>
      </c>
      <c r="L739" s="53" t="str">
        <f t="shared" si="72"/>
        <v>Insumos</v>
      </c>
      <c r="M739" s="53" t="str">
        <f t="shared" si="72"/>
        <v>Insumos.Elétricos</v>
      </c>
      <c r="N739" s="53" t="str">
        <f t="shared" si="70"/>
        <v>Quadros Elétricos</v>
      </c>
      <c r="O739" s="53" t="str">
        <f t="shared" si="70"/>
        <v>QDL Quadro Distribuição</v>
      </c>
      <c r="P739" s="54" t="s">
        <v>3466</v>
      </c>
      <c r="Q739" s="54" t="s">
        <v>3467</v>
      </c>
      <c r="R739" s="54" t="s">
        <v>6716</v>
      </c>
      <c r="S739" s="54" t="s">
        <v>692</v>
      </c>
      <c r="T739" s="55" t="str">
        <f t="shared" si="73"/>
        <v>Insumos</v>
      </c>
      <c r="U739" s="55" t="str">
        <f t="shared" si="73"/>
        <v>Insumos Elétricos</v>
      </c>
      <c r="V739" s="55" t="str">
        <f t="shared" si="73"/>
        <v>Quadros Elétricos</v>
      </c>
      <c r="W739" s="54" t="s">
        <v>7259</v>
      </c>
      <c r="X739" s="84" t="str">
        <f t="shared" si="71"/>
        <v>Key-COD-CT-739</v>
      </c>
      <c r="Y739" s="84" t="s">
        <v>5998</v>
      </c>
      <c r="Z739" s="84" t="s">
        <v>692</v>
      </c>
      <c r="AA739" s="84" t="s">
        <v>5939</v>
      </c>
      <c r="AB739" s="84" t="s">
        <v>692</v>
      </c>
      <c r="AC739" s="84" t="s">
        <v>692</v>
      </c>
      <c r="AD739" s="54" t="s">
        <v>692</v>
      </c>
    </row>
    <row r="740" spans="1:30" ht="6.75" customHeight="1" x14ac:dyDescent="0.25">
      <c r="A740" s="85">
        <v>740</v>
      </c>
      <c r="B740" s="59" t="s">
        <v>5419</v>
      </c>
      <c r="C740" s="59" t="s">
        <v>3394</v>
      </c>
      <c r="D740" s="60" t="s">
        <v>3395</v>
      </c>
      <c r="E740" s="59" t="s">
        <v>3464</v>
      </c>
      <c r="F740" s="61" t="s">
        <v>3468</v>
      </c>
      <c r="G740" s="81" t="s">
        <v>692</v>
      </c>
      <c r="H740" s="81" t="s">
        <v>692</v>
      </c>
      <c r="I740" s="81" t="s">
        <v>692</v>
      </c>
      <c r="J740" s="81" t="s">
        <v>692</v>
      </c>
      <c r="K740" s="81" t="s">
        <v>692</v>
      </c>
      <c r="L740" s="53" t="str">
        <f t="shared" si="72"/>
        <v>Insumos</v>
      </c>
      <c r="M740" s="53" t="str">
        <f t="shared" si="72"/>
        <v>Insumos.Elétricos</v>
      </c>
      <c r="N740" s="53" t="str">
        <f t="shared" si="70"/>
        <v>Quadros Elétricos</v>
      </c>
      <c r="O740" s="53" t="str">
        <f t="shared" si="70"/>
        <v>QDL Quadro Distribuição Residencial</v>
      </c>
      <c r="P740" s="54" t="s">
        <v>3469</v>
      </c>
      <c r="Q740" s="54" t="s">
        <v>3470</v>
      </c>
      <c r="R740" s="54" t="s">
        <v>6717</v>
      </c>
      <c r="S740" s="54" t="s">
        <v>692</v>
      </c>
      <c r="T740" s="55" t="str">
        <f t="shared" si="73"/>
        <v>Insumos</v>
      </c>
      <c r="U740" s="55" t="str">
        <f t="shared" si="73"/>
        <v>Insumos Elétricos</v>
      </c>
      <c r="V740" s="55" t="str">
        <f t="shared" si="73"/>
        <v>Quadros Elétricos</v>
      </c>
      <c r="W740" s="54" t="s">
        <v>7259</v>
      </c>
      <c r="X740" s="84" t="str">
        <f t="shared" si="71"/>
        <v>Key-COD-CT-740</v>
      </c>
      <c r="Y740" s="84" t="s">
        <v>5998</v>
      </c>
      <c r="Z740" s="84" t="s">
        <v>692</v>
      </c>
      <c r="AA740" s="84" t="s">
        <v>5940</v>
      </c>
      <c r="AB740" s="84" t="s">
        <v>692</v>
      </c>
      <c r="AC740" s="84" t="s">
        <v>692</v>
      </c>
      <c r="AD740" s="54" t="s">
        <v>692</v>
      </c>
    </row>
    <row r="741" spans="1:30" ht="6.75" customHeight="1" x14ac:dyDescent="0.25">
      <c r="A741" s="85">
        <v>741</v>
      </c>
      <c r="B741" s="59" t="s">
        <v>5419</v>
      </c>
      <c r="C741" s="59" t="s">
        <v>3394</v>
      </c>
      <c r="D741" s="60" t="s">
        <v>3395</v>
      </c>
      <c r="E741" s="59" t="s">
        <v>3464</v>
      </c>
      <c r="F741" s="61" t="s">
        <v>3471</v>
      </c>
      <c r="G741" s="81" t="s">
        <v>692</v>
      </c>
      <c r="H741" s="81" t="s">
        <v>692</v>
      </c>
      <c r="I741" s="81" t="s">
        <v>692</v>
      </c>
      <c r="J741" s="81" t="s">
        <v>692</v>
      </c>
      <c r="K741" s="81" t="s">
        <v>692</v>
      </c>
      <c r="L741" s="53" t="str">
        <f t="shared" si="72"/>
        <v>Insumos</v>
      </c>
      <c r="M741" s="53" t="str">
        <f t="shared" si="72"/>
        <v>Insumos.Elétricos</v>
      </c>
      <c r="N741" s="53" t="str">
        <f t="shared" si="70"/>
        <v>Quadros Elétricos</v>
      </c>
      <c r="O741" s="53" t="str">
        <f t="shared" si="70"/>
        <v>QDF Quadro de Força</v>
      </c>
      <c r="P741" s="54" t="s">
        <v>3472</v>
      </c>
      <c r="Q741" s="54" t="s">
        <v>3473</v>
      </c>
      <c r="R741" s="54" t="s">
        <v>6718</v>
      </c>
      <c r="S741" s="54" t="s">
        <v>692</v>
      </c>
      <c r="T741" s="55" t="str">
        <f t="shared" si="73"/>
        <v>Insumos</v>
      </c>
      <c r="U741" s="55" t="str">
        <f t="shared" si="73"/>
        <v>Insumos Elétricos</v>
      </c>
      <c r="V741" s="55" t="str">
        <f t="shared" si="73"/>
        <v>Quadros Elétricos</v>
      </c>
      <c r="W741" s="54" t="s">
        <v>7259</v>
      </c>
      <c r="X741" s="84" t="str">
        <f t="shared" si="71"/>
        <v>Key-COD-CT-741</v>
      </c>
      <c r="Y741" s="84" t="s">
        <v>5998</v>
      </c>
      <c r="Z741" s="84" t="s">
        <v>692</v>
      </c>
      <c r="AA741" s="84" t="s">
        <v>5941</v>
      </c>
      <c r="AB741" s="84" t="s">
        <v>692</v>
      </c>
      <c r="AC741" s="84" t="s">
        <v>692</v>
      </c>
      <c r="AD741" s="54" t="s">
        <v>692</v>
      </c>
    </row>
    <row r="742" spans="1:30" ht="6.75" customHeight="1" x14ac:dyDescent="0.25">
      <c r="A742" s="85">
        <v>742</v>
      </c>
      <c r="B742" s="59" t="s">
        <v>5419</v>
      </c>
      <c r="C742" s="59" t="s">
        <v>3394</v>
      </c>
      <c r="D742" s="60" t="s">
        <v>3395</v>
      </c>
      <c r="E742" s="59" t="s">
        <v>3464</v>
      </c>
      <c r="F742" s="61" t="s">
        <v>3474</v>
      </c>
      <c r="G742" s="81" t="s">
        <v>692</v>
      </c>
      <c r="H742" s="81" t="s">
        <v>692</v>
      </c>
      <c r="I742" s="81" t="s">
        <v>692</v>
      </c>
      <c r="J742" s="81" t="s">
        <v>692</v>
      </c>
      <c r="K742" s="81" t="s">
        <v>692</v>
      </c>
      <c r="L742" s="53" t="str">
        <f t="shared" si="72"/>
        <v>Insumos</v>
      </c>
      <c r="M742" s="53" t="str">
        <f t="shared" si="72"/>
        <v>Insumos.Elétricos</v>
      </c>
      <c r="N742" s="53" t="str">
        <f t="shared" si="70"/>
        <v>Quadros Elétricos</v>
      </c>
      <c r="O742" s="53" t="str">
        <f t="shared" si="70"/>
        <v>QGBT Quadro Geral Baixa Tensão</v>
      </c>
      <c r="P742" s="54" t="s">
        <v>3475</v>
      </c>
      <c r="Q742" s="54" t="s">
        <v>3476</v>
      </c>
      <c r="R742" s="54" t="s">
        <v>6719</v>
      </c>
      <c r="S742" s="54" t="s">
        <v>692</v>
      </c>
      <c r="T742" s="55" t="str">
        <f t="shared" si="73"/>
        <v>Insumos</v>
      </c>
      <c r="U742" s="55" t="str">
        <f t="shared" si="73"/>
        <v>Insumos Elétricos</v>
      </c>
      <c r="V742" s="55" t="str">
        <f t="shared" si="73"/>
        <v>Quadros Elétricos</v>
      </c>
      <c r="W742" s="54" t="s">
        <v>7259</v>
      </c>
      <c r="X742" s="84" t="str">
        <f t="shared" si="71"/>
        <v>Key-COD-CT-742</v>
      </c>
      <c r="Y742" s="84" t="s">
        <v>5998</v>
      </c>
      <c r="Z742" s="84" t="s">
        <v>692</v>
      </c>
      <c r="AA742" s="84" t="s">
        <v>5942</v>
      </c>
      <c r="AB742" s="84" t="s">
        <v>692</v>
      </c>
      <c r="AC742" s="84" t="s">
        <v>692</v>
      </c>
      <c r="AD742" s="54" t="s">
        <v>692</v>
      </c>
    </row>
    <row r="743" spans="1:30" ht="6.75" customHeight="1" x14ac:dyDescent="0.25">
      <c r="A743" s="85">
        <v>743</v>
      </c>
      <c r="B743" s="59" t="s">
        <v>5419</v>
      </c>
      <c r="C743" s="59" t="s">
        <v>3394</v>
      </c>
      <c r="D743" s="60" t="s">
        <v>3395</v>
      </c>
      <c r="E743" s="59" t="s">
        <v>3464</v>
      </c>
      <c r="F743" s="61" t="s">
        <v>3477</v>
      </c>
      <c r="G743" s="81" t="s">
        <v>692</v>
      </c>
      <c r="H743" s="81" t="s">
        <v>692</v>
      </c>
      <c r="I743" s="81" t="s">
        <v>692</v>
      </c>
      <c r="J743" s="81" t="s">
        <v>692</v>
      </c>
      <c r="K743" s="81" t="s">
        <v>692</v>
      </c>
      <c r="L743" s="53" t="str">
        <f t="shared" si="72"/>
        <v>Insumos</v>
      </c>
      <c r="M743" s="53" t="str">
        <f t="shared" si="72"/>
        <v>Insumos.Elétricos</v>
      </c>
      <c r="N743" s="53" t="str">
        <f t="shared" si="70"/>
        <v>Quadros Elétricos</v>
      </c>
      <c r="O743" s="53" t="str">
        <f t="shared" si="70"/>
        <v>CCM Centro Controle de Motores</v>
      </c>
      <c r="P743" s="54" t="s">
        <v>3478</v>
      </c>
      <c r="Q743" s="54" t="s">
        <v>3479</v>
      </c>
      <c r="R743" s="54" t="s">
        <v>6720</v>
      </c>
      <c r="S743" s="54" t="s">
        <v>692</v>
      </c>
      <c r="T743" s="55" t="str">
        <f t="shared" si="73"/>
        <v>Insumos</v>
      </c>
      <c r="U743" s="55" t="str">
        <f t="shared" si="73"/>
        <v>Insumos Elétricos</v>
      </c>
      <c r="V743" s="55" t="str">
        <f t="shared" si="73"/>
        <v>Quadros Elétricos</v>
      </c>
      <c r="W743" s="54" t="s">
        <v>7259</v>
      </c>
      <c r="X743" s="84" t="str">
        <f t="shared" si="71"/>
        <v>Key-COD-CT-743</v>
      </c>
      <c r="Y743" s="84" t="s">
        <v>5998</v>
      </c>
      <c r="Z743" s="84" t="s">
        <v>692</v>
      </c>
      <c r="AA743" s="84" t="s">
        <v>5943</v>
      </c>
      <c r="AB743" s="84" t="s">
        <v>692</v>
      </c>
      <c r="AC743" s="84" t="s">
        <v>692</v>
      </c>
      <c r="AD743" s="54" t="s">
        <v>692</v>
      </c>
    </row>
    <row r="744" spans="1:30" ht="6.75" customHeight="1" x14ac:dyDescent="0.25">
      <c r="A744" s="85">
        <v>744</v>
      </c>
      <c r="B744" s="59" t="s">
        <v>5419</v>
      </c>
      <c r="C744" s="59" t="s">
        <v>3394</v>
      </c>
      <c r="D744" s="60" t="s">
        <v>3480</v>
      </c>
      <c r="E744" s="59" t="s">
        <v>3481</v>
      </c>
      <c r="F744" s="61" t="s">
        <v>3482</v>
      </c>
      <c r="G744" s="81" t="s">
        <v>692</v>
      </c>
      <c r="H744" s="81" t="s">
        <v>692</v>
      </c>
      <c r="I744" s="81" t="s">
        <v>692</v>
      </c>
      <c r="J744" s="81" t="s">
        <v>692</v>
      </c>
      <c r="K744" s="81" t="s">
        <v>692</v>
      </c>
      <c r="L744" s="53" t="str">
        <f t="shared" si="72"/>
        <v>Insumos</v>
      </c>
      <c r="M744" s="53" t="str">
        <f t="shared" si="72"/>
        <v>Insumos.Lógicos</v>
      </c>
      <c r="N744" s="53" t="str">
        <f t="shared" si="70"/>
        <v>Tomadas Lógicas</v>
      </c>
      <c r="O744" s="53" t="str">
        <f t="shared" si="70"/>
        <v>Conector AudioVídeo</v>
      </c>
      <c r="P744" s="54" t="s">
        <v>3483</v>
      </c>
      <c r="Q744" s="54" t="s">
        <v>3484</v>
      </c>
      <c r="R744" s="54" t="e" vm="1">
        <v>#VALUE!</v>
      </c>
      <c r="S744" s="54" t="s">
        <v>692</v>
      </c>
      <c r="T744" s="55" t="str">
        <f t="shared" si="73"/>
        <v>Insumos</v>
      </c>
      <c r="U744" s="55" t="str">
        <f t="shared" si="73"/>
        <v>Insumos Lógicos</v>
      </c>
      <c r="V744" s="55" t="str">
        <f t="shared" si="73"/>
        <v>Tomadas Lógicas</v>
      </c>
      <c r="W744" s="54" t="s">
        <v>7259</v>
      </c>
      <c r="X744" s="84" t="str">
        <f t="shared" si="71"/>
        <v>Key-COD-CT-744</v>
      </c>
      <c r="Y744" s="84" t="s">
        <v>5999</v>
      </c>
      <c r="Z744" s="84" t="s">
        <v>692</v>
      </c>
      <c r="AA744" s="84" t="s">
        <v>5944</v>
      </c>
      <c r="AB744" s="84" t="s">
        <v>692</v>
      </c>
      <c r="AC744" s="84" t="s">
        <v>692</v>
      </c>
      <c r="AD744" s="54" t="s">
        <v>692</v>
      </c>
    </row>
    <row r="745" spans="1:30" ht="6.75" customHeight="1" x14ac:dyDescent="0.25">
      <c r="A745" s="85">
        <v>745</v>
      </c>
      <c r="B745" s="59" t="s">
        <v>5419</v>
      </c>
      <c r="C745" s="59" t="s">
        <v>3394</v>
      </c>
      <c r="D745" s="60" t="s">
        <v>3480</v>
      </c>
      <c r="E745" s="59" t="s">
        <v>3481</v>
      </c>
      <c r="F745" s="61" t="s">
        <v>3485</v>
      </c>
      <c r="G745" s="81" t="s">
        <v>692</v>
      </c>
      <c r="H745" s="81" t="s">
        <v>692</v>
      </c>
      <c r="I745" s="81" t="s">
        <v>692</v>
      </c>
      <c r="J745" s="81" t="s">
        <v>692</v>
      </c>
      <c r="K745" s="81" t="s">
        <v>692</v>
      </c>
      <c r="L745" s="53" t="str">
        <f t="shared" si="72"/>
        <v>Insumos</v>
      </c>
      <c r="M745" s="53" t="str">
        <f t="shared" si="72"/>
        <v>Insumos.Lógicos</v>
      </c>
      <c r="N745" s="53" t="str">
        <f t="shared" si="70"/>
        <v>Tomadas Lógicas</v>
      </c>
      <c r="O745" s="53" t="str">
        <f t="shared" si="70"/>
        <v>Conector de Comunicação</v>
      </c>
      <c r="P745" s="54" t="s">
        <v>3486</v>
      </c>
      <c r="Q745" s="54" t="s">
        <v>3487</v>
      </c>
      <c r="R745" s="54" t="s">
        <v>6721</v>
      </c>
      <c r="S745" s="54" t="s">
        <v>692</v>
      </c>
      <c r="T745" s="55" t="str">
        <f t="shared" si="73"/>
        <v>Insumos</v>
      </c>
      <c r="U745" s="55" t="str">
        <f t="shared" si="73"/>
        <v>Insumos Lógicos</v>
      </c>
      <c r="V745" s="55" t="str">
        <f t="shared" si="73"/>
        <v>Tomadas Lógicas</v>
      </c>
      <c r="W745" s="54" t="s">
        <v>7259</v>
      </c>
      <c r="X745" s="84" t="str">
        <f t="shared" si="71"/>
        <v>Key-COD-CT-745</v>
      </c>
      <c r="Y745" s="84" t="s">
        <v>5999</v>
      </c>
      <c r="Z745" s="84" t="s">
        <v>692</v>
      </c>
      <c r="AA745" s="84" t="s">
        <v>5927</v>
      </c>
      <c r="AB745" s="84" t="s">
        <v>692</v>
      </c>
      <c r="AC745" s="84" t="s">
        <v>692</v>
      </c>
      <c r="AD745" s="54" t="s">
        <v>692</v>
      </c>
    </row>
    <row r="746" spans="1:30" ht="6.75" customHeight="1" x14ac:dyDescent="0.25">
      <c r="A746" s="85">
        <v>746</v>
      </c>
      <c r="B746" s="59" t="s">
        <v>5419</v>
      </c>
      <c r="C746" s="59" t="s">
        <v>3394</v>
      </c>
      <c r="D746" s="60" t="s">
        <v>3480</v>
      </c>
      <c r="E746" s="59" t="s">
        <v>3481</v>
      </c>
      <c r="F746" s="61" t="s">
        <v>3488</v>
      </c>
      <c r="G746" s="81" t="s">
        <v>692</v>
      </c>
      <c r="H746" s="81" t="s">
        <v>692</v>
      </c>
      <c r="I746" s="81" t="s">
        <v>692</v>
      </c>
      <c r="J746" s="81" t="s">
        <v>692</v>
      </c>
      <c r="K746" s="81" t="s">
        <v>692</v>
      </c>
      <c r="L746" s="53" t="str">
        <f t="shared" si="72"/>
        <v>Insumos</v>
      </c>
      <c r="M746" s="53" t="str">
        <f t="shared" si="72"/>
        <v>Insumos.Lógicos</v>
      </c>
      <c r="N746" s="53" t="str">
        <f t="shared" si="70"/>
        <v>Tomadas Lógicas</v>
      </c>
      <c r="O746" s="53" t="str">
        <f t="shared" si="70"/>
        <v>Conector RJ45</v>
      </c>
      <c r="P746" s="54" t="s">
        <v>3489</v>
      </c>
      <c r="Q746" s="54" t="s">
        <v>3490</v>
      </c>
      <c r="R746" s="54" t="s">
        <v>6722</v>
      </c>
      <c r="S746" s="54" t="s">
        <v>692</v>
      </c>
      <c r="T746" s="55" t="str">
        <f t="shared" si="73"/>
        <v>Insumos</v>
      </c>
      <c r="U746" s="55" t="str">
        <f t="shared" si="73"/>
        <v>Insumos Lógicos</v>
      </c>
      <c r="V746" s="55" t="str">
        <f t="shared" si="73"/>
        <v>Tomadas Lógicas</v>
      </c>
      <c r="W746" s="54" t="s">
        <v>7259</v>
      </c>
      <c r="X746" s="84" t="str">
        <f t="shared" si="71"/>
        <v>Key-COD-CT-746</v>
      </c>
      <c r="Y746" s="84" t="s">
        <v>5999</v>
      </c>
      <c r="Z746" s="84" t="s">
        <v>692</v>
      </c>
      <c r="AA746" s="84" t="s">
        <v>5945</v>
      </c>
      <c r="AB746" s="84" t="s">
        <v>692</v>
      </c>
      <c r="AC746" s="84" t="s">
        <v>692</v>
      </c>
      <c r="AD746" s="54" t="s">
        <v>692</v>
      </c>
    </row>
    <row r="747" spans="1:30" ht="6.75" customHeight="1" x14ac:dyDescent="0.25">
      <c r="A747" s="85">
        <v>747</v>
      </c>
      <c r="B747" s="59" t="s">
        <v>5419</v>
      </c>
      <c r="C747" s="59" t="s">
        <v>3394</v>
      </c>
      <c r="D747" s="60" t="s">
        <v>3480</v>
      </c>
      <c r="E747" s="59" t="s">
        <v>3481</v>
      </c>
      <c r="F747" s="61" t="s">
        <v>3491</v>
      </c>
      <c r="G747" s="81" t="s">
        <v>692</v>
      </c>
      <c r="H747" s="81" t="s">
        <v>692</v>
      </c>
      <c r="I747" s="81" t="s">
        <v>692</v>
      </c>
      <c r="J747" s="81" t="s">
        <v>692</v>
      </c>
      <c r="K747" s="81" t="s">
        <v>692</v>
      </c>
      <c r="L747" s="53" t="str">
        <f t="shared" si="72"/>
        <v>Insumos</v>
      </c>
      <c r="M747" s="53" t="str">
        <f t="shared" si="72"/>
        <v>Insumos.Lógicos</v>
      </c>
      <c r="N747" s="53" t="str">
        <f t="shared" si="70"/>
        <v>Tomadas Lógicas</v>
      </c>
      <c r="O747" s="53" t="str">
        <f t="shared" si="70"/>
        <v>Conector RJ11</v>
      </c>
      <c r="P747" s="54" t="s">
        <v>3492</v>
      </c>
      <c r="Q747" s="54" t="s">
        <v>3493</v>
      </c>
      <c r="R747" s="54" t="s">
        <v>6723</v>
      </c>
      <c r="S747" s="54" t="s">
        <v>692</v>
      </c>
      <c r="T747" s="55" t="str">
        <f t="shared" si="73"/>
        <v>Insumos</v>
      </c>
      <c r="U747" s="55" t="str">
        <f t="shared" si="73"/>
        <v>Insumos Lógicos</v>
      </c>
      <c r="V747" s="55" t="str">
        <f t="shared" si="73"/>
        <v>Tomadas Lógicas</v>
      </c>
      <c r="W747" s="54" t="s">
        <v>7259</v>
      </c>
      <c r="X747" s="84" t="str">
        <f t="shared" si="71"/>
        <v>Key-COD-CT-747</v>
      </c>
      <c r="Y747" s="84" t="s">
        <v>5999</v>
      </c>
      <c r="Z747" s="84" t="s">
        <v>692</v>
      </c>
      <c r="AA747" s="84" t="s">
        <v>5946</v>
      </c>
      <c r="AB747" s="84" t="s">
        <v>692</v>
      </c>
      <c r="AC747" s="84" t="s">
        <v>692</v>
      </c>
      <c r="AD747" s="54" t="s">
        <v>692</v>
      </c>
    </row>
    <row r="748" spans="1:30" ht="6.75" customHeight="1" x14ac:dyDescent="0.25">
      <c r="A748" s="85">
        <v>748</v>
      </c>
      <c r="B748" s="59" t="s">
        <v>5419</v>
      </c>
      <c r="C748" s="59" t="s">
        <v>3394</v>
      </c>
      <c r="D748" s="60" t="s">
        <v>3480</v>
      </c>
      <c r="E748" s="59" t="s">
        <v>3481</v>
      </c>
      <c r="F748" s="61" t="s">
        <v>3494</v>
      </c>
      <c r="G748" s="81" t="s">
        <v>692</v>
      </c>
      <c r="H748" s="81" t="s">
        <v>692</v>
      </c>
      <c r="I748" s="81" t="s">
        <v>692</v>
      </c>
      <c r="J748" s="81" t="s">
        <v>692</v>
      </c>
      <c r="K748" s="81" t="s">
        <v>692</v>
      </c>
      <c r="L748" s="53" t="str">
        <f t="shared" si="72"/>
        <v>Insumos</v>
      </c>
      <c r="M748" s="53" t="str">
        <f t="shared" si="72"/>
        <v>Insumos.Lógicos</v>
      </c>
      <c r="N748" s="53" t="str">
        <f t="shared" si="70"/>
        <v>Tomadas Lógicas</v>
      </c>
      <c r="O748" s="53" t="str">
        <f t="shared" si="70"/>
        <v>Conector RJ45 Sobrepor</v>
      </c>
      <c r="P748" s="54" t="s">
        <v>3495</v>
      </c>
      <c r="Q748" s="54" t="s">
        <v>3496</v>
      </c>
      <c r="R748" s="54" t="s">
        <v>6722</v>
      </c>
      <c r="S748" s="54" t="s">
        <v>692</v>
      </c>
      <c r="T748" s="55" t="str">
        <f t="shared" si="73"/>
        <v>Insumos</v>
      </c>
      <c r="U748" s="55" t="str">
        <f t="shared" si="73"/>
        <v>Insumos Lógicos</v>
      </c>
      <c r="V748" s="55" t="str">
        <f t="shared" si="73"/>
        <v>Tomadas Lógicas</v>
      </c>
      <c r="W748" s="54" t="s">
        <v>7259</v>
      </c>
      <c r="X748" s="84" t="str">
        <f t="shared" si="71"/>
        <v>Key-COD-CT-748</v>
      </c>
      <c r="Y748" s="84" t="s">
        <v>5999</v>
      </c>
      <c r="Z748" s="84" t="s">
        <v>692</v>
      </c>
      <c r="AA748" s="84" t="s">
        <v>5945</v>
      </c>
      <c r="AB748" s="84" t="s">
        <v>692</v>
      </c>
      <c r="AC748" s="84" t="s">
        <v>692</v>
      </c>
      <c r="AD748" s="54" t="s">
        <v>692</v>
      </c>
    </row>
    <row r="749" spans="1:30" ht="6.75" customHeight="1" x14ac:dyDescent="0.25">
      <c r="A749" s="85">
        <v>749</v>
      </c>
      <c r="B749" s="59" t="s">
        <v>5419</v>
      </c>
      <c r="C749" s="59" t="s">
        <v>3394</v>
      </c>
      <c r="D749" s="60" t="s">
        <v>3480</v>
      </c>
      <c r="E749" s="59" t="s">
        <v>3481</v>
      </c>
      <c r="F749" s="61" t="s">
        <v>3497</v>
      </c>
      <c r="G749" s="81" t="s">
        <v>692</v>
      </c>
      <c r="H749" s="81" t="s">
        <v>692</v>
      </c>
      <c r="I749" s="81" t="s">
        <v>692</v>
      </c>
      <c r="J749" s="81" t="s">
        <v>692</v>
      </c>
      <c r="K749" s="81" t="s">
        <v>692</v>
      </c>
      <c r="L749" s="53" t="str">
        <f t="shared" si="72"/>
        <v>Insumos</v>
      </c>
      <c r="M749" s="53" t="str">
        <f t="shared" si="72"/>
        <v>Insumos.Lógicos</v>
      </c>
      <c r="N749" s="53" t="str">
        <f t="shared" si="70"/>
        <v>Tomadas Lógicas</v>
      </c>
      <c r="O749" s="53" t="str">
        <f t="shared" si="70"/>
        <v>Conector RJ11 Sobrepor</v>
      </c>
      <c r="P749" s="54" t="s">
        <v>3498</v>
      </c>
      <c r="Q749" s="54" t="s">
        <v>3499</v>
      </c>
      <c r="R749" s="54" t="s">
        <v>6724</v>
      </c>
      <c r="S749" s="54" t="s">
        <v>692</v>
      </c>
      <c r="T749" s="55" t="str">
        <f t="shared" si="73"/>
        <v>Insumos</v>
      </c>
      <c r="U749" s="55" t="str">
        <f t="shared" si="73"/>
        <v>Insumos Lógicos</v>
      </c>
      <c r="V749" s="55" t="str">
        <f t="shared" si="73"/>
        <v>Tomadas Lógicas</v>
      </c>
      <c r="W749" s="54" t="s">
        <v>7259</v>
      </c>
      <c r="X749" s="84" t="str">
        <f t="shared" si="71"/>
        <v>Key-COD-CT-749</v>
      </c>
      <c r="Y749" s="84" t="s">
        <v>5999</v>
      </c>
      <c r="Z749" s="84" t="s">
        <v>692</v>
      </c>
      <c r="AA749" s="84" t="s">
        <v>5946</v>
      </c>
      <c r="AB749" s="84" t="s">
        <v>692</v>
      </c>
      <c r="AC749" s="84" t="s">
        <v>692</v>
      </c>
      <c r="AD749" s="54" t="s">
        <v>692</v>
      </c>
    </row>
    <row r="750" spans="1:30" ht="6.75" customHeight="1" x14ac:dyDescent="0.25">
      <c r="A750" s="85">
        <v>750</v>
      </c>
      <c r="B750" s="59" t="s">
        <v>5419</v>
      </c>
      <c r="C750" s="59" t="s">
        <v>3394</v>
      </c>
      <c r="D750" s="60" t="s">
        <v>3480</v>
      </c>
      <c r="E750" s="59" t="s">
        <v>3481</v>
      </c>
      <c r="F750" s="61" t="s">
        <v>3500</v>
      </c>
      <c r="G750" s="81" t="s">
        <v>692</v>
      </c>
      <c r="H750" s="81" t="s">
        <v>692</v>
      </c>
      <c r="I750" s="81" t="s">
        <v>692</v>
      </c>
      <c r="J750" s="81" t="s">
        <v>692</v>
      </c>
      <c r="K750" s="81" t="s">
        <v>692</v>
      </c>
      <c r="L750" s="53" t="str">
        <f t="shared" si="72"/>
        <v>Insumos</v>
      </c>
      <c r="M750" s="53" t="str">
        <f t="shared" si="72"/>
        <v>Insumos.Lógicos</v>
      </c>
      <c r="N750" s="53" t="str">
        <f t="shared" si="70"/>
        <v>Tomadas Lógicas</v>
      </c>
      <c r="O750" s="53" t="str">
        <f t="shared" si="70"/>
        <v>Conector Dados</v>
      </c>
      <c r="P750" s="54" t="s">
        <v>3501</v>
      </c>
      <c r="Q750" s="54" t="s">
        <v>3502</v>
      </c>
      <c r="R750" s="54" t="s">
        <v>6725</v>
      </c>
      <c r="S750" s="54" t="s">
        <v>692</v>
      </c>
      <c r="T750" s="55" t="str">
        <f t="shared" si="73"/>
        <v>Insumos</v>
      </c>
      <c r="U750" s="55" t="str">
        <f t="shared" si="73"/>
        <v>Insumos Lógicos</v>
      </c>
      <c r="V750" s="55" t="str">
        <f t="shared" si="73"/>
        <v>Tomadas Lógicas</v>
      </c>
      <c r="W750" s="54" t="s">
        <v>7259</v>
      </c>
      <c r="X750" s="84" t="str">
        <f t="shared" si="71"/>
        <v>Key-COD-CT-750</v>
      </c>
      <c r="Y750" s="84" t="s">
        <v>5621</v>
      </c>
      <c r="Z750" s="84" t="s">
        <v>692</v>
      </c>
      <c r="AA750" s="84" t="s">
        <v>5926</v>
      </c>
      <c r="AB750" s="84" t="s">
        <v>692</v>
      </c>
      <c r="AC750" s="84" t="s">
        <v>692</v>
      </c>
      <c r="AD750" s="54" t="s">
        <v>692</v>
      </c>
    </row>
    <row r="751" spans="1:30" ht="6.75" customHeight="1" x14ac:dyDescent="0.25">
      <c r="A751" s="85">
        <v>751</v>
      </c>
      <c r="B751" s="59" t="s">
        <v>5419</v>
      </c>
      <c r="C751" s="59" t="s">
        <v>3394</v>
      </c>
      <c r="D751" s="60" t="s">
        <v>3480</v>
      </c>
      <c r="E751" s="59" t="s">
        <v>3503</v>
      </c>
      <c r="F751" s="61" t="s">
        <v>3504</v>
      </c>
      <c r="G751" s="81" t="s">
        <v>692</v>
      </c>
      <c r="H751" s="81" t="s">
        <v>692</v>
      </c>
      <c r="I751" s="81" t="s">
        <v>692</v>
      </c>
      <c r="J751" s="81" t="s">
        <v>692</v>
      </c>
      <c r="K751" s="81" t="s">
        <v>692</v>
      </c>
      <c r="L751" s="53" t="str">
        <f t="shared" si="72"/>
        <v>Insumos</v>
      </c>
      <c r="M751" s="53" t="str">
        <f t="shared" si="72"/>
        <v>Insumos.Lógicos</v>
      </c>
      <c r="N751" s="53" t="str">
        <f t="shared" si="70"/>
        <v>Racks Lógicos</v>
      </c>
      <c r="O751" s="53" t="str">
        <f t="shared" si="70"/>
        <v>Rack Telecom</v>
      </c>
      <c r="P751" s="54" t="s">
        <v>3505</v>
      </c>
      <c r="Q751" s="54" t="s">
        <v>3506</v>
      </c>
      <c r="R751" s="54" t="s">
        <v>6726</v>
      </c>
      <c r="S751" s="54" t="s">
        <v>692</v>
      </c>
      <c r="T751" s="55" t="str">
        <f t="shared" si="73"/>
        <v>Insumos</v>
      </c>
      <c r="U751" s="55" t="str">
        <f t="shared" si="73"/>
        <v>Insumos Lógicos</v>
      </c>
      <c r="V751" s="55" t="str">
        <f t="shared" si="73"/>
        <v>Racks Lógicos</v>
      </c>
      <c r="W751" s="54" t="s">
        <v>7259</v>
      </c>
      <c r="X751" s="84" t="str">
        <f t="shared" si="71"/>
        <v>Key-COD-CT-751</v>
      </c>
      <c r="Y751" s="84" t="s">
        <v>6000</v>
      </c>
      <c r="Z751" s="84" t="s">
        <v>692</v>
      </c>
      <c r="AA751" s="84" t="s">
        <v>5947</v>
      </c>
      <c r="AB751" s="84" t="s">
        <v>692</v>
      </c>
      <c r="AC751" s="84" t="s">
        <v>692</v>
      </c>
      <c r="AD751" s="54" t="s">
        <v>692</v>
      </c>
    </row>
    <row r="752" spans="1:30" ht="6.75" customHeight="1" x14ac:dyDescent="0.25">
      <c r="A752" s="85">
        <v>752</v>
      </c>
      <c r="B752" s="59" t="s">
        <v>5419</v>
      </c>
      <c r="C752" s="59" t="s">
        <v>3394</v>
      </c>
      <c r="D752" s="60" t="s">
        <v>3480</v>
      </c>
      <c r="E752" s="59" t="s">
        <v>3503</v>
      </c>
      <c r="F752" s="61" t="s">
        <v>3507</v>
      </c>
      <c r="G752" s="81" t="s">
        <v>692</v>
      </c>
      <c r="H752" s="81" t="s">
        <v>692</v>
      </c>
      <c r="I752" s="81" t="s">
        <v>692</v>
      </c>
      <c r="J752" s="81" t="s">
        <v>692</v>
      </c>
      <c r="K752" s="81" t="s">
        <v>692</v>
      </c>
      <c r="L752" s="53" t="str">
        <f t="shared" si="72"/>
        <v>Insumos</v>
      </c>
      <c r="M752" s="53" t="str">
        <f t="shared" si="72"/>
        <v>Insumos.Lógicos</v>
      </c>
      <c r="N752" s="53" t="str">
        <f t="shared" si="70"/>
        <v>Racks Lógicos</v>
      </c>
      <c r="O752" s="53" t="str">
        <f t="shared" si="70"/>
        <v>Rack Automação</v>
      </c>
      <c r="P752" s="54" t="s">
        <v>3508</v>
      </c>
      <c r="Q752" s="54" t="s">
        <v>3509</v>
      </c>
      <c r="R752" s="54" t="s">
        <v>6727</v>
      </c>
      <c r="S752" s="54" t="s">
        <v>692</v>
      </c>
      <c r="T752" s="55" t="str">
        <f t="shared" si="73"/>
        <v>Insumos</v>
      </c>
      <c r="U752" s="55" t="str">
        <f t="shared" si="73"/>
        <v>Insumos Lógicos</v>
      </c>
      <c r="V752" s="55" t="str">
        <f t="shared" si="73"/>
        <v>Racks Lógicos</v>
      </c>
      <c r="W752" s="54" t="s">
        <v>7259</v>
      </c>
      <c r="X752" s="84" t="str">
        <f t="shared" si="71"/>
        <v>Key-COD-CT-752</v>
      </c>
      <c r="Y752" s="84" t="s">
        <v>6000</v>
      </c>
      <c r="Z752" s="84" t="s">
        <v>692</v>
      </c>
      <c r="AA752" s="84" t="s">
        <v>5947</v>
      </c>
      <c r="AB752" s="84" t="s">
        <v>692</v>
      </c>
      <c r="AC752" s="84" t="s">
        <v>692</v>
      </c>
      <c r="AD752" s="54" t="s">
        <v>692</v>
      </c>
    </row>
    <row r="753" spans="1:30" ht="6.75" customHeight="1" x14ac:dyDescent="0.25">
      <c r="A753" s="85">
        <v>753</v>
      </c>
      <c r="B753" s="59" t="s">
        <v>5419</v>
      </c>
      <c r="C753" s="59" t="s">
        <v>3394</v>
      </c>
      <c r="D753" s="60" t="s">
        <v>3480</v>
      </c>
      <c r="E753" s="59" t="s">
        <v>3503</v>
      </c>
      <c r="F753" s="61" t="s">
        <v>3510</v>
      </c>
      <c r="G753" s="81" t="s">
        <v>692</v>
      </c>
      <c r="H753" s="81" t="s">
        <v>692</v>
      </c>
      <c r="I753" s="81" t="s">
        <v>692</v>
      </c>
      <c r="J753" s="81" t="s">
        <v>692</v>
      </c>
      <c r="K753" s="81" t="s">
        <v>692</v>
      </c>
      <c r="L753" s="53" t="str">
        <f t="shared" si="72"/>
        <v>Insumos</v>
      </c>
      <c r="M753" s="53" t="str">
        <f t="shared" si="72"/>
        <v>Insumos.Lógicos</v>
      </c>
      <c r="N753" s="53" t="str">
        <f t="shared" si="70"/>
        <v>Racks Lógicos</v>
      </c>
      <c r="O753" s="53" t="str">
        <f t="shared" si="70"/>
        <v>Rack Servidores</v>
      </c>
      <c r="P753" s="54" t="s">
        <v>3511</v>
      </c>
      <c r="Q753" s="54" t="s">
        <v>3512</v>
      </c>
      <c r="R753" s="54" t="s">
        <v>6728</v>
      </c>
      <c r="S753" s="54" t="s">
        <v>692</v>
      </c>
      <c r="T753" s="55" t="str">
        <f t="shared" si="73"/>
        <v>Insumos</v>
      </c>
      <c r="U753" s="55" t="str">
        <f t="shared" si="73"/>
        <v>Insumos Lógicos</v>
      </c>
      <c r="V753" s="55" t="str">
        <f t="shared" si="73"/>
        <v>Racks Lógicos</v>
      </c>
      <c r="W753" s="54" t="s">
        <v>7259</v>
      </c>
      <c r="X753" s="84" t="str">
        <f t="shared" si="71"/>
        <v>Key-COD-CT-753</v>
      </c>
      <c r="Y753" s="84" t="s">
        <v>6000</v>
      </c>
      <c r="Z753" s="84" t="s">
        <v>692</v>
      </c>
      <c r="AA753" s="84" t="s">
        <v>5947</v>
      </c>
      <c r="AB753" s="84" t="s">
        <v>692</v>
      </c>
      <c r="AC753" s="84" t="s">
        <v>692</v>
      </c>
      <c r="AD753" s="54" t="s">
        <v>692</v>
      </c>
    </row>
    <row r="754" spans="1:30" ht="6.75" customHeight="1" x14ac:dyDescent="0.25">
      <c r="A754" s="85">
        <v>754</v>
      </c>
      <c r="B754" s="59" t="s">
        <v>5419</v>
      </c>
      <c r="C754" s="59" t="s">
        <v>3394</v>
      </c>
      <c r="D754" s="60" t="s">
        <v>3480</v>
      </c>
      <c r="E754" s="59" t="s">
        <v>3503</v>
      </c>
      <c r="F754" s="61" t="s">
        <v>3513</v>
      </c>
      <c r="G754" s="81" t="s">
        <v>692</v>
      </c>
      <c r="H754" s="81" t="s">
        <v>692</v>
      </c>
      <c r="I754" s="81" t="s">
        <v>692</v>
      </c>
      <c r="J754" s="81" t="s">
        <v>692</v>
      </c>
      <c r="K754" s="81" t="s">
        <v>692</v>
      </c>
      <c r="L754" s="53" t="str">
        <f t="shared" si="72"/>
        <v>Insumos</v>
      </c>
      <c r="M754" s="53" t="str">
        <f t="shared" si="72"/>
        <v>Insumos.Lógicos</v>
      </c>
      <c r="N754" s="53" t="str">
        <f t="shared" si="70"/>
        <v>Racks Lógicos</v>
      </c>
      <c r="O754" s="53" t="str">
        <f t="shared" si="70"/>
        <v>Quadro Lógico Programável</v>
      </c>
      <c r="P754" s="54" t="s">
        <v>3514</v>
      </c>
      <c r="Q754" s="54" t="s">
        <v>3515</v>
      </c>
      <c r="R754" s="54" t="s">
        <v>6729</v>
      </c>
      <c r="S754" s="54" t="s">
        <v>692</v>
      </c>
      <c r="T754" s="55" t="str">
        <f t="shared" si="73"/>
        <v>Insumos</v>
      </c>
      <c r="U754" s="55" t="str">
        <f t="shared" si="73"/>
        <v>Insumos Lógicos</v>
      </c>
      <c r="V754" s="55" t="str">
        <f t="shared" si="73"/>
        <v>Racks Lógicos</v>
      </c>
      <c r="W754" s="54" t="s">
        <v>7259</v>
      </c>
      <c r="X754" s="84" t="str">
        <f t="shared" si="71"/>
        <v>Key-COD-CT-754</v>
      </c>
      <c r="Y754" s="84" t="s">
        <v>6000</v>
      </c>
      <c r="Z754" s="84" t="s">
        <v>692</v>
      </c>
      <c r="AA754" s="84" t="s">
        <v>5948</v>
      </c>
      <c r="AB754" s="84" t="s">
        <v>692</v>
      </c>
      <c r="AC754" s="84" t="s">
        <v>692</v>
      </c>
      <c r="AD754" s="54" t="s">
        <v>692</v>
      </c>
    </row>
    <row r="755" spans="1:30" ht="6.75" customHeight="1" x14ac:dyDescent="0.25">
      <c r="A755" s="85">
        <v>755</v>
      </c>
      <c r="B755" s="59" t="s">
        <v>5419</v>
      </c>
      <c r="C755" s="59" t="s">
        <v>3394</v>
      </c>
      <c r="D755" s="60" t="s">
        <v>3480</v>
      </c>
      <c r="E755" s="59" t="s">
        <v>3503</v>
      </c>
      <c r="F755" s="61" t="s">
        <v>3516</v>
      </c>
      <c r="G755" s="81" t="s">
        <v>692</v>
      </c>
      <c r="H755" s="81" t="s">
        <v>692</v>
      </c>
      <c r="I755" s="81" t="s">
        <v>692</v>
      </c>
      <c r="J755" s="81" t="s">
        <v>692</v>
      </c>
      <c r="K755" s="81" t="s">
        <v>692</v>
      </c>
      <c r="L755" s="53" t="str">
        <f t="shared" si="72"/>
        <v>Insumos</v>
      </c>
      <c r="M755" s="53" t="str">
        <f t="shared" si="72"/>
        <v>Insumos.Lógicos</v>
      </c>
      <c r="N755" s="53" t="str">
        <f t="shared" si="70"/>
        <v>Racks Lógicos</v>
      </c>
      <c r="O755" s="53" t="str">
        <f t="shared" si="70"/>
        <v>Interface Homem Máquina</v>
      </c>
      <c r="P755" s="54" t="s">
        <v>3517</v>
      </c>
      <c r="Q755" s="54" t="s">
        <v>3518</v>
      </c>
      <c r="R755" s="54" t="s">
        <v>6730</v>
      </c>
      <c r="S755" s="54" t="s">
        <v>692</v>
      </c>
      <c r="T755" s="55" t="str">
        <f t="shared" si="73"/>
        <v>Insumos</v>
      </c>
      <c r="U755" s="55" t="str">
        <f t="shared" si="73"/>
        <v>Insumos Lógicos</v>
      </c>
      <c r="V755" s="55" t="str">
        <f t="shared" si="73"/>
        <v>Racks Lógicos</v>
      </c>
      <c r="W755" s="54" t="s">
        <v>7259</v>
      </c>
      <c r="X755" s="84" t="str">
        <f t="shared" si="71"/>
        <v>Key-COD-CT-755</v>
      </c>
      <c r="Y755" s="84" t="s">
        <v>6000</v>
      </c>
      <c r="Z755" s="84" t="s">
        <v>692</v>
      </c>
      <c r="AA755" s="84" t="s">
        <v>5948</v>
      </c>
      <c r="AB755" s="84" t="s">
        <v>692</v>
      </c>
      <c r="AC755" s="84" t="s">
        <v>692</v>
      </c>
      <c r="AD755" s="54" t="s">
        <v>692</v>
      </c>
    </row>
    <row r="756" spans="1:30" ht="6.75" customHeight="1" x14ac:dyDescent="0.25">
      <c r="A756" s="85">
        <v>756</v>
      </c>
      <c r="B756" s="59" t="s">
        <v>5419</v>
      </c>
      <c r="C756" s="59" t="s">
        <v>3394</v>
      </c>
      <c r="D756" s="60" t="s">
        <v>3519</v>
      </c>
      <c r="E756" s="59" t="s">
        <v>3520</v>
      </c>
      <c r="F756" s="61" t="s">
        <v>3521</v>
      </c>
      <c r="G756" s="81" t="s">
        <v>692</v>
      </c>
      <c r="H756" s="81" t="s">
        <v>692</v>
      </c>
      <c r="I756" s="81" t="s">
        <v>692</v>
      </c>
      <c r="J756" s="81" t="s">
        <v>692</v>
      </c>
      <c r="K756" s="81" t="s">
        <v>692</v>
      </c>
      <c r="L756" s="53" t="str">
        <f t="shared" si="72"/>
        <v>Insumos</v>
      </c>
      <c r="M756" s="53" t="str">
        <f t="shared" si="72"/>
        <v>Insumos.Combinados</v>
      </c>
      <c r="N756" s="53" t="str">
        <f t="shared" si="70"/>
        <v>Caixas Piso Combinadas</v>
      </c>
      <c r="O756" s="53" t="str">
        <f t="shared" si="70"/>
        <v>Caixa 8ED</v>
      </c>
      <c r="P756" s="54" t="s">
        <v>3522</v>
      </c>
      <c r="Q756" s="54" t="s">
        <v>3523</v>
      </c>
      <c r="R756" s="54" t="s">
        <v>6731</v>
      </c>
      <c r="S756" s="54" t="s">
        <v>692</v>
      </c>
      <c r="T756" s="55" t="str">
        <f t="shared" si="73"/>
        <v>Insumos</v>
      </c>
      <c r="U756" s="55" t="str">
        <f t="shared" si="73"/>
        <v>Insumos Combinados</v>
      </c>
      <c r="V756" s="55" t="str">
        <f t="shared" si="73"/>
        <v>Caixas Piso Combinadas</v>
      </c>
      <c r="W756" s="54" t="s">
        <v>7259</v>
      </c>
      <c r="X756" s="84" t="str">
        <f t="shared" si="71"/>
        <v>Key-COD-CT-756</v>
      </c>
      <c r="Y756" s="84" t="s">
        <v>5996</v>
      </c>
      <c r="Z756" s="84" t="s">
        <v>692</v>
      </c>
      <c r="AA756" s="84" t="s">
        <v>5927</v>
      </c>
      <c r="AB756" s="84" t="s">
        <v>692</v>
      </c>
      <c r="AC756" s="84" t="s">
        <v>692</v>
      </c>
      <c r="AD756" s="54" t="s">
        <v>692</v>
      </c>
    </row>
    <row r="757" spans="1:30" ht="6.75" customHeight="1" x14ac:dyDescent="0.25">
      <c r="A757" s="85">
        <v>757</v>
      </c>
      <c r="B757" s="59" t="s">
        <v>5419</v>
      </c>
      <c r="C757" s="59" t="s">
        <v>3394</v>
      </c>
      <c r="D757" s="60" t="s">
        <v>3519</v>
      </c>
      <c r="E757" s="59" t="s">
        <v>3520</v>
      </c>
      <c r="F757" s="61" t="s">
        <v>3524</v>
      </c>
      <c r="G757" s="81" t="s">
        <v>692</v>
      </c>
      <c r="H757" s="81" t="s">
        <v>692</v>
      </c>
      <c r="I757" s="81" t="s">
        <v>692</v>
      </c>
      <c r="J757" s="81" t="s">
        <v>692</v>
      </c>
      <c r="K757" s="81" t="s">
        <v>692</v>
      </c>
      <c r="L757" s="53" t="str">
        <f t="shared" si="72"/>
        <v>Insumos</v>
      </c>
      <c r="M757" s="53" t="str">
        <f t="shared" si="72"/>
        <v>Insumos.Combinados</v>
      </c>
      <c r="N757" s="53" t="str">
        <f t="shared" si="70"/>
        <v>Caixas Piso Combinadas</v>
      </c>
      <c r="O757" s="53" t="str">
        <f t="shared" si="70"/>
        <v>Caixa PAS Cega</v>
      </c>
      <c r="P757" s="54" t="s">
        <v>3525</v>
      </c>
      <c r="Q757" s="54" t="s">
        <v>3526</v>
      </c>
      <c r="R757" s="54" t="s">
        <v>6732</v>
      </c>
      <c r="S757" s="54" t="s">
        <v>692</v>
      </c>
      <c r="T757" s="55" t="str">
        <f t="shared" si="73"/>
        <v>Insumos</v>
      </c>
      <c r="U757" s="55" t="str">
        <f t="shared" si="73"/>
        <v>Insumos Combinados</v>
      </c>
      <c r="V757" s="55" t="str">
        <f t="shared" si="73"/>
        <v>Caixas Piso Combinadas</v>
      </c>
      <c r="W757" s="54" t="s">
        <v>7259</v>
      </c>
      <c r="X757" s="84" t="str">
        <f t="shared" si="71"/>
        <v>Key-COD-CT-757</v>
      </c>
      <c r="Y757" s="84" t="s">
        <v>5996</v>
      </c>
      <c r="Z757" s="84" t="s">
        <v>692</v>
      </c>
      <c r="AA757" s="84" t="s">
        <v>5927</v>
      </c>
      <c r="AB757" s="84" t="s">
        <v>692</v>
      </c>
      <c r="AC757" s="84" t="s">
        <v>692</v>
      </c>
      <c r="AD757" s="54" t="s">
        <v>692</v>
      </c>
    </row>
    <row r="758" spans="1:30" ht="6.75" customHeight="1" x14ac:dyDescent="0.25">
      <c r="A758" s="85">
        <v>758</v>
      </c>
      <c r="B758" s="59" t="s">
        <v>5419</v>
      </c>
      <c r="C758" s="59" t="s">
        <v>3394</v>
      </c>
      <c r="D758" s="60" t="s">
        <v>3395</v>
      </c>
      <c r="E758" s="59" t="s">
        <v>3527</v>
      </c>
      <c r="F758" s="61" t="s">
        <v>3528</v>
      </c>
      <c r="G758" s="81" t="s">
        <v>692</v>
      </c>
      <c r="H758" s="81" t="s">
        <v>692</v>
      </c>
      <c r="I758" s="81" t="s">
        <v>692</v>
      </c>
      <c r="J758" s="81" t="s">
        <v>692</v>
      </c>
      <c r="K758" s="81" t="s">
        <v>692</v>
      </c>
      <c r="L758" s="53" t="str">
        <f t="shared" si="72"/>
        <v>Insumos</v>
      </c>
      <c r="M758" s="53" t="str">
        <f t="shared" si="72"/>
        <v>Insumos.Elétricos</v>
      </c>
      <c r="N758" s="53" t="str">
        <f t="shared" si="70"/>
        <v>Fontes Elétricas</v>
      </c>
      <c r="O758" s="53" t="str">
        <f t="shared" si="70"/>
        <v>Armazenador Elétrico</v>
      </c>
      <c r="P758" s="54" t="s">
        <v>3529</v>
      </c>
      <c r="Q758" s="54" t="s">
        <v>3530</v>
      </c>
      <c r="R758" s="54" t="s">
        <v>6733</v>
      </c>
      <c r="S758" s="54" t="s">
        <v>692</v>
      </c>
      <c r="T758" s="55" t="str">
        <f t="shared" si="73"/>
        <v>Insumos</v>
      </c>
      <c r="U758" s="55" t="str">
        <f t="shared" si="73"/>
        <v>Insumos Elétricos</v>
      </c>
      <c r="V758" s="55" t="str">
        <f t="shared" si="73"/>
        <v>Fontes Elétricas</v>
      </c>
      <c r="W758" s="54" t="s">
        <v>7259</v>
      </c>
      <c r="X758" s="84" t="str">
        <f t="shared" si="71"/>
        <v>Key-COD-CT-758</v>
      </c>
      <c r="Y758" s="84" t="s">
        <v>5996</v>
      </c>
      <c r="Z758" s="84" t="s">
        <v>692</v>
      </c>
      <c r="AA758" s="84" t="s">
        <v>5949</v>
      </c>
      <c r="AB758" s="84" t="s">
        <v>692</v>
      </c>
      <c r="AC758" s="84" t="s">
        <v>692</v>
      </c>
      <c r="AD758" s="54" t="s">
        <v>692</v>
      </c>
    </row>
    <row r="759" spans="1:30" ht="6.75" customHeight="1" x14ac:dyDescent="0.25">
      <c r="A759" s="85">
        <v>759</v>
      </c>
      <c r="B759" s="59" t="s">
        <v>5419</v>
      </c>
      <c r="C759" s="59" t="s">
        <v>3394</v>
      </c>
      <c r="D759" s="60" t="s">
        <v>3395</v>
      </c>
      <c r="E759" s="59" t="s">
        <v>3527</v>
      </c>
      <c r="F759" s="61" t="s">
        <v>3531</v>
      </c>
      <c r="G759" s="81" t="s">
        <v>692</v>
      </c>
      <c r="H759" s="81" t="s">
        <v>692</v>
      </c>
      <c r="I759" s="81" t="s">
        <v>692</v>
      </c>
      <c r="J759" s="81" t="s">
        <v>692</v>
      </c>
      <c r="K759" s="81" t="s">
        <v>692</v>
      </c>
      <c r="L759" s="53" t="str">
        <f t="shared" si="72"/>
        <v>Insumos</v>
      </c>
      <c r="M759" s="53" t="str">
        <f t="shared" si="72"/>
        <v>Insumos.Elétricos</v>
      </c>
      <c r="N759" s="53" t="str">
        <f t="shared" si="70"/>
        <v>Fontes Elétricas</v>
      </c>
      <c r="O759" s="53" t="str">
        <f t="shared" si="70"/>
        <v>Bateria Elétrica</v>
      </c>
      <c r="P759" s="54" t="s">
        <v>3532</v>
      </c>
      <c r="Q759" s="54" t="s">
        <v>3533</v>
      </c>
      <c r="R759" s="54" t="s">
        <v>6734</v>
      </c>
      <c r="S759" s="54" t="s">
        <v>692</v>
      </c>
      <c r="T759" s="55" t="str">
        <f t="shared" si="73"/>
        <v>Insumos</v>
      </c>
      <c r="U759" s="55" t="str">
        <f t="shared" si="73"/>
        <v>Insumos Elétricos</v>
      </c>
      <c r="V759" s="55" t="str">
        <f t="shared" si="73"/>
        <v>Fontes Elétricas</v>
      </c>
      <c r="W759" s="54" t="s">
        <v>7259</v>
      </c>
      <c r="X759" s="84" t="str">
        <f t="shared" si="71"/>
        <v>Key-COD-CT-759</v>
      </c>
      <c r="Y759" s="84" t="s">
        <v>5996</v>
      </c>
      <c r="Z759" s="84" t="s">
        <v>692</v>
      </c>
      <c r="AA759" s="84" t="s">
        <v>5950</v>
      </c>
      <c r="AB759" s="84" t="s">
        <v>692</v>
      </c>
      <c r="AC759" s="84" t="s">
        <v>692</v>
      </c>
      <c r="AD759" s="54" t="s">
        <v>692</v>
      </c>
    </row>
    <row r="760" spans="1:30" ht="6.75" customHeight="1" x14ac:dyDescent="0.25">
      <c r="A760" s="85">
        <v>760</v>
      </c>
      <c r="B760" s="59" t="s">
        <v>5419</v>
      </c>
      <c r="C760" s="59" t="s">
        <v>3394</v>
      </c>
      <c r="D760" s="60" t="s">
        <v>3395</v>
      </c>
      <c r="E760" s="59" t="s">
        <v>3527</v>
      </c>
      <c r="F760" s="61" t="s">
        <v>3534</v>
      </c>
      <c r="G760" s="81" t="s">
        <v>692</v>
      </c>
      <c r="H760" s="81" t="s">
        <v>692</v>
      </c>
      <c r="I760" s="81" t="s">
        <v>692</v>
      </c>
      <c r="J760" s="81" t="s">
        <v>692</v>
      </c>
      <c r="K760" s="81" t="s">
        <v>692</v>
      </c>
      <c r="L760" s="53" t="str">
        <f t="shared" si="72"/>
        <v>Insumos</v>
      </c>
      <c r="M760" s="53" t="str">
        <f t="shared" si="72"/>
        <v>Insumos.Elétricos</v>
      </c>
      <c r="N760" s="53" t="str">
        <f t="shared" si="70"/>
        <v>Fontes Elétricas</v>
      </c>
      <c r="O760" s="53" t="str">
        <f t="shared" si="70"/>
        <v>Capacitor Elétrico</v>
      </c>
      <c r="P760" s="54" t="s">
        <v>3535</v>
      </c>
      <c r="Q760" s="54" t="s">
        <v>3536</v>
      </c>
      <c r="R760" s="54" t="s">
        <v>6735</v>
      </c>
      <c r="S760" s="54" t="s">
        <v>692</v>
      </c>
      <c r="T760" s="55" t="str">
        <f t="shared" si="73"/>
        <v>Insumos</v>
      </c>
      <c r="U760" s="55" t="str">
        <f t="shared" si="73"/>
        <v>Insumos Elétricos</v>
      </c>
      <c r="V760" s="55" t="str">
        <f t="shared" si="73"/>
        <v>Fontes Elétricas</v>
      </c>
      <c r="W760" s="54" t="s">
        <v>7259</v>
      </c>
      <c r="X760" s="84" t="str">
        <f t="shared" si="71"/>
        <v>Key-COD-CT-760</v>
      </c>
      <c r="Y760" s="84" t="s">
        <v>5996</v>
      </c>
      <c r="Z760" s="84" t="s">
        <v>692</v>
      </c>
      <c r="AA760" s="84" t="s">
        <v>5951</v>
      </c>
      <c r="AB760" s="84" t="s">
        <v>692</v>
      </c>
      <c r="AC760" s="84" t="s">
        <v>692</v>
      </c>
      <c r="AD760" s="54" t="s">
        <v>692</v>
      </c>
    </row>
    <row r="761" spans="1:30" ht="6.75" customHeight="1" x14ac:dyDescent="0.25">
      <c r="A761" s="85">
        <v>761</v>
      </c>
      <c r="B761" s="59" t="s">
        <v>5419</v>
      </c>
      <c r="C761" s="59" t="s">
        <v>3394</v>
      </c>
      <c r="D761" s="60" t="s">
        <v>3395</v>
      </c>
      <c r="E761" s="59" t="s">
        <v>3527</v>
      </c>
      <c r="F761" s="61" t="s">
        <v>3537</v>
      </c>
      <c r="G761" s="81" t="s">
        <v>692</v>
      </c>
      <c r="H761" s="81" t="s">
        <v>692</v>
      </c>
      <c r="I761" s="81" t="s">
        <v>692</v>
      </c>
      <c r="J761" s="81" t="s">
        <v>692</v>
      </c>
      <c r="K761" s="81" t="s">
        <v>692</v>
      </c>
      <c r="L761" s="53" t="str">
        <f t="shared" si="72"/>
        <v>Insumos</v>
      </c>
      <c r="M761" s="53" t="str">
        <f t="shared" si="72"/>
        <v>Insumos.Elétricos</v>
      </c>
      <c r="N761" s="53" t="str">
        <f t="shared" si="70"/>
        <v>Fontes Elétricas</v>
      </c>
      <c r="O761" s="53" t="str">
        <f t="shared" si="70"/>
        <v>Banco de Capacitores</v>
      </c>
      <c r="P761" s="54" t="s">
        <v>3538</v>
      </c>
      <c r="Q761" s="54" t="s">
        <v>3539</v>
      </c>
      <c r="R761" s="54" t="s">
        <v>6736</v>
      </c>
      <c r="S761" s="54" t="s">
        <v>692</v>
      </c>
      <c r="T761" s="55" t="str">
        <f t="shared" si="73"/>
        <v>Insumos</v>
      </c>
      <c r="U761" s="55" t="str">
        <f t="shared" si="73"/>
        <v>Insumos Elétricos</v>
      </c>
      <c r="V761" s="55" t="str">
        <f t="shared" si="73"/>
        <v>Fontes Elétricas</v>
      </c>
      <c r="W761" s="54" t="s">
        <v>7259</v>
      </c>
      <c r="X761" s="84" t="str">
        <f t="shared" si="71"/>
        <v>Key-COD-CT-761</v>
      </c>
      <c r="Y761" s="84" t="s">
        <v>5996</v>
      </c>
      <c r="Z761" s="84" t="s">
        <v>692</v>
      </c>
      <c r="AA761" s="84" t="s">
        <v>5952</v>
      </c>
      <c r="AB761" s="84" t="s">
        <v>692</v>
      </c>
      <c r="AC761" s="84" t="s">
        <v>692</v>
      </c>
      <c r="AD761" s="54" t="s">
        <v>692</v>
      </c>
    </row>
    <row r="762" spans="1:30" ht="6.75" customHeight="1" x14ac:dyDescent="0.25">
      <c r="A762" s="85">
        <v>762</v>
      </c>
      <c r="B762" s="59" t="s">
        <v>5419</v>
      </c>
      <c r="C762" s="59" t="s">
        <v>3394</v>
      </c>
      <c r="D762" s="60" t="s">
        <v>3395</v>
      </c>
      <c r="E762" s="59" t="s">
        <v>3527</v>
      </c>
      <c r="F762" s="61" t="s">
        <v>3540</v>
      </c>
      <c r="G762" s="81" t="s">
        <v>692</v>
      </c>
      <c r="H762" s="81" t="s">
        <v>692</v>
      </c>
      <c r="I762" s="81" t="s">
        <v>692</v>
      </c>
      <c r="J762" s="81" t="s">
        <v>692</v>
      </c>
      <c r="K762" s="81" t="s">
        <v>692</v>
      </c>
      <c r="L762" s="53" t="str">
        <f t="shared" si="72"/>
        <v>Insumos</v>
      </c>
      <c r="M762" s="53" t="str">
        <f t="shared" si="72"/>
        <v>Insumos.Elétricos</v>
      </c>
      <c r="N762" s="53" t="str">
        <f t="shared" si="70"/>
        <v>Fontes Elétricas</v>
      </c>
      <c r="O762" s="53" t="str">
        <f t="shared" si="70"/>
        <v>Compensador Elétrico</v>
      </c>
      <c r="P762" s="54" t="s">
        <v>3541</v>
      </c>
      <c r="Q762" s="54" t="s">
        <v>3542</v>
      </c>
      <c r="R762" s="54" t="s">
        <v>6737</v>
      </c>
      <c r="S762" s="54" t="s">
        <v>692</v>
      </c>
      <c r="T762" s="55" t="str">
        <f t="shared" si="73"/>
        <v>Insumos</v>
      </c>
      <c r="U762" s="55" t="str">
        <f t="shared" si="73"/>
        <v>Insumos Elétricos</v>
      </c>
      <c r="V762" s="55" t="str">
        <f t="shared" si="73"/>
        <v>Fontes Elétricas</v>
      </c>
      <c r="W762" s="54" t="s">
        <v>7259</v>
      </c>
      <c r="X762" s="84" t="str">
        <f t="shared" si="71"/>
        <v>Key-COD-CT-762</v>
      </c>
      <c r="Y762" s="84" t="s">
        <v>5996</v>
      </c>
      <c r="Z762" s="84" t="s">
        <v>692</v>
      </c>
      <c r="AA762" s="84" t="s">
        <v>5953</v>
      </c>
      <c r="AB762" s="84" t="s">
        <v>692</v>
      </c>
      <c r="AC762" s="84" t="s">
        <v>692</v>
      </c>
      <c r="AD762" s="54" t="s">
        <v>692</v>
      </c>
    </row>
    <row r="763" spans="1:30" ht="6.75" customHeight="1" x14ac:dyDescent="0.25">
      <c r="A763" s="85">
        <v>763</v>
      </c>
      <c r="B763" s="59" t="s">
        <v>5419</v>
      </c>
      <c r="C763" s="59" t="s">
        <v>3394</v>
      </c>
      <c r="D763" s="60" t="s">
        <v>3395</v>
      </c>
      <c r="E763" s="59" t="s">
        <v>3527</v>
      </c>
      <c r="F763" s="61" t="s">
        <v>3543</v>
      </c>
      <c r="G763" s="81" t="s">
        <v>692</v>
      </c>
      <c r="H763" s="81" t="s">
        <v>692</v>
      </c>
      <c r="I763" s="81" t="s">
        <v>692</v>
      </c>
      <c r="J763" s="81" t="s">
        <v>692</v>
      </c>
      <c r="K763" s="81" t="s">
        <v>692</v>
      </c>
      <c r="L763" s="53" t="str">
        <f t="shared" si="72"/>
        <v>Insumos</v>
      </c>
      <c r="M763" s="53" t="str">
        <f t="shared" si="72"/>
        <v>Insumos.Elétricos</v>
      </c>
      <c r="N763" s="53" t="str">
        <f t="shared" ref="N763:O790" si="74">(SUBSTITUTE(SUBSTITUTE(CONCATENATE("",E763),"."," ")," De "," de "))</f>
        <v>Fontes Elétricas</v>
      </c>
      <c r="O763" s="53" t="str">
        <f t="shared" si="74"/>
        <v>Filtro Harmônico</v>
      </c>
      <c r="P763" s="54" t="s">
        <v>3544</v>
      </c>
      <c r="Q763" s="54" t="s">
        <v>3545</v>
      </c>
      <c r="R763" s="54" t="s">
        <v>6738</v>
      </c>
      <c r="S763" s="54" t="s">
        <v>692</v>
      </c>
      <c r="T763" s="55" t="str">
        <f t="shared" si="73"/>
        <v>Insumos</v>
      </c>
      <c r="U763" s="55" t="str">
        <f t="shared" si="73"/>
        <v>Insumos Elétricos</v>
      </c>
      <c r="V763" s="55" t="str">
        <f t="shared" si="73"/>
        <v>Fontes Elétricas</v>
      </c>
      <c r="W763" s="54" t="s">
        <v>7259</v>
      </c>
      <c r="X763" s="84" t="str">
        <f t="shared" si="71"/>
        <v>Key-COD-CT-763</v>
      </c>
      <c r="Y763" s="84" t="s">
        <v>5996</v>
      </c>
      <c r="Z763" s="84" t="s">
        <v>692</v>
      </c>
      <c r="AA763" s="84" t="s">
        <v>5954</v>
      </c>
      <c r="AB763" s="84" t="s">
        <v>692</v>
      </c>
      <c r="AC763" s="84" t="s">
        <v>692</v>
      </c>
      <c r="AD763" s="54" t="s">
        <v>692</v>
      </c>
    </row>
    <row r="764" spans="1:30" ht="6.75" customHeight="1" x14ac:dyDescent="0.25">
      <c r="A764" s="85">
        <v>764</v>
      </c>
      <c r="B764" s="59" t="s">
        <v>5419</v>
      </c>
      <c r="C764" s="59" t="s">
        <v>3394</v>
      </c>
      <c r="D764" s="60" t="s">
        <v>3395</v>
      </c>
      <c r="E764" s="59" t="s">
        <v>3527</v>
      </c>
      <c r="F764" s="61" t="s">
        <v>3546</v>
      </c>
      <c r="G764" s="81" t="s">
        <v>692</v>
      </c>
      <c r="H764" s="81" t="s">
        <v>692</v>
      </c>
      <c r="I764" s="81" t="s">
        <v>692</v>
      </c>
      <c r="J764" s="81" t="s">
        <v>692</v>
      </c>
      <c r="K764" s="81" t="s">
        <v>692</v>
      </c>
      <c r="L764" s="53" t="str">
        <f t="shared" si="72"/>
        <v>Insumos</v>
      </c>
      <c r="M764" s="53" t="str">
        <f t="shared" si="72"/>
        <v>Insumos.Elétricos</v>
      </c>
      <c r="N764" s="53" t="str">
        <f t="shared" si="74"/>
        <v>Fontes Elétricas</v>
      </c>
      <c r="O764" s="53" t="str">
        <f t="shared" si="74"/>
        <v>Indutor</v>
      </c>
      <c r="P764" s="54" t="s">
        <v>3547</v>
      </c>
      <c r="Q764" s="54" t="s">
        <v>3548</v>
      </c>
      <c r="R764" s="54" t="s">
        <v>6739</v>
      </c>
      <c r="S764" s="54" t="s">
        <v>692</v>
      </c>
      <c r="T764" s="55" t="str">
        <f t="shared" si="73"/>
        <v>Insumos</v>
      </c>
      <c r="U764" s="55" t="str">
        <f t="shared" si="73"/>
        <v>Insumos Elétricos</v>
      </c>
      <c r="V764" s="55" t="str">
        <f t="shared" si="73"/>
        <v>Fontes Elétricas</v>
      </c>
      <c r="W764" s="54" t="s">
        <v>7259</v>
      </c>
      <c r="X764" s="84" t="str">
        <f t="shared" si="71"/>
        <v>Key-COD-CT-764</v>
      </c>
      <c r="Y764" s="84" t="s">
        <v>5996</v>
      </c>
      <c r="Z764" s="84" t="s">
        <v>692</v>
      </c>
      <c r="AA764" s="84" t="s">
        <v>5955</v>
      </c>
      <c r="AB764" s="84" t="s">
        <v>692</v>
      </c>
      <c r="AC764" s="84" t="s">
        <v>692</v>
      </c>
      <c r="AD764" s="54" t="s">
        <v>692</v>
      </c>
    </row>
    <row r="765" spans="1:30" ht="6.75" customHeight="1" x14ac:dyDescent="0.25">
      <c r="A765" s="85">
        <v>765</v>
      </c>
      <c r="B765" s="59" t="s">
        <v>5419</v>
      </c>
      <c r="C765" s="59" t="s">
        <v>3394</v>
      </c>
      <c r="D765" s="60" t="s">
        <v>3395</v>
      </c>
      <c r="E765" s="59" t="s">
        <v>3527</v>
      </c>
      <c r="F765" s="61" t="s">
        <v>3549</v>
      </c>
      <c r="G765" s="81" t="s">
        <v>692</v>
      </c>
      <c r="H765" s="81" t="s">
        <v>692</v>
      </c>
      <c r="I765" s="81" t="s">
        <v>692</v>
      </c>
      <c r="J765" s="81" t="s">
        <v>692</v>
      </c>
      <c r="K765" s="81" t="s">
        <v>692</v>
      </c>
      <c r="L765" s="53" t="str">
        <f t="shared" si="72"/>
        <v>Insumos</v>
      </c>
      <c r="M765" s="53" t="str">
        <f t="shared" si="72"/>
        <v>Insumos.Elétricos</v>
      </c>
      <c r="N765" s="53" t="str">
        <f t="shared" si="74"/>
        <v>Fontes Elétricas</v>
      </c>
      <c r="O765" s="53" t="str">
        <f t="shared" si="74"/>
        <v>Banco de Indutores</v>
      </c>
      <c r="P765" s="54" t="s">
        <v>3550</v>
      </c>
      <c r="Q765" s="54" t="s">
        <v>3551</v>
      </c>
      <c r="R765" s="54" t="s">
        <v>6740</v>
      </c>
      <c r="S765" s="54" t="s">
        <v>692</v>
      </c>
      <c r="T765" s="55" t="str">
        <f t="shared" si="73"/>
        <v>Insumos</v>
      </c>
      <c r="U765" s="55" t="str">
        <f t="shared" si="73"/>
        <v>Insumos Elétricos</v>
      </c>
      <c r="V765" s="55" t="str">
        <f t="shared" si="73"/>
        <v>Fontes Elétricas</v>
      </c>
      <c r="W765" s="54" t="s">
        <v>7259</v>
      </c>
      <c r="X765" s="84" t="str">
        <f t="shared" si="71"/>
        <v>Key-COD-CT-765</v>
      </c>
      <c r="Y765" s="84" t="s">
        <v>5996</v>
      </c>
      <c r="Z765" s="84" t="s">
        <v>692</v>
      </c>
      <c r="AA765" s="84" t="s">
        <v>5956</v>
      </c>
      <c r="AB765" s="84" t="s">
        <v>692</v>
      </c>
      <c r="AC765" s="84" t="s">
        <v>692</v>
      </c>
      <c r="AD765" s="54" t="s">
        <v>692</v>
      </c>
    </row>
    <row r="766" spans="1:30" ht="6.75" customHeight="1" x14ac:dyDescent="0.25">
      <c r="A766" s="85">
        <v>766</v>
      </c>
      <c r="B766" s="59" t="s">
        <v>5419</v>
      </c>
      <c r="C766" s="59" t="s">
        <v>3394</v>
      </c>
      <c r="D766" s="60" t="s">
        <v>3395</v>
      </c>
      <c r="E766" s="59" t="s">
        <v>3527</v>
      </c>
      <c r="F766" s="61" t="s">
        <v>3552</v>
      </c>
      <c r="G766" s="81" t="s">
        <v>692</v>
      </c>
      <c r="H766" s="81" t="s">
        <v>692</v>
      </c>
      <c r="I766" s="81" t="s">
        <v>692</v>
      </c>
      <c r="J766" s="81" t="s">
        <v>692</v>
      </c>
      <c r="K766" s="81" t="s">
        <v>692</v>
      </c>
      <c r="L766" s="53" t="str">
        <f t="shared" si="72"/>
        <v>Insumos</v>
      </c>
      <c r="M766" s="53" t="str">
        <f t="shared" si="72"/>
        <v>Insumos.Elétricos</v>
      </c>
      <c r="N766" s="53" t="str">
        <f t="shared" si="74"/>
        <v>Fontes Elétricas</v>
      </c>
      <c r="O766" s="53" t="str">
        <f t="shared" si="74"/>
        <v>Recarregador</v>
      </c>
      <c r="P766" s="54" t="s">
        <v>3553</v>
      </c>
      <c r="Q766" s="54" t="s">
        <v>3554</v>
      </c>
      <c r="R766" s="54" t="s">
        <v>6741</v>
      </c>
      <c r="S766" s="54" t="s">
        <v>692</v>
      </c>
      <c r="T766" s="55" t="str">
        <f t="shared" si="73"/>
        <v>Insumos</v>
      </c>
      <c r="U766" s="55" t="str">
        <f t="shared" si="73"/>
        <v>Insumos Elétricos</v>
      </c>
      <c r="V766" s="55" t="str">
        <f t="shared" si="73"/>
        <v>Fontes Elétricas</v>
      </c>
      <c r="W766" s="54" t="s">
        <v>7259</v>
      </c>
      <c r="X766" s="84" t="str">
        <f t="shared" si="71"/>
        <v>Key-COD-CT-766</v>
      </c>
      <c r="Y766" s="84" t="s">
        <v>5996</v>
      </c>
      <c r="Z766" s="84" t="s">
        <v>692</v>
      </c>
      <c r="AA766" s="84" t="s">
        <v>5957</v>
      </c>
      <c r="AB766" s="84" t="s">
        <v>692</v>
      </c>
      <c r="AC766" s="84" t="s">
        <v>692</v>
      </c>
      <c r="AD766" s="54" t="s">
        <v>692</v>
      </c>
    </row>
    <row r="767" spans="1:30" ht="6.75" customHeight="1" x14ac:dyDescent="0.25">
      <c r="A767" s="85">
        <v>767</v>
      </c>
      <c r="B767" s="59" t="s">
        <v>5419</v>
      </c>
      <c r="C767" s="59" t="s">
        <v>3394</v>
      </c>
      <c r="D767" s="60" t="s">
        <v>3395</v>
      </c>
      <c r="E767" s="59" t="s">
        <v>3527</v>
      </c>
      <c r="F767" s="61" t="s">
        <v>3555</v>
      </c>
      <c r="G767" s="81" t="s">
        <v>692</v>
      </c>
      <c r="H767" s="81" t="s">
        <v>692</v>
      </c>
      <c r="I767" s="81" t="s">
        <v>692</v>
      </c>
      <c r="J767" s="81" t="s">
        <v>692</v>
      </c>
      <c r="K767" s="81" t="s">
        <v>692</v>
      </c>
      <c r="L767" s="53" t="str">
        <f t="shared" si="72"/>
        <v>Insumos</v>
      </c>
      <c r="M767" s="53" t="str">
        <f t="shared" si="72"/>
        <v>Insumos.Elétricos</v>
      </c>
      <c r="N767" s="53" t="str">
        <f t="shared" si="74"/>
        <v>Fontes Elétricas</v>
      </c>
      <c r="O767" s="53" t="str">
        <f t="shared" si="74"/>
        <v>Fonte de Energia</v>
      </c>
      <c r="P767" s="54" t="s">
        <v>3556</v>
      </c>
      <c r="Q767" s="54" t="s">
        <v>3557</v>
      </c>
      <c r="R767" s="54" t="s">
        <v>6742</v>
      </c>
      <c r="S767" s="54" t="s">
        <v>692</v>
      </c>
      <c r="T767" s="55" t="str">
        <f t="shared" si="73"/>
        <v>Insumos</v>
      </c>
      <c r="U767" s="55" t="str">
        <f t="shared" si="73"/>
        <v>Insumos Elétricos</v>
      </c>
      <c r="V767" s="55" t="str">
        <f t="shared" si="73"/>
        <v>Fontes Elétricas</v>
      </c>
      <c r="W767" s="54" t="s">
        <v>7259</v>
      </c>
      <c r="X767" s="84" t="str">
        <f t="shared" si="71"/>
        <v>Key-COD-CT-767</v>
      </c>
      <c r="Y767" s="84" t="s">
        <v>5996</v>
      </c>
      <c r="Z767" s="84" t="s">
        <v>692</v>
      </c>
      <c r="AA767" s="84" t="s">
        <v>5958</v>
      </c>
      <c r="AB767" s="84" t="s">
        <v>692</v>
      </c>
      <c r="AC767" s="84" t="s">
        <v>692</v>
      </c>
      <c r="AD767" s="54" t="s">
        <v>692</v>
      </c>
    </row>
    <row r="768" spans="1:30" ht="6.75" customHeight="1" x14ac:dyDescent="0.25">
      <c r="A768" s="85">
        <v>768</v>
      </c>
      <c r="B768" s="59" t="s">
        <v>5419</v>
      </c>
      <c r="C768" s="59" t="s">
        <v>3394</v>
      </c>
      <c r="D768" s="60" t="s">
        <v>3558</v>
      </c>
      <c r="E768" s="59" t="s">
        <v>3559</v>
      </c>
      <c r="F768" s="61" t="s">
        <v>134</v>
      </c>
      <c r="G768" s="81" t="s">
        <v>692</v>
      </c>
      <c r="H768" s="81" t="s">
        <v>692</v>
      </c>
      <c r="I768" s="81" t="s">
        <v>692</v>
      </c>
      <c r="J768" s="81" t="s">
        <v>692</v>
      </c>
      <c r="K768" s="81" t="s">
        <v>692</v>
      </c>
      <c r="L768" s="53" t="str">
        <f t="shared" si="72"/>
        <v>Insumos</v>
      </c>
      <c r="M768" s="53" t="str">
        <f t="shared" si="72"/>
        <v>Insumo.Armazenamento</v>
      </c>
      <c r="N768" s="53" t="str">
        <f t="shared" si="74"/>
        <v>Tanques</v>
      </c>
      <c r="O768" s="53" t="str">
        <f t="shared" si="74"/>
        <v>Tanque</v>
      </c>
      <c r="P768" s="54" t="s">
        <v>3560</v>
      </c>
      <c r="Q768" s="54" t="s">
        <v>3561</v>
      </c>
      <c r="R768" s="54" t="s">
        <v>6743</v>
      </c>
      <c r="S768" s="54" t="s">
        <v>692</v>
      </c>
      <c r="T768" s="55" t="str">
        <f t="shared" si="73"/>
        <v>Insumos</v>
      </c>
      <c r="U768" s="55" t="str">
        <f t="shared" si="73"/>
        <v>Insumo Armazenamento</v>
      </c>
      <c r="V768" s="55" t="str">
        <f t="shared" si="73"/>
        <v>Tanques</v>
      </c>
      <c r="W768" s="54" t="s">
        <v>7259</v>
      </c>
      <c r="X768" s="84" t="str">
        <f t="shared" si="71"/>
        <v>Key-COD-CT-768</v>
      </c>
      <c r="Y768" s="84" t="s">
        <v>6001</v>
      </c>
      <c r="Z768" s="84" t="s">
        <v>692</v>
      </c>
      <c r="AA768" s="84" t="s">
        <v>5959</v>
      </c>
      <c r="AB768" s="84" t="s">
        <v>692</v>
      </c>
      <c r="AC768" s="84" t="s">
        <v>692</v>
      </c>
      <c r="AD768" s="54" t="s">
        <v>692</v>
      </c>
    </row>
    <row r="769" spans="1:30" ht="6.75" customHeight="1" x14ac:dyDescent="0.25">
      <c r="A769" s="85">
        <v>769</v>
      </c>
      <c r="B769" s="59" t="s">
        <v>5419</v>
      </c>
      <c r="C769" s="59" t="s">
        <v>3394</v>
      </c>
      <c r="D769" s="60" t="s">
        <v>3558</v>
      </c>
      <c r="E769" s="59" t="s">
        <v>3559</v>
      </c>
      <c r="F769" s="61" t="s">
        <v>3562</v>
      </c>
      <c r="G769" s="81" t="s">
        <v>692</v>
      </c>
      <c r="H769" s="81" t="s">
        <v>692</v>
      </c>
      <c r="I769" s="81" t="s">
        <v>692</v>
      </c>
      <c r="J769" s="81" t="s">
        <v>692</v>
      </c>
      <c r="K769" s="81" t="s">
        <v>692</v>
      </c>
      <c r="L769" s="53" t="str">
        <f t="shared" si="72"/>
        <v>Insumos</v>
      </c>
      <c r="M769" s="53" t="str">
        <f t="shared" si="72"/>
        <v>Insumo.Armazenamento</v>
      </c>
      <c r="N769" s="53" t="str">
        <f t="shared" si="74"/>
        <v>Tanques</v>
      </c>
      <c r="O769" s="53" t="str">
        <f t="shared" si="74"/>
        <v>Reservatório Aberto</v>
      </c>
      <c r="P769" s="54" t="s">
        <v>3563</v>
      </c>
      <c r="Q769" s="54" t="s">
        <v>3564</v>
      </c>
      <c r="R769" s="54" t="s">
        <v>6744</v>
      </c>
      <c r="S769" s="54" t="s">
        <v>692</v>
      </c>
      <c r="T769" s="55" t="str">
        <f t="shared" si="73"/>
        <v>Insumos</v>
      </c>
      <c r="U769" s="55" t="str">
        <f t="shared" si="73"/>
        <v>Insumo Armazenamento</v>
      </c>
      <c r="V769" s="55" t="str">
        <f t="shared" si="73"/>
        <v>Tanques</v>
      </c>
      <c r="W769" s="54" t="s">
        <v>7259</v>
      </c>
      <c r="X769" s="84" t="str">
        <f t="shared" si="71"/>
        <v>Key-COD-CT-769</v>
      </c>
      <c r="Y769" s="84" t="s">
        <v>6001</v>
      </c>
      <c r="Z769" s="84" t="s">
        <v>692</v>
      </c>
      <c r="AA769" s="84" t="s">
        <v>5960</v>
      </c>
      <c r="AB769" s="84" t="s">
        <v>692</v>
      </c>
      <c r="AC769" s="84" t="s">
        <v>692</v>
      </c>
      <c r="AD769" s="54" t="s">
        <v>692</v>
      </c>
    </row>
    <row r="770" spans="1:30" ht="6.75" customHeight="1" x14ac:dyDescent="0.25">
      <c r="A770" s="85">
        <v>770</v>
      </c>
      <c r="B770" s="59" t="s">
        <v>5419</v>
      </c>
      <c r="C770" s="59" t="s">
        <v>3394</v>
      </c>
      <c r="D770" s="60" t="s">
        <v>3558</v>
      </c>
      <c r="E770" s="59" t="s">
        <v>3559</v>
      </c>
      <c r="F770" s="61" t="s">
        <v>3565</v>
      </c>
      <c r="G770" s="81" t="s">
        <v>692</v>
      </c>
      <c r="H770" s="81" t="s">
        <v>692</v>
      </c>
      <c r="I770" s="81" t="s">
        <v>692</v>
      </c>
      <c r="J770" s="81" t="s">
        <v>692</v>
      </c>
      <c r="K770" s="81" t="s">
        <v>692</v>
      </c>
      <c r="L770" s="53" t="str">
        <f t="shared" si="72"/>
        <v>Insumos</v>
      </c>
      <c r="M770" s="53" t="str">
        <f t="shared" si="72"/>
        <v>Insumo.Armazenamento</v>
      </c>
      <c r="N770" s="53" t="str">
        <f t="shared" si="74"/>
        <v>Tanques</v>
      </c>
      <c r="O770" s="53" t="str">
        <f t="shared" si="74"/>
        <v>Reservatório Fechado</v>
      </c>
      <c r="P770" s="54" t="s">
        <v>3566</v>
      </c>
      <c r="Q770" s="54" t="s">
        <v>3567</v>
      </c>
      <c r="R770" s="54" t="s">
        <v>6745</v>
      </c>
      <c r="S770" s="54" t="s">
        <v>692</v>
      </c>
      <c r="T770" s="55" t="str">
        <f t="shared" si="73"/>
        <v>Insumos</v>
      </c>
      <c r="U770" s="55" t="str">
        <f t="shared" si="73"/>
        <v>Insumo Armazenamento</v>
      </c>
      <c r="V770" s="55" t="str">
        <f t="shared" si="73"/>
        <v>Tanques</v>
      </c>
      <c r="W770" s="54" t="s">
        <v>7259</v>
      </c>
      <c r="X770" s="84" t="str">
        <f t="shared" si="71"/>
        <v>Key-COD-CT-770</v>
      </c>
      <c r="Y770" s="84" t="s">
        <v>6001</v>
      </c>
      <c r="Z770" s="84" t="s">
        <v>692</v>
      </c>
      <c r="AA770" s="84" t="s">
        <v>5961</v>
      </c>
      <c r="AB770" s="84" t="s">
        <v>692</v>
      </c>
      <c r="AC770" s="84" t="s">
        <v>692</v>
      </c>
      <c r="AD770" s="54" t="s">
        <v>692</v>
      </c>
    </row>
    <row r="771" spans="1:30" ht="6.75" customHeight="1" x14ac:dyDescent="0.25">
      <c r="A771" s="85">
        <v>771</v>
      </c>
      <c r="B771" s="59" t="s">
        <v>5419</v>
      </c>
      <c r="C771" s="59" t="s">
        <v>3394</v>
      </c>
      <c r="D771" s="60" t="s">
        <v>3558</v>
      </c>
      <c r="E771" s="59" t="s">
        <v>3559</v>
      </c>
      <c r="F771" s="61" t="s">
        <v>3568</v>
      </c>
      <c r="G771" s="81" t="s">
        <v>692</v>
      </c>
      <c r="H771" s="81" t="s">
        <v>692</v>
      </c>
      <c r="I771" s="81" t="s">
        <v>692</v>
      </c>
      <c r="J771" s="81" t="s">
        <v>692</v>
      </c>
      <c r="K771" s="81" t="s">
        <v>692</v>
      </c>
      <c r="L771" s="53" t="str">
        <f t="shared" si="72"/>
        <v>Insumos</v>
      </c>
      <c r="M771" s="53" t="str">
        <f t="shared" si="72"/>
        <v>Insumo.Armazenamento</v>
      </c>
      <c r="N771" s="53" t="str">
        <f t="shared" si="74"/>
        <v>Tanques</v>
      </c>
      <c r="O771" s="53" t="str">
        <f t="shared" si="74"/>
        <v>Tanque de Pressão</v>
      </c>
      <c r="P771" s="54" t="s">
        <v>3569</v>
      </c>
      <c r="Q771" s="54" t="s">
        <v>3570</v>
      </c>
      <c r="R771" s="54" t="s">
        <v>6746</v>
      </c>
      <c r="S771" s="54" t="s">
        <v>692</v>
      </c>
      <c r="T771" s="55" t="str">
        <f t="shared" si="73"/>
        <v>Insumos</v>
      </c>
      <c r="U771" s="55" t="str">
        <f t="shared" si="73"/>
        <v>Insumo Armazenamento</v>
      </c>
      <c r="V771" s="55" t="str">
        <f t="shared" si="73"/>
        <v>Tanques</v>
      </c>
      <c r="W771" s="54" t="s">
        <v>7259</v>
      </c>
      <c r="X771" s="84" t="str">
        <f t="shared" ref="X771:X834" si="75">CONCATENATE("Key-COD-CT-",A771)</f>
        <v>Key-COD-CT-771</v>
      </c>
      <c r="Y771" s="84" t="s">
        <v>6001</v>
      </c>
      <c r="Z771" s="84" t="s">
        <v>692</v>
      </c>
      <c r="AA771" s="84" t="s">
        <v>5962</v>
      </c>
      <c r="AB771" s="84" t="s">
        <v>692</v>
      </c>
      <c r="AC771" s="84" t="s">
        <v>692</v>
      </c>
      <c r="AD771" s="54" t="s">
        <v>692</v>
      </c>
    </row>
    <row r="772" spans="1:30" ht="6.75" customHeight="1" x14ac:dyDescent="0.25">
      <c r="A772" s="85">
        <v>772</v>
      </c>
      <c r="B772" s="59" t="s">
        <v>5419</v>
      </c>
      <c r="C772" s="59" t="s">
        <v>3394</v>
      </c>
      <c r="D772" s="60" t="s">
        <v>3558</v>
      </c>
      <c r="E772" s="59" t="s">
        <v>3559</v>
      </c>
      <c r="F772" s="61" t="s">
        <v>3571</v>
      </c>
      <c r="G772" s="81" t="s">
        <v>692</v>
      </c>
      <c r="H772" s="81" t="s">
        <v>692</v>
      </c>
      <c r="I772" s="81" t="s">
        <v>692</v>
      </c>
      <c r="J772" s="81" t="s">
        <v>692</v>
      </c>
      <c r="K772" s="81" t="s">
        <v>692</v>
      </c>
      <c r="L772" s="53" t="str">
        <f t="shared" si="72"/>
        <v>Insumos</v>
      </c>
      <c r="M772" s="53" t="str">
        <f t="shared" si="72"/>
        <v>Insumo.Armazenamento</v>
      </c>
      <c r="N772" s="53" t="str">
        <f t="shared" si="74"/>
        <v>Tanques</v>
      </c>
      <c r="O772" s="53" t="str">
        <f t="shared" si="74"/>
        <v>Tanque de Expansão</v>
      </c>
      <c r="P772" s="54" t="s">
        <v>3572</v>
      </c>
      <c r="Q772" s="54" t="s">
        <v>3573</v>
      </c>
      <c r="R772" s="54" t="s">
        <v>6747</v>
      </c>
      <c r="S772" s="54" t="s">
        <v>692</v>
      </c>
      <c r="T772" s="55" t="str">
        <f t="shared" si="73"/>
        <v>Insumos</v>
      </c>
      <c r="U772" s="55" t="str">
        <f t="shared" si="73"/>
        <v>Insumo Armazenamento</v>
      </c>
      <c r="V772" s="55" t="str">
        <f t="shared" si="73"/>
        <v>Tanques</v>
      </c>
      <c r="W772" s="54" t="s">
        <v>7259</v>
      </c>
      <c r="X772" s="84" t="str">
        <f t="shared" si="75"/>
        <v>Key-COD-CT-772</v>
      </c>
      <c r="Y772" s="84" t="s">
        <v>6001</v>
      </c>
      <c r="Z772" s="84" t="s">
        <v>692</v>
      </c>
      <c r="AA772" s="84" t="s">
        <v>5963</v>
      </c>
      <c r="AB772" s="84" t="s">
        <v>692</v>
      </c>
      <c r="AC772" s="84" t="s">
        <v>692</v>
      </c>
      <c r="AD772" s="54" t="s">
        <v>692</v>
      </c>
    </row>
    <row r="773" spans="1:30" ht="6.75" customHeight="1" x14ac:dyDescent="0.25">
      <c r="A773" s="85">
        <v>773</v>
      </c>
      <c r="B773" s="59" t="s">
        <v>5419</v>
      </c>
      <c r="C773" s="59" t="s">
        <v>3394</v>
      </c>
      <c r="D773" s="60" t="s">
        <v>3558</v>
      </c>
      <c r="E773" s="59" t="s">
        <v>3559</v>
      </c>
      <c r="F773" s="61" t="s">
        <v>3574</v>
      </c>
      <c r="G773" s="81" t="s">
        <v>692</v>
      </c>
      <c r="H773" s="81" t="s">
        <v>692</v>
      </c>
      <c r="I773" s="81" t="s">
        <v>692</v>
      </c>
      <c r="J773" s="81" t="s">
        <v>692</v>
      </c>
      <c r="K773" s="81" t="s">
        <v>692</v>
      </c>
      <c r="L773" s="53" t="str">
        <f t="shared" si="72"/>
        <v>Insumos</v>
      </c>
      <c r="M773" s="53" t="str">
        <f t="shared" si="72"/>
        <v>Insumo.Armazenamento</v>
      </c>
      <c r="N773" s="53" t="str">
        <f t="shared" si="74"/>
        <v>Tanques</v>
      </c>
      <c r="O773" s="53" t="str">
        <f t="shared" si="74"/>
        <v>Tanque de Expansão e Alimentação</v>
      </c>
      <c r="P773" s="54" t="s">
        <v>3575</v>
      </c>
      <c r="Q773" s="54" t="s">
        <v>3576</v>
      </c>
      <c r="R773" s="54" t="s">
        <v>6748</v>
      </c>
      <c r="S773" s="54" t="s">
        <v>692</v>
      </c>
      <c r="T773" s="55" t="str">
        <f t="shared" si="73"/>
        <v>Insumos</v>
      </c>
      <c r="U773" s="55" t="str">
        <f t="shared" si="73"/>
        <v>Insumo Armazenamento</v>
      </c>
      <c r="V773" s="55" t="str">
        <f t="shared" si="73"/>
        <v>Tanques</v>
      </c>
      <c r="W773" s="54" t="s">
        <v>7259</v>
      </c>
      <c r="X773" s="84" t="str">
        <f t="shared" si="75"/>
        <v>Key-COD-CT-773</v>
      </c>
      <c r="Y773" s="84" t="s">
        <v>6001</v>
      </c>
      <c r="Z773" s="84" t="s">
        <v>692</v>
      </c>
      <c r="AA773" s="84" t="s">
        <v>5964</v>
      </c>
      <c r="AB773" s="84" t="s">
        <v>692</v>
      </c>
      <c r="AC773" s="84" t="s">
        <v>692</v>
      </c>
      <c r="AD773" s="54" t="s">
        <v>692</v>
      </c>
    </row>
    <row r="774" spans="1:30" ht="6.75" customHeight="1" x14ac:dyDescent="0.25">
      <c r="A774" s="85">
        <v>774</v>
      </c>
      <c r="B774" s="59" t="s">
        <v>5419</v>
      </c>
      <c r="C774" s="59" t="s">
        <v>3394</v>
      </c>
      <c r="D774" s="60" t="s">
        <v>3558</v>
      </c>
      <c r="E774" s="59" t="s">
        <v>3559</v>
      </c>
      <c r="F774" s="61" t="s">
        <v>3577</v>
      </c>
      <c r="G774" s="81" t="s">
        <v>692</v>
      </c>
      <c r="H774" s="81" t="s">
        <v>692</v>
      </c>
      <c r="I774" s="81" t="s">
        <v>692</v>
      </c>
      <c r="J774" s="81" t="s">
        <v>692</v>
      </c>
      <c r="K774" s="81" t="s">
        <v>692</v>
      </c>
      <c r="L774" s="53" t="str">
        <f t="shared" si="72"/>
        <v>Insumos</v>
      </c>
      <c r="M774" s="53" t="str">
        <f t="shared" si="72"/>
        <v>Insumo.Armazenamento</v>
      </c>
      <c r="N774" s="53" t="str">
        <f t="shared" si="74"/>
        <v>Tanques</v>
      </c>
      <c r="O774" s="53" t="str">
        <f t="shared" si="74"/>
        <v>Bandeja de Retenção de Óleo</v>
      </c>
      <c r="P774" s="54" t="s">
        <v>3578</v>
      </c>
      <c r="Q774" s="54" t="s">
        <v>3579</v>
      </c>
      <c r="R774" s="54" t="s">
        <v>6749</v>
      </c>
      <c r="S774" s="54" t="s">
        <v>692</v>
      </c>
      <c r="T774" s="55" t="str">
        <f t="shared" si="73"/>
        <v>Insumos</v>
      </c>
      <c r="U774" s="55" t="str">
        <f t="shared" si="73"/>
        <v>Insumo Armazenamento</v>
      </c>
      <c r="V774" s="55" t="str">
        <f t="shared" si="73"/>
        <v>Tanques</v>
      </c>
      <c r="W774" s="54" t="s">
        <v>7259</v>
      </c>
      <c r="X774" s="84" t="str">
        <f t="shared" si="75"/>
        <v>Key-COD-CT-774</v>
      </c>
      <c r="Y774" s="84" t="s">
        <v>6001</v>
      </c>
      <c r="Z774" s="84" t="s">
        <v>692</v>
      </c>
      <c r="AA774" s="84" t="s">
        <v>5965</v>
      </c>
      <c r="AB774" s="84" t="s">
        <v>692</v>
      </c>
      <c r="AC774" s="84" t="s">
        <v>692</v>
      </c>
      <c r="AD774" s="54" t="s">
        <v>692</v>
      </c>
    </row>
    <row r="775" spans="1:30" ht="6.75" customHeight="1" x14ac:dyDescent="0.25">
      <c r="A775" s="85">
        <v>775</v>
      </c>
      <c r="B775" s="59" t="s">
        <v>5419</v>
      </c>
      <c r="C775" s="59" t="s">
        <v>3394</v>
      </c>
      <c r="D775" s="60" t="s">
        <v>3558</v>
      </c>
      <c r="E775" s="59" t="s">
        <v>3559</v>
      </c>
      <c r="F775" s="61" t="s">
        <v>3580</v>
      </c>
      <c r="G775" s="81" t="s">
        <v>692</v>
      </c>
      <c r="H775" s="81" t="s">
        <v>692</v>
      </c>
      <c r="I775" s="81" t="s">
        <v>692</v>
      </c>
      <c r="J775" s="81" t="s">
        <v>692</v>
      </c>
      <c r="K775" s="81" t="s">
        <v>692</v>
      </c>
      <c r="L775" s="53" t="str">
        <f t="shared" ref="L775:M790" si="76">CONCATENATE("", C775)</f>
        <v>Insumos</v>
      </c>
      <c r="M775" s="53" t="str">
        <f t="shared" si="76"/>
        <v>Insumo.Armazenamento</v>
      </c>
      <c r="N775" s="53" t="str">
        <f t="shared" si="74"/>
        <v>Tanques</v>
      </c>
      <c r="O775" s="53" t="str">
        <f t="shared" si="74"/>
        <v>Vaso de Pressão</v>
      </c>
      <c r="P775" s="54" t="s">
        <v>3581</v>
      </c>
      <c r="Q775" s="54" t="s">
        <v>3582</v>
      </c>
      <c r="R775" s="54" t="s">
        <v>6750</v>
      </c>
      <c r="S775" s="54" t="s">
        <v>692</v>
      </c>
      <c r="T775" s="55" t="str">
        <f t="shared" si="73"/>
        <v>Insumos</v>
      </c>
      <c r="U775" s="55" t="str">
        <f t="shared" si="73"/>
        <v>Insumo Armazenamento</v>
      </c>
      <c r="V775" s="55" t="str">
        <f t="shared" si="73"/>
        <v>Tanques</v>
      </c>
      <c r="W775" s="54" t="s">
        <v>7259</v>
      </c>
      <c r="X775" s="84" t="str">
        <f t="shared" si="75"/>
        <v>Key-COD-CT-775</v>
      </c>
      <c r="Y775" s="84" t="s">
        <v>6001</v>
      </c>
      <c r="Z775" s="84" t="s">
        <v>692</v>
      </c>
      <c r="AA775" s="84" t="s">
        <v>5966</v>
      </c>
      <c r="AB775" s="84" t="s">
        <v>692</v>
      </c>
      <c r="AC775" s="84" t="s">
        <v>692</v>
      </c>
      <c r="AD775" s="54" t="s">
        <v>692</v>
      </c>
    </row>
    <row r="776" spans="1:30" ht="6.75" customHeight="1" x14ac:dyDescent="0.25">
      <c r="A776" s="85">
        <v>776</v>
      </c>
      <c r="B776" s="59" t="s">
        <v>5419</v>
      </c>
      <c r="C776" s="59" t="s">
        <v>3394</v>
      </c>
      <c r="D776" s="60" t="s">
        <v>3558</v>
      </c>
      <c r="E776" s="59" t="s">
        <v>3559</v>
      </c>
      <c r="F776" s="61" t="s">
        <v>3583</v>
      </c>
      <c r="G776" s="81" t="s">
        <v>692</v>
      </c>
      <c r="H776" s="81" t="s">
        <v>692</v>
      </c>
      <c r="I776" s="81" t="s">
        <v>692</v>
      </c>
      <c r="J776" s="81" t="s">
        <v>692</v>
      </c>
      <c r="K776" s="81" t="s">
        <v>692</v>
      </c>
      <c r="L776" s="53" t="str">
        <f t="shared" si="76"/>
        <v>Insumos</v>
      </c>
      <c r="M776" s="53" t="str">
        <f t="shared" si="76"/>
        <v>Insumo.Armazenamento</v>
      </c>
      <c r="N776" s="53" t="str">
        <f t="shared" si="74"/>
        <v>Tanques</v>
      </c>
      <c r="O776" s="53" t="str">
        <f t="shared" si="74"/>
        <v>Vaso de Contenção</v>
      </c>
      <c r="P776" s="54" t="s">
        <v>3584</v>
      </c>
      <c r="Q776" s="54" t="s">
        <v>3585</v>
      </c>
      <c r="R776" s="54" t="s">
        <v>6751</v>
      </c>
      <c r="S776" s="54" t="s">
        <v>692</v>
      </c>
      <c r="T776" s="55" t="str">
        <f t="shared" si="73"/>
        <v>Insumos</v>
      </c>
      <c r="U776" s="55" t="str">
        <f t="shared" si="73"/>
        <v>Insumo Armazenamento</v>
      </c>
      <c r="V776" s="55" t="str">
        <f t="shared" si="73"/>
        <v>Tanques</v>
      </c>
      <c r="W776" s="54" t="s">
        <v>7259</v>
      </c>
      <c r="X776" s="84" t="str">
        <f t="shared" si="75"/>
        <v>Key-COD-CT-776</v>
      </c>
      <c r="Y776" s="84" t="s">
        <v>6001</v>
      </c>
      <c r="Z776" s="84" t="s">
        <v>692</v>
      </c>
      <c r="AA776" s="84" t="s">
        <v>5967</v>
      </c>
      <c r="AB776" s="84" t="s">
        <v>692</v>
      </c>
      <c r="AC776" s="84" t="s">
        <v>692</v>
      </c>
      <c r="AD776" s="54" t="s">
        <v>692</v>
      </c>
    </row>
    <row r="777" spans="1:30" ht="6.75" customHeight="1" x14ac:dyDescent="0.25">
      <c r="A777" s="85">
        <v>777</v>
      </c>
      <c r="B777" s="59" t="s">
        <v>5419</v>
      </c>
      <c r="C777" s="59" t="s">
        <v>3394</v>
      </c>
      <c r="D777" s="60" t="s">
        <v>3586</v>
      </c>
      <c r="E777" s="59" t="s">
        <v>3587</v>
      </c>
      <c r="F777" s="61" t="s">
        <v>3588</v>
      </c>
      <c r="G777" s="81" t="s">
        <v>692</v>
      </c>
      <c r="H777" s="81" t="s">
        <v>692</v>
      </c>
      <c r="I777" s="81" t="s">
        <v>3589</v>
      </c>
      <c r="J777" s="81" t="s">
        <v>3590</v>
      </c>
      <c r="K777" s="81" t="s">
        <v>692</v>
      </c>
      <c r="L777" s="53" t="str">
        <f t="shared" si="76"/>
        <v>Insumos</v>
      </c>
      <c r="M777" s="53" t="str">
        <f t="shared" si="76"/>
        <v>Insumo.Consumo</v>
      </c>
      <c r="N777" s="53" t="str">
        <f t="shared" si="74"/>
        <v>Medidores</v>
      </c>
      <c r="O777" s="53" t="str">
        <f t="shared" si="74"/>
        <v>Medidor</v>
      </c>
      <c r="P777" s="54" t="s">
        <v>3591</v>
      </c>
      <c r="Q777" s="54" t="s">
        <v>3592</v>
      </c>
      <c r="R777" s="54" t="s">
        <v>6752</v>
      </c>
      <c r="S777" s="54" t="s">
        <v>692</v>
      </c>
      <c r="T777" s="55" t="str">
        <f t="shared" si="73"/>
        <v>Insumos</v>
      </c>
      <c r="U777" s="55" t="str">
        <f t="shared" si="73"/>
        <v>Insumo Consumo</v>
      </c>
      <c r="V777" s="55" t="str">
        <f t="shared" si="73"/>
        <v>Medidores</v>
      </c>
      <c r="W777" s="54" t="s">
        <v>7259</v>
      </c>
      <c r="X777" s="84" t="str">
        <f t="shared" si="75"/>
        <v>Key-COD-CT-777</v>
      </c>
      <c r="Y777" s="84" t="s">
        <v>5459</v>
      </c>
      <c r="Z777" s="84" t="s">
        <v>692</v>
      </c>
      <c r="AA777" s="84" t="s">
        <v>5968</v>
      </c>
      <c r="AB777" s="84" t="s">
        <v>692</v>
      </c>
      <c r="AC777" s="84" t="s">
        <v>692</v>
      </c>
      <c r="AD777" s="54" t="s">
        <v>692</v>
      </c>
    </row>
    <row r="778" spans="1:30" ht="6.75" customHeight="1" x14ac:dyDescent="0.25">
      <c r="A778" s="85">
        <v>778</v>
      </c>
      <c r="B778" s="59" t="s">
        <v>5419</v>
      </c>
      <c r="C778" s="59" t="s">
        <v>3394</v>
      </c>
      <c r="D778" s="60" t="s">
        <v>3586</v>
      </c>
      <c r="E778" s="59" t="s">
        <v>3587</v>
      </c>
      <c r="F778" s="61" t="s">
        <v>3593</v>
      </c>
      <c r="G778" s="81" t="s">
        <v>692</v>
      </c>
      <c r="H778" s="81" t="s">
        <v>692</v>
      </c>
      <c r="I778" s="81" t="s">
        <v>692</v>
      </c>
      <c r="J778" s="81" t="s">
        <v>692</v>
      </c>
      <c r="K778" s="81" t="s">
        <v>692</v>
      </c>
      <c r="L778" s="53" t="str">
        <f t="shared" si="76"/>
        <v>Insumos</v>
      </c>
      <c r="M778" s="53" t="str">
        <f t="shared" si="76"/>
        <v>Insumo.Consumo</v>
      </c>
      <c r="N778" s="53" t="str">
        <f t="shared" si="74"/>
        <v>Medidores</v>
      </c>
      <c r="O778" s="53" t="str">
        <f t="shared" si="74"/>
        <v>Medidor de Dados</v>
      </c>
      <c r="P778" s="54" t="s">
        <v>3594</v>
      </c>
      <c r="Q778" s="54" t="s">
        <v>3595</v>
      </c>
      <c r="R778" s="54" t="s">
        <v>6753</v>
      </c>
      <c r="S778" s="54" t="s">
        <v>692</v>
      </c>
      <c r="T778" s="55" t="str">
        <f t="shared" si="73"/>
        <v>Insumos</v>
      </c>
      <c r="U778" s="55" t="str">
        <f t="shared" si="73"/>
        <v>Insumo Consumo</v>
      </c>
      <c r="V778" s="55" t="str">
        <f t="shared" si="73"/>
        <v>Medidores</v>
      </c>
      <c r="W778" s="54" t="s">
        <v>7259</v>
      </c>
      <c r="X778" s="84" t="str">
        <f t="shared" si="75"/>
        <v>Key-COD-CT-778</v>
      </c>
      <c r="Y778" s="84" t="s">
        <v>5459</v>
      </c>
      <c r="Z778" s="84" t="s">
        <v>692</v>
      </c>
      <c r="AA778" s="84" t="s">
        <v>5968</v>
      </c>
      <c r="AB778" s="84" t="s">
        <v>692</v>
      </c>
      <c r="AC778" s="84" t="s">
        <v>692</v>
      </c>
      <c r="AD778" s="54" t="s">
        <v>692</v>
      </c>
    </row>
    <row r="779" spans="1:30" ht="6.75" customHeight="1" x14ac:dyDescent="0.25">
      <c r="A779" s="85">
        <v>779</v>
      </c>
      <c r="B779" s="59" t="s">
        <v>5419</v>
      </c>
      <c r="C779" s="59" t="s">
        <v>3394</v>
      </c>
      <c r="D779" s="60" t="s">
        <v>3586</v>
      </c>
      <c r="E779" s="59" t="s">
        <v>3587</v>
      </c>
      <c r="F779" s="61" t="s">
        <v>3596</v>
      </c>
      <c r="G779" s="81" t="s">
        <v>692</v>
      </c>
      <c r="H779" s="81" t="s">
        <v>692</v>
      </c>
      <c r="I779" s="81" t="s">
        <v>692</v>
      </c>
      <c r="J779" s="81" t="s">
        <v>692</v>
      </c>
      <c r="K779" s="81" t="s">
        <v>692</v>
      </c>
      <c r="L779" s="53" t="str">
        <f t="shared" si="76"/>
        <v>Insumos</v>
      </c>
      <c r="M779" s="53" t="str">
        <f t="shared" si="76"/>
        <v>Insumo.Consumo</v>
      </c>
      <c r="N779" s="53" t="str">
        <f t="shared" si="74"/>
        <v>Medidores</v>
      </c>
      <c r="O779" s="53" t="str">
        <f t="shared" si="74"/>
        <v>Medidor de Elétrica Convencional</v>
      </c>
      <c r="P779" s="54" t="s">
        <v>3597</v>
      </c>
      <c r="Q779" s="54" t="s">
        <v>3598</v>
      </c>
      <c r="R779" s="54" t="s">
        <v>6754</v>
      </c>
      <c r="S779" s="54" t="s">
        <v>692</v>
      </c>
      <c r="T779" s="55" t="str">
        <f t="shared" si="73"/>
        <v>Insumos</v>
      </c>
      <c r="U779" s="55" t="str">
        <f t="shared" si="73"/>
        <v>Insumo Consumo</v>
      </c>
      <c r="V779" s="55" t="str">
        <f t="shared" si="73"/>
        <v>Medidores</v>
      </c>
      <c r="W779" s="54" t="s">
        <v>7259</v>
      </c>
      <c r="X779" s="84" t="str">
        <f t="shared" si="75"/>
        <v>Key-COD-CT-779</v>
      </c>
      <c r="Y779" s="84" t="s">
        <v>5996</v>
      </c>
      <c r="Z779" s="84" t="s">
        <v>692</v>
      </c>
      <c r="AA779" s="84" t="s">
        <v>5969</v>
      </c>
      <c r="AB779" s="84" t="s">
        <v>692</v>
      </c>
      <c r="AC779" s="84" t="s">
        <v>692</v>
      </c>
      <c r="AD779" s="54" t="s">
        <v>692</v>
      </c>
    </row>
    <row r="780" spans="1:30" ht="6.75" customHeight="1" x14ac:dyDescent="0.25">
      <c r="A780" s="85">
        <v>780</v>
      </c>
      <c r="B780" s="59" t="s">
        <v>5419</v>
      </c>
      <c r="C780" s="59" t="s">
        <v>3394</v>
      </c>
      <c r="D780" s="60" t="s">
        <v>3586</v>
      </c>
      <c r="E780" s="59" t="s">
        <v>3587</v>
      </c>
      <c r="F780" s="61" t="s">
        <v>3599</v>
      </c>
      <c r="G780" s="81" t="s">
        <v>692</v>
      </c>
      <c r="H780" s="81" t="s">
        <v>692</v>
      </c>
      <c r="I780" s="81" t="s">
        <v>692</v>
      </c>
      <c r="J780" s="81" t="s">
        <v>692</v>
      </c>
      <c r="K780" s="81" t="s">
        <v>692</v>
      </c>
      <c r="L780" s="53" t="str">
        <f t="shared" si="76"/>
        <v>Insumos</v>
      </c>
      <c r="M780" s="53" t="str">
        <f t="shared" si="76"/>
        <v>Insumo.Consumo</v>
      </c>
      <c r="N780" s="53" t="str">
        <f t="shared" si="74"/>
        <v>Medidores</v>
      </c>
      <c r="O780" s="53" t="str">
        <f t="shared" si="74"/>
        <v>Medidor de Elétrica Inteligente</v>
      </c>
      <c r="P780" s="54" t="s">
        <v>3600</v>
      </c>
      <c r="Q780" s="54" t="s">
        <v>3601</v>
      </c>
      <c r="R780" s="54" t="s">
        <v>6755</v>
      </c>
      <c r="S780" s="54" t="s">
        <v>692</v>
      </c>
      <c r="T780" s="55" t="str">
        <f t="shared" si="73"/>
        <v>Insumos</v>
      </c>
      <c r="U780" s="55" t="str">
        <f t="shared" si="73"/>
        <v>Insumo Consumo</v>
      </c>
      <c r="V780" s="55" t="str">
        <f t="shared" si="73"/>
        <v>Medidores</v>
      </c>
      <c r="W780" s="54" t="s">
        <v>7259</v>
      </c>
      <c r="X780" s="84" t="str">
        <f t="shared" si="75"/>
        <v>Key-COD-CT-780</v>
      </c>
      <c r="Y780" s="84" t="s">
        <v>5996</v>
      </c>
      <c r="Z780" s="84" t="s">
        <v>692</v>
      </c>
      <c r="AA780" s="84" t="s">
        <v>5969</v>
      </c>
      <c r="AB780" s="84" t="s">
        <v>692</v>
      </c>
      <c r="AC780" s="84" t="s">
        <v>692</v>
      </c>
      <c r="AD780" s="54" t="s">
        <v>692</v>
      </c>
    </row>
    <row r="781" spans="1:30" ht="6.75" customHeight="1" x14ac:dyDescent="0.25">
      <c r="A781" s="85">
        <v>781</v>
      </c>
      <c r="B781" s="59" t="s">
        <v>5419</v>
      </c>
      <c r="C781" s="59" t="s">
        <v>3394</v>
      </c>
      <c r="D781" s="60" t="s">
        <v>3586</v>
      </c>
      <c r="E781" s="59" t="s">
        <v>3587</v>
      </c>
      <c r="F781" s="61" t="s">
        <v>3602</v>
      </c>
      <c r="G781" s="81" t="s">
        <v>692</v>
      </c>
      <c r="H781" s="81" t="s">
        <v>692</v>
      </c>
      <c r="I781" s="81" t="s">
        <v>692</v>
      </c>
      <c r="J781" s="81" t="s">
        <v>692</v>
      </c>
      <c r="K781" s="81" t="s">
        <v>692</v>
      </c>
      <c r="L781" s="53" t="str">
        <f t="shared" si="76"/>
        <v>Insumos</v>
      </c>
      <c r="M781" s="53" t="str">
        <f t="shared" si="76"/>
        <v>Insumo.Consumo</v>
      </c>
      <c r="N781" s="53" t="str">
        <f t="shared" si="74"/>
        <v>Medidores</v>
      </c>
      <c r="O781" s="53" t="str">
        <f t="shared" si="74"/>
        <v>Medidor de Gás</v>
      </c>
      <c r="P781" s="54" t="s">
        <v>3603</v>
      </c>
      <c r="Q781" s="54" t="s">
        <v>3604</v>
      </c>
      <c r="R781" s="54" t="s">
        <v>6756</v>
      </c>
      <c r="S781" s="54" t="s">
        <v>692</v>
      </c>
      <c r="T781" s="55" t="str">
        <f t="shared" si="73"/>
        <v>Insumos</v>
      </c>
      <c r="U781" s="55" t="str">
        <f t="shared" si="73"/>
        <v>Insumo Consumo</v>
      </c>
      <c r="V781" s="55" t="str">
        <f t="shared" si="73"/>
        <v>Medidores</v>
      </c>
      <c r="W781" s="54" t="s">
        <v>7259</v>
      </c>
      <c r="X781" s="84" t="str">
        <f t="shared" si="75"/>
        <v>Key-COD-CT-781</v>
      </c>
      <c r="Y781" s="84" t="s">
        <v>5459</v>
      </c>
      <c r="Z781" s="84" t="s">
        <v>692</v>
      </c>
      <c r="AA781" s="84" t="s">
        <v>5970</v>
      </c>
      <c r="AB781" s="84" t="s">
        <v>692</v>
      </c>
      <c r="AC781" s="84" t="s">
        <v>692</v>
      </c>
      <c r="AD781" s="54" t="s">
        <v>692</v>
      </c>
    </row>
    <row r="782" spans="1:30" ht="6.75" customHeight="1" x14ac:dyDescent="0.25">
      <c r="A782" s="85">
        <v>782</v>
      </c>
      <c r="B782" s="59" t="s">
        <v>5419</v>
      </c>
      <c r="C782" s="59" t="s">
        <v>3394</v>
      </c>
      <c r="D782" s="60" t="s">
        <v>3586</v>
      </c>
      <c r="E782" s="59" t="s">
        <v>3587</v>
      </c>
      <c r="F782" s="61" t="s">
        <v>3605</v>
      </c>
      <c r="G782" s="81" t="s">
        <v>692</v>
      </c>
      <c r="H782" s="81" t="s">
        <v>692</v>
      </c>
      <c r="I782" s="81" t="s">
        <v>692</v>
      </c>
      <c r="J782" s="81" t="s">
        <v>692</v>
      </c>
      <c r="K782" s="81" t="s">
        <v>692</v>
      </c>
      <c r="L782" s="53" t="str">
        <f t="shared" si="76"/>
        <v>Insumos</v>
      </c>
      <c r="M782" s="53" t="str">
        <f t="shared" si="76"/>
        <v>Insumo.Consumo</v>
      </c>
      <c r="N782" s="53" t="str">
        <f t="shared" si="74"/>
        <v>Medidores</v>
      </c>
      <c r="O782" s="53" t="str">
        <f t="shared" si="74"/>
        <v>Medidor de Combustível Fóssil</v>
      </c>
      <c r="P782" s="54" t="s">
        <v>3606</v>
      </c>
      <c r="Q782" s="54" t="s">
        <v>3607</v>
      </c>
      <c r="R782" s="54" t="s">
        <v>6757</v>
      </c>
      <c r="S782" s="54" t="s">
        <v>692</v>
      </c>
      <c r="T782" s="55" t="str">
        <f t="shared" si="73"/>
        <v>Insumos</v>
      </c>
      <c r="U782" s="55" t="str">
        <f t="shared" si="73"/>
        <v>Insumo Consumo</v>
      </c>
      <c r="V782" s="55" t="str">
        <f t="shared" si="73"/>
        <v>Medidores</v>
      </c>
      <c r="W782" s="54" t="s">
        <v>7259</v>
      </c>
      <c r="X782" s="84" t="str">
        <f t="shared" si="75"/>
        <v>Key-COD-CT-782</v>
      </c>
      <c r="Y782" s="84" t="s">
        <v>5459</v>
      </c>
      <c r="Z782" s="84" t="s">
        <v>692</v>
      </c>
      <c r="AA782" s="84" t="s">
        <v>5971</v>
      </c>
      <c r="AB782" s="84" t="s">
        <v>692</v>
      </c>
      <c r="AC782" s="84" t="s">
        <v>692</v>
      </c>
      <c r="AD782" s="54" t="s">
        <v>692</v>
      </c>
    </row>
    <row r="783" spans="1:30" ht="6.75" customHeight="1" x14ac:dyDescent="0.25">
      <c r="A783" s="85">
        <v>783</v>
      </c>
      <c r="B783" s="59" t="s">
        <v>5419</v>
      </c>
      <c r="C783" s="59" t="s">
        <v>3394</v>
      </c>
      <c r="D783" s="60" t="s">
        <v>3586</v>
      </c>
      <c r="E783" s="59" t="s">
        <v>3587</v>
      </c>
      <c r="F783" s="61" t="s">
        <v>3608</v>
      </c>
      <c r="G783" s="81" t="s">
        <v>692</v>
      </c>
      <c r="H783" s="81" t="s">
        <v>692</v>
      </c>
      <c r="I783" s="81" t="s">
        <v>692</v>
      </c>
      <c r="J783" s="81" t="s">
        <v>692</v>
      </c>
      <c r="K783" s="81" t="s">
        <v>692</v>
      </c>
      <c r="L783" s="53" t="str">
        <f t="shared" si="76"/>
        <v>Insumos</v>
      </c>
      <c r="M783" s="53" t="str">
        <f t="shared" si="76"/>
        <v>Insumo.Consumo</v>
      </c>
      <c r="N783" s="53" t="str">
        <f t="shared" si="74"/>
        <v>Medidores</v>
      </c>
      <c r="O783" s="53" t="str">
        <f t="shared" si="74"/>
        <v>Medidor de Agua Residencial</v>
      </c>
      <c r="P783" s="54" t="s">
        <v>3609</v>
      </c>
      <c r="Q783" s="54" t="s">
        <v>3610</v>
      </c>
      <c r="R783" s="54" t="s">
        <v>6758</v>
      </c>
      <c r="S783" s="54" t="s">
        <v>692</v>
      </c>
      <c r="T783" s="55" t="str">
        <f t="shared" si="73"/>
        <v>Insumos</v>
      </c>
      <c r="U783" s="55" t="str">
        <f t="shared" si="73"/>
        <v>Insumo Consumo</v>
      </c>
      <c r="V783" s="55" t="str">
        <f t="shared" si="73"/>
        <v>Medidores</v>
      </c>
      <c r="W783" s="54" t="s">
        <v>7259</v>
      </c>
      <c r="X783" s="84" t="str">
        <f t="shared" si="75"/>
        <v>Key-COD-CT-783</v>
      </c>
      <c r="Y783" s="84" t="s">
        <v>5459</v>
      </c>
      <c r="Z783" s="84" t="s">
        <v>692</v>
      </c>
      <c r="AA783" s="84" t="s">
        <v>5972</v>
      </c>
      <c r="AB783" s="84" t="s">
        <v>692</v>
      </c>
      <c r="AC783" s="84" t="s">
        <v>692</v>
      </c>
      <c r="AD783" s="54" t="s">
        <v>692</v>
      </c>
    </row>
    <row r="784" spans="1:30" ht="6.75" customHeight="1" x14ac:dyDescent="0.25">
      <c r="A784" s="85">
        <v>784</v>
      </c>
      <c r="B784" s="59" t="s">
        <v>5419</v>
      </c>
      <c r="C784" s="59" t="s">
        <v>3394</v>
      </c>
      <c r="D784" s="60" t="s">
        <v>3611</v>
      </c>
      <c r="E784" s="59" t="s">
        <v>3612</v>
      </c>
      <c r="F784" s="61" t="s">
        <v>3613</v>
      </c>
      <c r="G784" s="79" t="s">
        <v>692</v>
      </c>
      <c r="H784" s="79" t="s">
        <v>692</v>
      </c>
      <c r="I784" s="79" t="s">
        <v>692</v>
      </c>
      <c r="J784" s="79" t="s">
        <v>692</v>
      </c>
      <c r="K784" s="79" t="s">
        <v>692</v>
      </c>
      <c r="L784" s="53" t="str">
        <f t="shared" si="76"/>
        <v>Insumos</v>
      </c>
      <c r="M784" s="53" t="str">
        <f t="shared" si="76"/>
        <v>Insumo.Gerado</v>
      </c>
      <c r="N784" s="53" t="str">
        <f>(SUBSTITUTE(SUBSTITUTE(CONCATENATE("",E784),"."," ")," De "," de "))</f>
        <v>Geradores Solares</v>
      </c>
      <c r="O784" s="54" t="str">
        <f>IF(ISNUMBER(FIND("Ifc",F784)),CONCATENATE("Classe IFC:   ",F784),CONCATENATE("Categ.  Rvt:   ",F784))</f>
        <v>Categ.  Rvt:   Gerador.Solar</v>
      </c>
      <c r="P784" s="54" t="s">
        <v>3614</v>
      </c>
      <c r="Q784" s="54" t="s">
        <v>3615</v>
      </c>
      <c r="R784" s="54" t="s">
        <v>6759</v>
      </c>
      <c r="S784" s="54" t="s">
        <v>692</v>
      </c>
      <c r="T784" s="55" t="str">
        <f t="shared" si="73"/>
        <v>Insumos</v>
      </c>
      <c r="U784" s="55" t="str">
        <f t="shared" si="73"/>
        <v>Insumo Gerado</v>
      </c>
      <c r="V784" s="55" t="str">
        <f t="shared" si="73"/>
        <v>Geradores Solares</v>
      </c>
      <c r="W784" s="54" t="s">
        <v>7259</v>
      </c>
      <c r="X784" s="84" t="str">
        <f t="shared" si="75"/>
        <v>Key-COD-CT-784</v>
      </c>
      <c r="Y784" s="84" t="s">
        <v>5459</v>
      </c>
      <c r="Z784" s="84" t="s">
        <v>692</v>
      </c>
      <c r="AA784" s="84" t="s">
        <v>5973</v>
      </c>
      <c r="AB784" s="84" t="s">
        <v>692</v>
      </c>
      <c r="AC784" s="84" t="s">
        <v>692</v>
      </c>
      <c r="AD784" s="54" t="s">
        <v>692</v>
      </c>
    </row>
    <row r="785" spans="1:30" ht="6.75" customHeight="1" x14ac:dyDescent="0.25">
      <c r="A785" s="85">
        <v>785</v>
      </c>
      <c r="B785" s="59" t="s">
        <v>5419</v>
      </c>
      <c r="C785" s="59" t="s">
        <v>3394</v>
      </c>
      <c r="D785" s="60" t="s">
        <v>3611</v>
      </c>
      <c r="E785" s="59" t="s">
        <v>3612</v>
      </c>
      <c r="F785" s="61" t="s">
        <v>3616</v>
      </c>
      <c r="G785" s="79" t="s">
        <v>692</v>
      </c>
      <c r="H785" s="79" t="s">
        <v>692</v>
      </c>
      <c r="I785" s="79" t="s">
        <v>692</v>
      </c>
      <c r="J785" s="79" t="s">
        <v>692</v>
      </c>
      <c r="K785" s="79" t="s">
        <v>692</v>
      </c>
      <c r="L785" s="53" t="str">
        <f t="shared" si="76"/>
        <v>Insumos</v>
      </c>
      <c r="M785" s="53" t="str">
        <f t="shared" si="76"/>
        <v>Insumo.Gerado</v>
      </c>
      <c r="N785" s="53" t="str">
        <f>(SUBSTITUTE(SUBSTITUTE(CONCATENATE("",E785),"."," ")," De "," de "))</f>
        <v>Geradores Solares</v>
      </c>
      <c r="O785" s="54" t="str">
        <f>IF(ISNUMBER(FIND("Ifc",F785)),CONCATENATE("Classe IFC:   ",F785),CONCATENATE("Categ.  Rvt:   ",F785))</f>
        <v>Categ.  Rvt:   Gerador.Solar.Coletor</v>
      </c>
      <c r="P785" s="54" t="s">
        <v>3617</v>
      </c>
      <c r="Q785" s="54" t="s">
        <v>3618</v>
      </c>
      <c r="R785" s="54" t="s">
        <v>6760</v>
      </c>
      <c r="S785" s="54" t="s">
        <v>692</v>
      </c>
      <c r="T785" s="55" t="str">
        <f t="shared" si="73"/>
        <v>Insumos</v>
      </c>
      <c r="U785" s="55" t="str">
        <f t="shared" si="73"/>
        <v>Insumo Gerado</v>
      </c>
      <c r="V785" s="55" t="str">
        <f t="shared" si="73"/>
        <v>Geradores Solares</v>
      </c>
      <c r="W785" s="54" t="s">
        <v>7259</v>
      </c>
      <c r="X785" s="84" t="str">
        <f t="shared" si="75"/>
        <v>Key-COD-CT-785</v>
      </c>
      <c r="Y785" s="84" t="s">
        <v>5459</v>
      </c>
      <c r="Z785" s="84" t="s">
        <v>692</v>
      </c>
      <c r="AA785" s="84" t="s">
        <v>5974</v>
      </c>
      <c r="AB785" s="84" t="s">
        <v>692</v>
      </c>
      <c r="AC785" s="84" t="s">
        <v>692</v>
      </c>
      <c r="AD785" s="54" t="s">
        <v>692</v>
      </c>
    </row>
    <row r="786" spans="1:30" ht="6.75" customHeight="1" x14ac:dyDescent="0.25">
      <c r="A786" s="85">
        <v>786</v>
      </c>
      <c r="B786" s="59" t="s">
        <v>5419</v>
      </c>
      <c r="C786" s="59" t="s">
        <v>3394</v>
      </c>
      <c r="D786" s="60" t="s">
        <v>3611</v>
      </c>
      <c r="E786" s="59" t="s">
        <v>3612</v>
      </c>
      <c r="F786" s="61" t="s">
        <v>3619</v>
      </c>
      <c r="G786" s="79" t="s">
        <v>692</v>
      </c>
      <c r="H786" s="79" t="s">
        <v>692</v>
      </c>
      <c r="I786" s="79" t="s">
        <v>692</v>
      </c>
      <c r="J786" s="79" t="s">
        <v>692</v>
      </c>
      <c r="K786" s="79" t="s">
        <v>692</v>
      </c>
      <c r="L786" s="53" t="str">
        <f t="shared" si="76"/>
        <v>Insumos</v>
      </c>
      <c r="M786" s="53" t="str">
        <f t="shared" si="76"/>
        <v>Insumo.Gerado</v>
      </c>
      <c r="N786" s="53" t="str">
        <f>(SUBSTITUTE(SUBSTITUTE(CONCATENATE("",E786),"."," ")," De "," de "))</f>
        <v>Geradores Solares</v>
      </c>
      <c r="O786" s="54" t="str">
        <f>IF(ISNUMBER(FIND("Ifc",F786)),CONCATENATE("Classe IFC:   ",F786),CONCATENATE("Categ.  Rvt:   ",F786))</f>
        <v>Categ.  Rvt:   Gerador.Solar.Painel</v>
      </c>
      <c r="P786" s="54" t="s">
        <v>3620</v>
      </c>
      <c r="Q786" s="54" t="s">
        <v>3621</v>
      </c>
      <c r="R786" s="54" t="s">
        <v>6761</v>
      </c>
      <c r="S786" s="54" t="s">
        <v>692</v>
      </c>
      <c r="T786" s="55" t="str">
        <f t="shared" si="73"/>
        <v>Insumos</v>
      </c>
      <c r="U786" s="55" t="str">
        <f t="shared" si="73"/>
        <v>Insumo Gerado</v>
      </c>
      <c r="V786" s="55" t="str">
        <f t="shared" si="73"/>
        <v>Geradores Solares</v>
      </c>
      <c r="W786" s="54" t="s">
        <v>7259</v>
      </c>
      <c r="X786" s="84" t="str">
        <f t="shared" si="75"/>
        <v>Key-COD-CT-786</v>
      </c>
      <c r="Y786" s="84" t="s">
        <v>5459</v>
      </c>
      <c r="Z786" s="84" t="s">
        <v>692</v>
      </c>
      <c r="AA786" s="84" t="s">
        <v>5975</v>
      </c>
      <c r="AB786" s="84" t="s">
        <v>692</v>
      </c>
      <c r="AC786" s="84" t="s">
        <v>692</v>
      </c>
      <c r="AD786" s="54" t="s">
        <v>692</v>
      </c>
    </row>
    <row r="787" spans="1:30" ht="6.75" customHeight="1" x14ac:dyDescent="0.25">
      <c r="A787" s="85">
        <v>787</v>
      </c>
      <c r="B787" s="59" t="s">
        <v>5419</v>
      </c>
      <c r="C787" s="59" t="s">
        <v>3394</v>
      </c>
      <c r="D787" s="60" t="s">
        <v>3611</v>
      </c>
      <c r="E787" s="59" t="s">
        <v>3622</v>
      </c>
      <c r="F787" s="61" t="s">
        <v>3623</v>
      </c>
      <c r="G787" s="81" t="s">
        <v>692</v>
      </c>
      <c r="H787" s="81" t="s">
        <v>692</v>
      </c>
      <c r="I787" s="81" t="s">
        <v>692</v>
      </c>
      <c r="J787" s="81" t="s">
        <v>692</v>
      </c>
      <c r="K787" s="79" t="s">
        <v>692</v>
      </c>
      <c r="L787" s="53" t="str">
        <f t="shared" si="76"/>
        <v>Insumos</v>
      </c>
      <c r="M787" s="53" t="str">
        <f t="shared" si="76"/>
        <v>Insumo.Gerado</v>
      </c>
      <c r="N787" s="53" t="str">
        <f t="shared" si="74"/>
        <v>Medidores Solares</v>
      </c>
      <c r="O787" s="53" t="str">
        <f t="shared" si="74"/>
        <v>Medidor Solar Bidirecional</v>
      </c>
      <c r="P787" s="56" t="s">
        <v>3624</v>
      </c>
      <c r="Q787" s="54" t="s">
        <v>3625</v>
      </c>
      <c r="R787" s="54" t="s">
        <v>6762</v>
      </c>
      <c r="S787" s="54" t="s">
        <v>692</v>
      </c>
      <c r="T787" s="55" t="str">
        <f t="shared" si="73"/>
        <v>Insumos</v>
      </c>
      <c r="U787" s="55" t="str">
        <f t="shared" si="73"/>
        <v>Insumo Gerado</v>
      </c>
      <c r="V787" s="55" t="str">
        <f t="shared" si="73"/>
        <v>Medidores Solares</v>
      </c>
      <c r="W787" s="54" t="s">
        <v>7259</v>
      </c>
      <c r="X787" s="84" t="str">
        <f t="shared" si="75"/>
        <v>Key-COD-CT-787</v>
      </c>
      <c r="Y787" s="84" t="s">
        <v>5459</v>
      </c>
      <c r="Z787" s="84" t="s">
        <v>692</v>
      </c>
      <c r="AA787" s="84" t="s">
        <v>5969</v>
      </c>
      <c r="AB787" s="84" t="s">
        <v>692</v>
      </c>
      <c r="AC787" s="84" t="s">
        <v>692</v>
      </c>
      <c r="AD787" s="54" t="s">
        <v>692</v>
      </c>
    </row>
    <row r="788" spans="1:30" ht="6.75" customHeight="1" x14ac:dyDescent="0.25">
      <c r="A788" s="85">
        <v>788</v>
      </c>
      <c r="B788" s="59" t="s">
        <v>5419</v>
      </c>
      <c r="C788" s="59" t="s">
        <v>3394</v>
      </c>
      <c r="D788" s="60" t="s">
        <v>3611</v>
      </c>
      <c r="E788" s="59" t="s">
        <v>3622</v>
      </c>
      <c r="F788" s="61" t="s">
        <v>3626</v>
      </c>
      <c r="G788" s="81" t="s">
        <v>692</v>
      </c>
      <c r="H788" s="81" t="s">
        <v>692</v>
      </c>
      <c r="I788" s="81" t="s">
        <v>692</v>
      </c>
      <c r="J788" s="81" t="s">
        <v>692</v>
      </c>
      <c r="K788" s="79" t="s">
        <v>692</v>
      </c>
      <c r="L788" s="53" t="str">
        <f t="shared" si="76"/>
        <v>Insumos</v>
      </c>
      <c r="M788" s="53" t="str">
        <f t="shared" si="76"/>
        <v>Insumo.Gerado</v>
      </c>
      <c r="N788" s="53" t="str">
        <f t="shared" si="74"/>
        <v>Medidores Solares</v>
      </c>
      <c r="O788" s="53" t="str">
        <f t="shared" si="74"/>
        <v>Inversor Solar OnGrid</v>
      </c>
      <c r="P788" s="54" t="s">
        <v>3627</v>
      </c>
      <c r="Q788" s="54" t="s">
        <v>3628</v>
      </c>
      <c r="R788" s="54" t="e" vm="1">
        <v>#VALUE!</v>
      </c>
      <c r="S788" s="54" t="s">
        <v>692</v>
      </c>
      <c r="T788" s="55" t="str">
        <f t="shared" si="73"/>
        <v>Insumos</v>
      </c>
      <c r="U788" s="55" t="str">
        <f t="shared" si="73"/>
        <v>Insumo Gerado</v>
      </c>
      <c r="V788" s="55" t="str">
        <f t="shared" si="73"/>
        <v>Medidores Solares</v>
      </c>
      <c r="W788" s="54" t="s">
        <v>7259</v>
      </c>
      <c r="X788" s="84" t="str">
        <f t="shared" si="75"/>
        <v>Key-COD-CT-788</v>
      </c>
      <c r="Y788" s="84" t="s">
        <v>5459</v>
      </c>
      <c r="Z788" s="84" t="s">
        <v>692</v>
      </c>
      <c r="AA788" s="84" t="s">
        <v>5969</v>
      </c>
      <c r="AB788" s="84" t="s">
        <v>692</v>
      </c>
      <c r="AC788" s="84" t="s">
        <v>692</v>
      </c>
      <c r="AD788" s="54" t="s">
        <v>692</v>
      </c>
    </row>
    <row r="789" spans="1:30" ht="6.75" customHeight="1" x14ac:dyDescent="0.25">
      <c r="A789" s="85">
        <v>789</v>
      </c>
      <c r="B789" s="59" t="s">
        <v>5419</v>
      </c>
      <c r="C789" s="59" t="s">
        <v>3394</v>
      </c>
      <c r="D789" s="60" t="s">
        <v>3611</v>
      </c>
      <c r="E789" s="59" t="s">
        <v>3622</v>
      </c>
      <c r="F789" s="61" t="s">
        <v>3629</v>
      </c>
      <c r="G789" s="81" t="s">
        <v>692</v>
      </c>
      <c r="H789" s="81" t="s">
        <v>692</v>
      </c>
      <c r="I789" s="81" t="s">
        <v>692</v>
      </c>
      <c r="J789" s="81" t="s">
        <v>692</v>
      </c>
      <c r="K789" s="79" t="s">
        <v>692</v>
      </c>
      <c r="L789" s="53" t="str">
        <f t="shared" si="76"/>
        <v>Insumos</v>
      </c>
      <c r="M789" s="53" t="str">
        <f t="shared" si="76"/>
        <v>Insumo.Gerado</v>
      </c>
      <c r="N789" s="53" t="str">
        <f t="shared" si="74"/>
        <v>Medidores Solares</v>
      </c>
      <c r="O789" s="53" t="str">
        <f t="shared" si="74"/>
        <v>Inversor Solar Híbrido</v>
      </c>
      <c r="P789" s="56" t="s">
        <v>3624</v>
      </c>
      <c r="Q789" s="54" t="s">
        <v>3625</v>
      </c>
      <c r="R789" s="54" t="s">
        <v>6762</v>
      </c>
      <c r="S789" s="54" t="s">
        <v>692</v>
      </c>
      <c r="T789" s="55" t="str">
        <f t="shared" si="73"/>
        <v>Insumos</v>
      </c>
      <c r="U789" s="55" t="str">
        <f t="shared" si="73"/>
        <v>Insumo Gerado</v>
      </c>
      <c r="V789" s="55" t="str">
        <f t="shared" si="73"/>
        <v>Medidores Solares</v>
      </c>
      <c r="W789" s="54" t="s">
        <v>7259</v>
      </c>
      <c r="X789" s="84" t="str">
        <f t="shared" si="75"/>
        <v>Key-COD-CT-789</v>
      </c>
      <c r="Y789" s="84" t="s">
        <v>5459</v>
      </c>
      <c r="Z789" s="84" t="s">
        <v>692</v>
      </c>
      <c r="AA789" s="84" t="s">
        <v>5969</v>
      </c>
      <c r="AB789" s="84" t="s">
        <v>692</v>
      </c>
      <c r="AC789" s="84" t="s">
        <v>692</v>
      </c>
      <c r="AD789" s="54" t="s">
        <v>692</v>
      </c>
    </row>
    <row r="790" spans="1:30" ht="6.75" customHeight="1" x14ac:dyDescent="0.25">
      <c r="A790" s="85">
        <v>790</v>
      </c>
      <c r="B790" s="59" t="s">
        <v>5419</v>
      </c>
      <c r="C790" s="59" t="s">
        <v>3394</v>
      </c>
      <c r="D790" s="60" t="s">
        <v>3611</v>
      </c>
      <c r="E790" s="59" t="s">
        <v>3630</v>
      </c>
      <c r="F790" s="61" t="s">
        <v>3631</v>
      </c>
      <c r="G790" s="81" t="s">
        <v>692</v>
      </c>
      <c r="H790" s="81" t="s">
        <v>692</v>
      </c>
      <c r="I790" s="81" t="s">
        <v>692</v>
      </c>
      <c r="J790" s="81" t="s">
        <v>692</v>
      </c>
      <c r="K790" s="79" t="s">
        <v>692</v>
      </c>
      <c r="L790" s="53" t="str">
        <f t="shared" si="76"/>
        <v>Insumos</v>
      </c>
      <c r="M790" s="53" t="str">
        <f t="shared" si="76"/>
        <v>Insumo.Gerado</v>
      </c>
      <c r="N790" s="53" t="str">
        <f t="shared" si="74"/>
        <v>Medidores Eólicos</v>
      </c>
      <c r="O790" s="53" t="str">
        <f t="shared" si="74"/>
        <v>Medidor Eólico</v>
      </c>
      <c r="P790" s="54" t="s">
        <v>3632</v>
      </c>
      <c r="Q790" s="54" t="s">
        <v>3633</v>
      </c>
      <c r="R790" s="54" t="s">
        <v>6763</v>
      </c>
      <c r="S790" s="54" t="s">
        <v>692</v>
      </c>
      <c r="T790" s="55" t="str">
        <f t="shared" si="73"/>
        <v>Insumos</v>
      </c>
      <c r="U790" s="55" t="str">
        <f t="shared" si="73"/>
        <v>Insumo Gerado</v>
      </c>
      <c r="V790" s="55" t="str">
        <f t="shared" si="73"/>
        <v>Medidores Eólicos</v>
      </c>
      <c r="W790" s="54" t="s">
        <v>7259</v>
      </c>
      <c r="X790" s="84" t="str">
        <f t="shared" si="75"/>
        <v>Key-COD-CT-790</v>
      </c>
      <c r="Y790" s="84" t="s">
        <v>5459</v>
      </c>
      <c r="Z790" s="84" t="s">
        <v>692</v>
      </c>
      <c r="AA790" s="84" t="s">
        <v>5969</v>
      </c>
      <c r="AB790" s="84" t="s">
        <v>692</v>
      </c>
      <c r="AC790" s="84" t="s">
        <v>692</v>
      </c>
      <c r="AD790" s="54" t="s">
        <v>692</v>
      </c>
    </row>
    <row r="791" spans="1:30" ht="6.6" customHeight="1" x14ac:dyDescent="0.25">
      <c r="A791" s="85">
        <v>791</v>
      </c>
      <c r="B791" s="80" t="s">
        <v>5419</v>
      </c>
      <c r="C791" s="28" t="s">
        <v>3720</v>
      </c>
      <c r="D791" s="28" t="s">
        <v>3721</v>
      </c>
      <c r="E791" s="28" t="s">
        <v>3722</v>
      </c>
      <c r="F791" s="28" t="s">
        <v>3723</v>
      </c>
      <c r="G791" s="86" t="str">
        <f>_xlfn.CONCAT("é.nomeado some ",B791)</f>
        <v>é.nomeado some Conceitos</v>
      </c>
      <c r="H791" s="86" t="str">
        <f>_xlfn.CONCAT("é.nomeada some ",C791)</f>
        <v>é.nomeada some Fronteiras</v>
      </c>
      <c r="I791" s="86" t="s">
        <v>692</v>
      </c>
      <c r="J791" s="86" t="s">
        <v>692</v>
      </c>
      <c r="K791" s="86" t="s">
        <v>692</v>
      </c>
      <c r="L791" s="58" t="str">
        <f t="shared" ref="L791:L889" si="77">_xlfn.CONCAT(SUBSTITUTE(C791,"1.",""))</f>
        <v>Fronteiras</v>
      </c>
      <c r="M791" s="58" t="str">
        <f>_xlfn.CONCAT(SUBSTITUTE(D791,"."," "))</f>
        <v>Geográficas</v>
      </c>
      <c r="N791" s="58" t="str">
        <f>_xlfn.CONCAT(SUBSTITUTE(E791,"."," "))</f>
        <v>Naturais</v>
      </c>
      <c r="O791" s="58" t="str">
        <f>_xlfn.CONCAT(SUBSTITUTE(F791,"."," "))</f>
        <v>Continente</v>
      </c>
      <c r="P791" s="58" t="s">
        <v>3724</v>
      </c>
      <c r="Q791" s="58" t="s">
        <v>3723</v>
      </c>
      <c r="R791" s="55" t="s">
        <v>6764</v>
      </c>
      <c r="S791" s="55" t="s">
        <v>692</v>
      </c>
      <c r="T791" s="55" t="str">
        <f t="shared" ref="T791:V806" si="78">SUBSTITUTE(C791, ".", " ")</f>
        <v>Fronteiras</v>
      </c>
      <c r="U791" s="55" t="str">
        <f t="shared" si="78"/>
        <v>Geográficas</v>
      </c>
      <c r="V791" s="55" t="str">
        <f t="shared" si="78"/>
        <v>Naturais</v>
      </c>
      <c r="W791" s="54" t="s">
        <v>7259</v>
      </c>
      <c r="X791" s="84" t="str">
        <f t="shared" si="75"/>
        <v>Key-COD-CT-791</v>
      </c>
      <c r="Y791" s="84" t="s">
        <v>5464</v>
      </c>
      <c r="Z791" s="84" t="s">
        <v>692</v>
      </c>
      <c r="AA791" s="84" t="s">
        <v>5464</v>
      </c>
      <c r="AB791" s="84" t="s">
        <v>692</v>
      </c>
      <c r="AC791" s="84" t="s">
        <v>692</v>
      </c>
      <c r="AD791" s="54" t="s">
        <v>692</v>
      </c>
    </row>
    <row r="792" spans="1:30" ht="6.6" customHeight="1" x14ac:dyDescent="0.25">
      <c r="A792" s="85">
        <v>792</v>
      </c>
      <c r="B792" s="80" t="s">
        <v>5419</v>
      </c>
      <c r="C792" s="28" t="s">
        <v>3720</v>
      </c>
      <c r="D792" s="28" t="s">
        <v>3721</v>
      </c>
      <c r="E792" s="28" t="s">
        <v>3722</v>
      </c>
      <c r="F792" s="28" t="s">
        <v>3725</v>
      </c>
      <c r="G792" s="86" t="s">
        <v>692</v>
      </c>
      <c r="H792" s="86" t="s">
        <v>692</v>
      </c>
      <c r="I792" s="86" t="s">
        <v>692</v>
      </c>
      <c r="J792" s="86" t="s">
        <v>692</v>
      </c>
      <c r="K792" s="86" t="s">
        <v>692</v>
      </c>
      <c r="L792" s="58" t="str">
        <f t="shared" si="77"/>
        <v>Fronteiras</v>
      </c>
      <c r="M792" s="58" t="str">
        <f t="shared" ref="M792:O846" si="79">_xlfn.CONCAT(SUBSTITUTE(D792,"."," "))</f>
        <v>Geográficas</v>
      </c>
      <c r="N792" s="58" t="str">
        <f t="shared" si="79"/>
        <v>Naturais</v>
      </c>
      <c r="O792" s="58" t="str">
        <f t="shared" si="79"/>
        <v>SubContinente</v>
      </c>
      <c r="P792" s="58" t="s">
        <v>3726</v>
      </c>
      <c r="Q792" s="58" t="s">
        <v>3725</v>
      </c>
      <c r="R792" s="55" t="s">
        <v>6765</v>
      </c>
      <c r="S792" s="55" t="s">
        <v>692</v>
      </c>
      <c r="T792" s="55" t="str">
        <f t="shared" si="78"/>
        <v>Fronteiras</v>
      </c>
      <c r="U792" s="55" t="str">
        <f t="shared" si="78"/>
        <v>Geográficas</v>
      </c>
      <c r="V792" s="55" t="str">
        <f t="shared" si="78"/>
        <v>Naturais</v>
      </c>
      <c r="W792" s="54" t="s">
        <v>7259</v>
      </c>
      <c r="X792" s="84" t="str">
        <f t="shared" si="75"/>
        <v>Key-COD-CT-792</v>
      </c>
      <c r="Y792" s="84" t="s">
        <v>5464</v>
      </c>
      <c r="Z792" s="84" t="s">
        <v>692</v>
      </c>
      <c r="AA792" s="84" t="s">
        <v>5464</v>
      </c>
      <c r="AB792" s="84" t="s">
        <v>692</v>
      </c>
      <c r="AC792" s="84" t="s">
        <v>692</v>
      </c>
      <c r="AD792" s="54" t="s">
        <v>692</v>
      </c>
    </row>
    <row r="793" spans="1:30" ht="6.6" customHeight="1" x14ac:dyDescent="0.25">
      <c r="A793" s="85">
        <v>793</v>
      </c>
      <c r="B793" s="80" t="s">
        <v>5419</v>
      </c>
      <c r="C793" s="28" t="s">
        <v>3720</v>
      </c>
      <c r="D793" s="28" t="s">
        <v>3721</v>
      </c>
      <c r="E793" s="28" t="s">
        <v>3722</v>
      </c>
      <c r="F793" s="28" t="s">
        <v>3727</v>
      </c>
      <c r="G793" s="86" t="s">
        <v>692</v>
      </c>
      <c r="H793" s="86" t="s">
        <v>692</v>
      </c>
      <c r="I793" s="86" t="s">
        <v>692</v>
      </c>
      <c r="J793" s="86" t="s">
        <v>692</v>
      </c>
      <c r="K793" s="86" t="s">
        <v>692</v>
      </c>
      <c r="L793" s="58" t="str">
        <f t="shared" si="77"/>
        <v>Fronteiras</v>
      </c>
      <c r="M793" s="58" t="str">
        <f t="shared" si="79"/>
        <v>Geográficas</v>
      </c>
      <c r="N793" s="58" t="str">
        <f t="shared" si="79"/>
        <v>Naturais</v>
      </c>
      <c r="O793" s="58" t="str">
        <f t="shared" si="79"/>
        <v>Bioma</v>
      </c>
      <c r="P793" s="58" t="s">
        <v>3728</v>
      </c>
      <c r="Q793" s="58" t="s">
        <v>3729</v>
      </c>
      <c r="R793" s="55" t="s">
        <v>6766</v>
      </c>
      <c r="S793" s="55" t="s">
        <v>692</v>
      </c>
      <c r="T793" s="55" t="str">
        <f t="shared" si="78"/>
        <v>Fronteiras</v>
      </c>
      <c r="U793" s="55" t="str">
        <f t="shared" si="78"/>
        <v>Geográficas</v>
      </c>
      <c r="V793" s="55" t="str">
        <f t="shared" si="78"/>
        <v>Naturais</v>
      </c>
      <c r="W793" s="54" t="s">
        <v>7259</v>
      </c>
      <c r="X793" s="84" t="str">
        <f t="shared" si="75"/>
        <v>Key-COD-CT-793</v>
      </c>
      <c r="Y793" s="84" t="s">
        <v>5464</v>
      </c>
      <c r="Z793" s="84" t="s">
        <v>692</v>
      </c>
      <c r="AA793" s="84" t="s">
        <v>5464</v>
      </c>
      <c r="AB793" s="84" t="s">
        <v>692</v>
      </c>
      <c r="AC793" s="84" t="s">
        <v>692</v>
      </c>
      <c r="AD793" s="54" t="s">
        <v>692</v>
      </c>
    </row>
    <row r="794" spans="1:30" ht="6.6" customHeight="1" x14ac:dyDescent="0.25">
      <c r="A794" s="85">
        <v>794</v>
      </c>
      <c r="B794" s="80" t="s">
        <v>5419</v>
      </c>
      <c r="C794" s="28" t="s">
        <v>3720</v>
      </c>
      <c r="D794" s="28" t="s">
        <v>3721</v>
      </c>
      <c r="E794" s="28" t="s">
        <v>3730</v>
      </c>
      <c r="F794" s="28" t="s">
        <v>3731</v>
      </c>
      <c r="G794" s="86" t="s">
        <v>692</v>
      </c>
      <c r="H794" s="86" t="s">
        <v>692</v>
      </c>
      <c r="I794" s="86" t="s">
        <v>692</v>
      </c>
      <c r="J794" s="86" t="s">
        <v>692</v>
      </c>
      <c r="K794" s="86" t="str">
        <f>_xlfn.CONCAT("é.dentro.de some ",F791)</f>
        <v>é.dentro.de some Continente</v>
      </c>
      <c r="L794" s="58" t="str">
        <f t="shared" si="77"/>
        <v>Fronteiras</v>
      </c>
      <c r="M794" s="58" t="str">
        <f t="shared" si="79"/>
        <v>Geográficas</v>
      </c>
      <c r="N794" s="58" t="str">
        <f t="shared" si="79"/>
        <v>Políticas</v>
      </c>
      <c r="O794" s="58" t="str">
        <f t="shared" si="79"/>
        <v>País</v>
      </c>
      <c r="P794" s="58" t="s">
        <v>3732</v>
      </c>
      <c r="Q794" s="58" t="s">
        <v>3731</v>
      </c>
      <c r="R794" s="55" t="s">
        <v>6767</v>
      </c>
      <c r="S794" s="55" t="s">
        <v>692</v>
      </c>
      <c r="T794" s="55" t="str">
        <f t="shared" si="78"/>
        <v>Fronteiras</v>
      </c>
      <c r="U794" s="55" t="str">
        <f t="shared" si="78"/>
        <v>Geográficas</v>
      </c>
      <c r="V794" s="55" t="str">
        <f t="shared" si="78"/>
        <v>Políticas</v>
      </c>
      <c r="W794" s="54" t="s">
        <v>7259</v>
      </c>
      <c r="X794" s="84" t="str">
        <f t="shared" si="75"/>
        <v>Key-COD-CT-794</v>
      </c>
      <c r="Y794" s="84" t="s">
        <v>5464</v>
      </c>
      <c r="Z794" s="84" t="s">
        <v>692</v>
      </c>
      <c r="AA794" s="84" t="s">
        <v>7148</v>
      </c>
      <c r="AB794" s="84" t="s">
        <v>692</v>
      </c>
      <c r="AC794" s="84" t="s">
        <v>692</v>
      </c>
      <c r="AD794" s="54" t="s">
        <v>692</v>
      </c>
    </row>
    <row r="795" spans="1:30" ht="6.6" customHeight="1" x14ac:dyDescent="0.25">
      <c r="A795" s="85">
        <v>795</v>
      </c>
      <c r="B795" s="80" t="s">
        <v>5419</v>
      </c>
      <c r="C795" s="28" t="s">
        <v>3720</v>
      </c>
      <c r="D795" s="28" t="s">
        <v>3721</v>
      </c>
      <c r="E795" s="28" t="s">
        <v>3730</v>
      </c>
      <c r="F795" s="28" t="s">
        <v>3733</v>
      </c>
      <c r="G795" s="86" t="s">
        <v>692</v>
      </c>
      <c r="H795" s="86" t="s">
        <v>692</v>
      </c>
      <c r="I795" s="86" t="s">
        <v>692</v>
      </c>
      <c r="J795" s="86" t="s">
        <v>692</v>
      </c>
      <c r="K795" s="86" t="s">
        <v>692</v>
      </c>
      <c r="L795" s="58" t="str">
        <f t="shared" si="77"/>
        <v>Fronteiras</v>
      </c>
      <c r="M795" s="58" t="str">
        <f t="shared" si="79"/>
        <v>Geográficas</v>
      </c>
      <c r="N795" s="58" t="str">
        <f t="shared" si="79"/>
        <v>Políticas</v>
      </c>
      <c r="O795" s="58" t="str">
        <f t="shared" si="79"/>
        <v>Nação</v>
      </c>
      <c r="P795" s="58" t="s">
        <v>3733</v>
      </c>
      <c r="Q795" s="58" t="s">
        <v>3734</v>
      </c>
      <c r="R795" s="55" t="s">
        <v>6768</v>
      </c>
      <c r="S795" s="55" t="s">
        <v>692</v>
      </c>
      <c r="T795" s="55" t="str">
        <f t="shared" si="78"/>
        <v>Fronteiras</v>
      </c>
      <c r="U795" s="55" t="str">
        <f t="shared" si="78"/>
        <v>Geográficas</v>
      </c>
      <c r="V795" s="55" t="str">
        <f t="shared" si="78"/>
        <v>Políticas</v>
      </c>
      <c r="W795" s="54" t="s">
        <v>7259</v>
      </c>
      <c r="X795" s="84" t="str">
        <f t="shared" si="75"/>
        <v>Key-COD-CT-795</v>
      </c>
      <c r="Y795" s="84" t="s">
        <v>5464</v>
      </c>
      <c r="Z795" s="84" t="s">
        <v>692</v>
      </c>
      <c r="AA795" s="84" t="s">
        <v>7148</v>
      </c>
      <c r="AB795" s="84" t="s">
        <v>692</v>
      </c>
      <c r="AC795" s="84" t="s">
        <v>692</v>
      </c>
      <c r="AD795" s="54" t="s">
        <v>692</v>
      </c>
    </row>
    <row r="796" spans="1:30" ht="6.6" customHeight="1" x14ac:dyDescent="0.25">
      <c r="A796" s="85">
        <v>796</v>
      </c>
      <c r="B796" s="80" t="s">
        <v>5419</v>
      </c>
      <c r="C796" s="28" t="s">
        <v>3720</v>
      </c>
      <c r="D796" s="28" t="s">
        <v>3721</v>
      </c>
      <c r="E796" s="28" t="s">
        <v>3730</v>
      </c>
      <c r="F796" s="28" t="s">
        <v>3735</v>
      </c>
      <c r="G796" s="86" t="s">
        <v>692</v>
      </c>
      <c r="H796" s="86" t="s">
        <v>692</v>
      </c>
      <c r="I796" s="86" t="s">
        <v>692</v>
      </c>
      <c r="J796" s="86" t="s">
        <v>692</v>
      </c>
      <c r="K796" s="86" t="s">
        <v>3736</v>
      </c>
      <c r="L796" s="58" t="str">
        <f t="shared" si="77"/>
        <v>Fronteiras</v>
      </c>
      <c r="M796" s="58" t="str">
        <f t="shared" si="79"/>
        <v>Geográficas</v>
      </c>
      <c r="N796" s="58" t="str">
        <f t="shared" si="79"/>
        <v>Políticas</v>
      </c>
      <c r="O796" s="58" t="str">
        <f t="shared" si="79"/>
        <v>Região</v>
      </c>
      <c r="P796" s="88" t="s">
        <v>5423</v>
      </c>
      <c r="Q796" s="58" t="str">
        <f>_xlfn.TRANSLATE(P796,"pt","es")</f>
        <v>Región geográfica de Brasil. de Brasil hay 5 regiones geográficas principales.</v>
      </c>
      <c r="R796" s="55" t="s">
        <v>6769</v>
      </c>
      <c r="S796" s="55" t="s">
        <v>692</v>
      </c>
      <c r="T796" s="55" t="str">
        <f t="shared" si="78"/>
        <v>Fronteiras</v>
      </c>
      <c r="U796" s="55" t="str">
        <f t="shared" si="78"/>
        <v>Geográficas</v>
      </c>
      <c r="V796" s="55" t="str">
        <f t="shared" si="78"/>
        <v>Políticas</v>
      </c>
      <c r="W796" s="54" t="s">
        <v>7259</v>
      </c>
      <c r="X796" s="84" t="str">
        <f t="shared" si="75"/>
        <v>Key-COD-CT-796</v>
      </c>
      <c r="Y796" s="84" t="s">
        <v>5464</v>
      </c>
      <c r="Z796" s="84" t="s">
        <v>692</v>
      </c>
      <c r="AA796" s="84" t="s">
        <v>7148</v>
      </c>
      <c r="AB796" s="84" t="s">
        <v>692</v>
      </c>
      <c r="AC796" s="84" t="s">
        <v>692</v>
      </c>
      <c r="AD796" s="54" t="s">
        <v>692</v>
      </c>
    </row>
    <row r="797" spans="1:30" ht="6.6" customHeight="1" x14ac:dyDescent="0.25">
      <c r="A797" s="85">
        <v>797</v>
      </c>
      <c r="B797" s="80" t="s">
        <v>5419</v>
      </c>
      <c r="C797" s="28" t="s">
        <v>3720</v>
      </c>
      <c r="D797" s="28" t="s">
        <v>3721</v>
      </c>
      <c r="E797" s="28" t="s">
        <v>3730</v>
      </c>
      <c r="F797" s="28" t="s">
        <v>5424</v>
      </c>
      <c r="G797" s="86" t="s">
        <v>692</v>
      </c>
      <c r="H797" s="86" t="s">
        <v>692</v>
      </c>
      <c r="I797" s="86" t="s">
        <v>692</v>
      </c>
      <c r="J797" s="86" t="s">
        <v>692</v>
      </c>
      <c r="K797" s="86" t="s">
        <v>3736</v>
      </c>
      <c r="L797" s="58" t="str">
        <f t="shared" si="77"/>
        <v>Fronteiras</v>
      </c>
      <c r="M797" s="58" t="str">
        <f t="shared" si="79"/>
        <v>Geográficas</v>
      </c>
      <c r="N797" s="58" t="str">
        <f t="shared" si="79"/>
        <v>Políticas</v>
      </c>
      <c r="O797" s="58" t="str">
        <f t="shared" si="79"/>
        <v>Região Intermediária</v>
      </c>
      <c r="P797" s="88" t="s">
        <v>5425</v>
      </c>
      <c r="Q797" s="58" t="str">
        <f t="shared" ref="Q797:Q798" si="80">_xlfn.TRANSLATE(P797,"pt","es")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797" s="55" t="s">
        <v>6770</v>
      </c>
      <c r="S797" s="55" t="s">
        <v>692</v>
      </c>
      <c r="T797" s="55" t="str">
        <f t="shared" si="78"/>
        <v>Fronteiras</v>
      </c>
      <c r="U797" s="55" t="str">
        <f t="shared" si="78"/>
        <v>Geográficas</v>
      </c>
      <c r="V797" s="55" t="str">
        <f t="shared" si="78"/>
        <v>Políticas</v>
      </c>
      <c r="W797" s="54" t="s">
        <v>7259</v>
      </c>
      <c r="X797" s="84" t="str">
        <f t="shared" si="75"/>
        <v>Key-COD-CT-797</v>
      </c>
      <c r="Y797" s="84" t="s">
        <v>5464</v>
      </c>
      <c r="Z797" s="84" t="s">
        <v>692</v>
      </c>
      <c r="AA797" s="84" t="s">
        <v>7148</v>
      </c>
      <c r="AB797" s="84" t="s">
        <v>692</v>
      </c>
      <c r="AC797" s="84" t="s">
        <v>692</v>
      </c>
      <c r="AD797" s="54" t="s">
        <v>692</v>
      </c>
    </row>
    <row r="798" spans="1:30" ht="6.6" customHeight="1" x14ac:dyDescent="0.25">
      <c r="A798" s="85">
        <v>798</v>
      </c>
      <c r="B798" s="80" t="s">
        <v>5419</v>
      </c>
      <c r="C798" s="28" t="s">
        <v>3720</v>
      </c>
      <c r="D798" s="28" t="s">
        <v>3721</v>
      </c>
      <c r="E798" s="28" t="s">
        <v>3730</v>
      </c>
      <c r="F798" s="28" t="s">
        <v>5426</v>
      </c>
      <c r="G798" s="86" t="s">
        <v>692</v>
      </c>
      <c r="H798" s="86" t="s">
        <v>692</v>
      </c>
      <c r="I798" s="86" t="s">
        <v>692</v>
      </c>
      <c r="J798" s="86" t="s">
        <v>692</v>
      </c>
      <c r="K798" s="86" t="s">
        <v>3736</v>
      </c>
      <c r="L798" s="58" t="str">
        <f t="shared" si="77"/>
        <v>Fronteiras</v>
      </c>
      <c r="M798" s="58" t="str">
        <f t="shared" si="79"/>
        <v>Geográficas</v>
      </c>
      <c r="N798" s="58" t="str">
        <f t="shared" si="79"/>
        <v>Políticas</v>
      </c>
      <c r="O798" s="58" t="str">
        <f t="shared" si="79"/>
        <v>Região Imediata</v>
      </c>
      <c r="P798" s="88" t="s">
        <v>5427</v>
      </c>
      <c r="Q798" s="58" t="str">
        <f t="shared" si="80"/>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798" s="55" t="s">
        <v>6771</v>
      </c>
      <c r="S798" s="55" t="s">
        <v>692</v>
      </c>
      <c r="T798" s="55" t="str">
        <f t="shared" si="78"/>
        <v>Fronteiras</v>
      </c>
      <c r="U798" s="55" t="str">
        <f t="shared" si="78"/>
        <v>Geográficas</v>
      </c>
      <c r="V798" s="55" t="str">
        <f t="shared" si="78"/>
        <v>Políticas</v>
      </c>
      <c r="W798" s="54" t="s">
        <v>7259</v>
      </c>
      <c r="X798" s="84" t="str">
        <f t="shared" si="75"/>
        <v>Key-COD-CT-798</v>
      </c>
      <c r="Y798" s="84" t="s">
        <v>5464</v>
      </c>
      <c r="Z798" s="84" t="s">
        <v>692</v>
      </c>
      <c r="AA798" s="84" t="s">
        <v>7148</v>
      </c>
      <c r="AB798" s="84" t="s">
        <v>692</v>
      </c>
      <c r="AC798" s="84" t="s">
        <v>692</v>
      </c>
      <c r="AD798" s="54" t="s">
        <v>692</v>
      </c>
    </row>
    <row r="799" spans="1:30" ht="6.6" customHeight="1" x14ac:dyDescent="0.25">
      <c r="A799" s="85">
        <v>799</v>
      </c>
      <c r="B799" s="80" t="s">
        <v>5419</v>
      </c>
      <c r="C799" s="28" t="s">
        <v>3720</v>
      </c>
      <c r="D799" s="28" t="s">
        <v>3721</v>
      </c>
      <c r="E799" s="28" t="s">
        <v>3730</v>
      </c>
      <c r="F799" s="28" t="s">
        <v>3737</v>
      </c>
      <c r="G799" s="86" t="s">
        <v>692</v>
      </c>
      <c r="H799" s="86" t="s">
        <v>692</v>
      </c>
      <c r="I799" s="86" t="s">
        <v>692</v>
      </c>
      <c r="J799" s="86" t="s">
        <v>692</v>
      </c>
      <c r="K799" s="86" t="str">
        <f>_xlfn.CONCAT("é.dentro.de some ",F794)</f>
        <v>é.dentro.de some País</v>
      </c>
      <c r="L799" s="58" t="str">
        <f t="shared" si="77"/>
        <v>Fronteiras</v>
      </c>
      <c r="M799" s="58" t="str">
        <f t="shared" si="79"/>
        <v>Geográficas</v>
      </c>
      <c r="N799" s="58" t="str">
        <f t="shared" si="79"/>
        <v>Políticas</v>
      </c>
      <c r="O799" s="58" t="str">
        <f t="shared" si="79"/>
        <v>Estado</v>
      </c>
      <c r="P799" s="58" t="s">
        <v>3738</v>
      </c>
      <c r="Q799" s="58" t="s">
        <v>3737</v>
      </c>
      <c r="R799" s="55" t="s">
        <v>6772</v>
      </c>
      <c r="S799" s="55" t="s">
        <v>692</v>
      </c>
      <c r="T799" s="55" t="str">
        <f t="shared" si="78"/>
        <v>Fronteiras</v>
      </c>
      <c r="U799" s="55" t="str">
        <f t="shared" si="78"/>
        <v>Geográficas</v>
      </c>
      <c r="V799" s="55" t="str">
        <f t="shared" si="78"/>
        <v>Políticas</v>
      </c>
      <c r="W799" s="54" t="s">
        <v>7259</v>
      </c>
      <c r="X799" s="84" t="str">
        <f t="shared" si="75"/>
        <v>Key-COD-CT-799</v>
      </c>
      <c r="Y799" s="84" t="s">
        <v>5464</v>
      </c>
      <c r="Z799" s="84" t="s">
        <v>692</v>
      </c>
      <c r="AA799" s="84" t="s">
        <v>7148</v>
      </c>
      <c r="AB799" s="84" t="s">
        <v>692</v>
      </c>
      <c r="AC799" s="84" t="s">
        <v>692</v>
      </c>
      <c r="AD799" s="54" t="s">
        <v>692</v>
      </c>
    </row>
    <row r="800" spans="1:30" ht="6.6" customHeight="1" x14ac:dyDescent="0.25">
      <c r="A800" s="85">
        <v>800</v>
      </c>
      <c r="B800" s="80" t="s">
        <v>5419</v>
      </c>
      <c r="C800" s="28" t="s">
        <v>3720</v>
      </c>
      <c r="D800" s="28" t="s">
        <v>3721</v>
      </c>
      <c r="E800" s="28" t="s">
        <v>3730</v>
      </c>
      <c r="F800" s="28" t="s">
        <v>3739</v>
      </c>
      <c r="G800" s="86" t="s">
        <v>692</v>
      </c>
      <c r="H800" s="86" t="s">
        <v>692</v>
      </c>
      <c r="I800" s="86" t="s">
        <v>692</v>
      </c>
      <c r="J800" s="86" t="s">
        <v>692</v>
      </c>
      <c r="K800" s="86" t="s">
        <v>692</v>
      </c>
      <c r="L800" s="58" t="str">
        <f t="shared" si="77"/>
        <v>Fronteiras</v>
      </c>
      <c r="M800" s="58" t="str">
        <f t="shared" si="79"/>
        <v>Geográficas</v>
      </c>
      <c r="N800" s="58" t="str">
        <f t="shared" si="79"/>
        <v>Políticas</v>
      </c>
      <c r="O800" s="58" t="str">
        <f t="shared" si="79"/>
        <v>UF</v>
      </c>
      <c r="P800" s="58" t="s">
        <v>3740</v>
      </c>
      <c r="Q800" s="58" t="s">
        <v>3741</v>
      </c>
      <c r="R800" s="55" t="s">
        <v>6773</v>
      </c>
      <c r="S800" s="55" t="s">
        <v>692</v>
      </c>
      <c r="T800" s="55" t="str">
        <f t="shared" si="78"/>
        <v>Fronteiras</v>
      </c>
      <c r="U800" s="55" t="str">
        <f t="shared" si="78"/>
        <v>Geográficas</v>
      </c>
      <c r="V800" s="55" t="str">
        <f t="shared" si="78"/>
        <v>Políticas</v>
      </c>
      <c r="W800" s="54" t="s">
        <v>7259</v>
      </c>
      <c r="X800" s="84" t="str">
        <f t="shared" si="75"/>
        <v>Key-COD-CT-800</v>
      </c>
      <c r="Y800" s="84" t="s">
        <v>5464</v>
      </c>
      <c r="Z800" s="84" t="s">
        <v>692</v>
      </c>
      <c r="AA800" s="84" t="s">
        <v>7148</v>
      </c>
      <c r="AB800" s="84" t="s">
        <v>692</v>
      </c>
      <c r="AC800" s="84" t="s">
        <v>692</v>
      </c>
      <c r="AD800" s="54" t="s">
        <v>692</v>
      </c>
    </row>
    <row r="801" spans="1:30" ht="6.6" customHeight="1" x14ac:dyDescent="0.25">
      <c r="A801" s="85">
        <v>801</v>
      </c>
      <c r="B801" s="80" t="s">
        <v>5419</v>
      </c>
      <c r="C801" s="28" t="s">
        <v>3720</v>
      </c>
      <c r="D801" s="28" t="s">
        <v>3721</v>
      </c>
      <c r="E801" s="28" t="s">
        <v>3730</v>
      </c>
      <c r="F801" s="28" t="s">
        <v>3742</v>
      </c>
      <c r="G801" s="86" t="s">
        <v>692</v>
      </c>
      <c r="H801" s="86" t="s">
        <v>692</v>
      </c>
      <c r="I801" s="86" t="s">
        <v>692</v>
      </c>
      <c r="J801" s="86" t="s">
        <v>692</v>
      </c>
      <c r="K801" s="86" t="str">
        <f>_xlfn.CONCAT("é.dentro.de some ",F795)</f>
        <v>é.dentro.de some Nação</v>
      </c>
      <c r="L801" s="58" t="str">
        <f t="shared" si="77"/>
        <v>Fronteiras</v>
      </c>
      <c r="M801" s="58" t="str">
        <f t="shared" si="79"/>
        <v>Geográficas</v>
      </c>
      <c r="N801" s="58" t="str">
        <f t="shared" si="79"/>
        <v>Políticas</v>
      </c>
      <c r="O801" s="58" t="str">
        <f t="shared" si="79"/>
        <v>Província</v>
      </c>
      <c r="P801" s="58" t="s">
        <v>3743</v>
      </c>
      <c r="Q801" s="58" t="s">
        <v>3744</v>
      </c>
      <c r="R801" s="55" t="s">
        <v>6774</v>
      </c>
      <c r="S801" s="55" t="s">
        <v>692</v>
      </c>
      <c r="T801" s="55" t="str">
        <f t="shared" si="78"/>
        <v>Fronteiras</v>
      </c>
      <c r="U801" s="55" t="str">
        <f t="shared" si="78"/>
        <v>Geográficas</v>
      </c>
      <c r="V801" s="55" t="str">
        <f t="shared" si="78"/>
        <v>Políticas</v>
      </c>
      <c r="W801" s="54" t="s">
        <v>7259</v>
      </c>
      <c r="X801" s="84" t="str">
        <f t="shared" si="75"/>
        <v>Key-COD-CT-801</v>
      </c>
      <c r="Y801" s="84" t="s">
        <v>5464</v>
      </c>
      <c r="Z801" s="84" t="s">
        <v>692</v>
      </c>
      <c r="AA801" s="84" t="s">
        <v>7148</v>
      </c>
      <c r="AB801" s="84" t="s">
        <v>692</v>
      </c>
      <c r="AC801" s="84" t="s">
        <v>692</v>
      </c>
      <c r="AD801" s="54" t="s">
        <v>692</v>
      </c>
    </row>
    <row r="802" spans="1:30" ht="6.6" customHeight="1" x14ac:dyDescent="0.25">
      <c r="A802" s="85">
        <v>802</v>
      </c>
      <c r="B802" s="80" t="s">
        <v>5419</v>
      </c>
      <c r="C802" s="28" t="s">
        <v>3720</v>
      </c>
      <c r="D802" s="28" t="s">
        <v>3721</v>
      </c>
      <c r="E802" s="28" t="s">
        <v>3730</v>
      </c>
      <c r="F802" s="28" t="s">
        <v>3745</v>
      </c>
      <c r="G802" s="86" t="s">
        <v>692</v>
      </c>
      <c r="H802" s="86" t="s">
        <v>692</v>
      </c>
      <c r="I802" s="86" t="s">
        <v>692</v>
      </c>
      <c r="J802" s="86" t="s">
        <v>692</v>
      </c>
      <c r="K802" s="86" t="str">
        <f>_xlfn.CONCAT("é.dentro.de some ",F799)</f>
        <v>é.dentro.de some Estado</v>
      </c>
      <c r="L802" s="58" t="str">
        <f t="shared" si="77"/>
        <v>Fronteiras</v>
      </c>
      <c r="M802" s="58" t="str">
        <f t="shared" si="79"/>
        <v>Geográficas</v>
      </c>
      <c r="N802" s="58" t="str">
        <f t="shared" si="79"/>
        <v>Políticas</v>
      </c>
      <c r="O802" s="58" t="str">
        <f t="shared" si="79"/>
        <v>Capital</v>
      </c>
      <c r="P802" s="58" t="s">
        <v>5428</v>
      </c>
      <c r="Q802" s="58" t="s">
        <v>3745</v>
      </c>
      <c r="R802" s="55" t="s">
        <v>6775</v>
      </c>
      <c r="S802" s="55" t="s">
        <v>692</v>
      </c>
      <c r="T802" s="55" t="str">
        <f t="shared" si="78"/>
        <v>Fronteiras</v>
      </c>
      <c r="U802" s="55" t="str">
        <f t="shared" si="78"/>
        <v>Geográficas</v>
      </c>
      <c r="V802" s="55" t="str">
        <f t="shared" si="78"/>
        <v>Políticas</v>
      </c>
      <c r="W802" s="54" t="s">
        <v>7259</v>
      </c>
      <c r="X802" s="84" t="str">
        <f t="shared" si="75"/>
        <v>Key-COD-CT-802</v>
      </c>
      <c r="Y802" s="84" t="s">
        <v>5464</v>
      </c>
      <c r="Z802" s="84" t="s">
        <v>692</v>
      </c>
      <c r="AA802" s="84" t="s">
        <v>7148</v>
      </c>
      <c r="AB802" s="84" t="s">
        <v>692</v>
      </c>
      <c r="AC802" s="84" t="s">
        <v>692</v>
      </c>
      <c r="AD802" s="54" t="s">
        <v>692</v>
      </c>
    </row>
    <row r="803" spans="1:30" ht="6.6" customHeight="1" x14ac:dyDescent="0.25">
      <c r="A803" s="85">
        <v>803</v>
      </c>
      <c r="B803" s="80" t="s">
        <v>5419</v>
      </c>
      <c r="C803" s="28" t="s">
        <v>3720</v>
      </c>
      <c r="D803" s="28" t="s">
        <v>3721</v>
      </c>
      <c r="E803" s="28" t="s">
        <v>3730</v>
      </c>
      <c r="F803" s="28" t="s">
        <v>5429</v>
      </c>
      <c r="G803" s="86" t="s">
        <v>692</v>
      </c>
      <c r="H803" s="86" t="s">
        <v>692</v>
      </c>
      <c r="I803" s="86" t="s">
        <v>692</v>
      </c>
      <c r="J803" s="86" t="s">
        <v>692</v>
      </c>
      <c r="K803" s="86" t="str">
        <f>_xlfn.CONCAT("é.dentro.de some ",F792)</f>
        <v>é.dentro.de some SubContinente</v>
      </c>
      <c r="L803" s="58" t="str">
        <f t="shared" si="77"/>
        <v>Fronteiras</v>
      </c>
      <c r="M803" s="58" t="str">
        <f t="shared" si="79"/>
        <v>Geográficas</v>
      </c>
      <c r="N803" s="58" t="str">
        <f t="shared" si="79"/>
        <v>Políticas</v>
      </c>
      <c r="O803" s="58" t="str">
        <f t="shared" si="79"/>
        <v>Capital do Sul</v>
      </c>
      <c r="P803" s="58" t="s">
        <v>5430</v>
      </c>
      <c r="Q803" s="58" t="str">
        <f t="shared" ref="Q803:Q813" si="81">_xlfn.TRANSLATE(P803,"pt","es")</f>
        <v>Ciudad capital de un estado situado en la región sur de Brasil.</v>
      </c>
      <c r="R803" s="55" t="s">
        <v>6776</v>
      </c>
      <c r="S803" s="55" t="s">
        <v>692</v>
      </c>
      <c r="T803" s="55" t="str">
        <f t="shared" si="78"/>
        <v>Fronteiras</v>
      </c>
      <c r="U803" s="55" t="str">
        <f t="shared" si="78"/>
        <v>Geográficas</v>
      </c>
      <c r="V803" s="55" t="str">
        <f t="shared" si="78"/>
        <v>Políticas</v>
      </c>
      <c r="W803" s="54" t="s">
        <v>7259</v>
      </c>
      <c r="X803" s="84" t="str">
        <f t="shared" si="75"/>
        <v>Key-COD-CT-803</v>
      </c>
      <c r="Y803" s="84" t="s">
        <v>5464</v>
      </c>
      <c r="Z803" s="84" t="s">
        <v>692</v>
      </c>
      <c r="AA803" s="84" t="s">
        <v>7148</v>
      </c>
      <c r="AB803" s="84" t="s">
        <v>692</v>
      </c>
      <c r="AC803" s="84" t="s">
        <v>692</v>
      </c>
      <c r="AD803" s="54" t="s">
        <v>692</v>
      </c>
    </row>
    <row r="804" spans="1:30" ht="6.6" customHeight="1" x14ac:dyDescent="0.25">
      <c r="A804" s="85">
        <v>804</v>
      </c>
      <c r="B804" s="80" t="s">
        <v>5419</v>
      </c>
      <c r="C804" s="28" t="s">
        <v>3720</v>
      </c>
      <c r="D804" s="28" t="s">
        <v>3721</v>
      </c>
      <c r="E804" s="28" t="s">
        <v>3730</v>
      </c>
      <c r="F804" s="28" t="s">
        <v>5431</v>
      </c>
      <c r="G804" s="86" t="s">
        <v>692</v>
      </c>
      <c r="H804" s="86" t="s">
        <v>692</v>
      </c>
      <c r="I804" s="86" t="s">
        <v>692</v>
      </c>
      <c r="J804" s="86" t="s">
        <v>692</v>
      </c>
      <c r="K804" s="86" t="str">
        <f>_xlfn.CONCAT("é.dentro.de some ",F792)</f>
        <v>é.dentro.de some SubContinente</v>
      </c>
      <c r="L804" s="58" t="str">
        <f t="shared" si="77"/>
        <v>Fronteiras</v>
      </c>
      <c r="M804" s="58" t="str">
        <f t="shared" si="79"/>
        <v>Geográficas</v>
      </c>
      <c r="N804" s="58" t="str">
        <f t="shared" si="79"/>
        <v>Políticas</v>
      </c>
      <c r="O804" s="58" t="str">
        <f t="shared" si="79"/>
        <v>Capital do Sudeste</v>
      </c>
      <c r="P804" s="58" t="s">
        <v>5432</v>
      </c>
      <c r="Q804" s="58" t="str">
        <f t="shared" si="81"/>
        <v>Ciudad capital de un estado situado en la región sureste de Brasil.</v>
      </c>
      <c r="R804" s="55" t="s">
        <v>6777</v>
      </c>
      <c r="S804" s="55" t="s">
        <v>692</v>
      </c>
      <c r="T804" s="55" t="str">
        <f t="shared" si="78"/>
        <v>Fronteiras</v>
      </c>
      <c r="U804" s="55" t="str">
        <f t="shared" si="78"/>
        <v>Geográficas</v>
      </c>
      <c r="V804" s="55" t="str">
        <f t="shared" si="78"/>
        <v>Políticas</v>
      </c>
      <c r="W804" s="54" t="s">
        <v>7259</v>
      </c>
      <c r="X804" s="84" t="str">
        <f t="shared" si="75"/>
        <v>Key-COD-CT-804</v>
      </c>
      <c r="Y804" s="84" t="s">
        <v>5464</v>
      </c>
      <c r="Z804" s="84" t="s">
        <v>692</v>
      </c>
      <c r="AA804" s="84" t="s">
        <v>7148</v>
      </c>
      <c r="AB804" s="84" t="s">
        <v>692</v>
      </c>
      <c r="AC804" s="84" t="s">
        <v>692</v>
      </c>
      <c r="AD804" s="54" t="s">
        <v>692</v>
      </c>
    </row>
    <row r="805" spans="1:30" ht="6.6" customHeight="1" x14ac:dyDescent="0.25">
      <c r="A805" s="85">
        <v>805</v>
      </c>
      <c r="B805" s="80" t="s">
        <v>5419</v>
      </c>
      <c r="C805" s="28" t="s">
        <v>3720</v>
      </c>
      <c r="D805" s="28" t="s">
        <v>3721</v>
      </c>
      <c r="E805" s="28" t="s">
        <v>3730</v>
      </c>
      <c r="F805" s="28" t="s">
        <v>5433</v>
      </c>
      <c r="G805" s="86" t="s">
        <v>692</v>
      </c>
      <c r="H805" s="86" t="s">
        <v>692</v>
      </c>
      <c r="I805" s="86" t="s">
        <v>692</v>
      </c>
      <c r="J805" s="86" t="s">
        <v>692</v>
      </c>
      <c r="K805" s="86" t="str">
        <f>_xlfn.CONCAT("é.dentro.de some ",F792)</f>
        <v>é.dentro.de some SubContinente</v>
      </c>
      <c r="L805" s="58" t="str">
        <f t="shared" si="77"/>
        <v>Fronteiras</v>
      </c>
      <c r="M805" s="58" t="str">
        <f t="shared" si="79"/>
        <v>Geográficas</v>
      </c>
      <c r="N805" s="58" t="str">
        <f t="shared" si="79"/>
        <v>Políticas</v>
      </c>
      <c r="O805" s="58" t="str">
        <f t="shared" si="79"/>
        <v>Capital do Norte</v>
      </c>
      <c r="P805" s="58" t="s">
        <v>5434</v>
      </c>
      <c r="Q805" s="58" t="str">
        <f t="shared" si="81"/>
        <v>Ciudad capital de un Estado situado en la región norte de Brasil.</v>
      </c>
      <c r="R805" s="55" t="s">
        <v>6778</v>
      </c>
      <c r="S805" s="55" t="s">
        <v>692</v>
      </c>
      <c r="T805" s="55" t="str">
        <f t="shared" si="78"/>
        <v>Fronteiras</v>
      </c>
      <c r="U805" s="55" t="str">
        <f t="shared" si="78"/>
        <v>Geográficas</v>
      </c>
      <c r="V805" s="55" t="str">
        <f t="shared" si="78"/>
        <v>Políticas</v>
      </c>
      <c r="W805" s="54" t="s">
        <v>7259</v>
      </c>
      <c r="X805" s="84" t="str">
        <f t="shared" si="75"/>
        <v>Key-COD-CT-805</v>
      </c>
      <c r="Y805" s="84" t="s">
        <v>5464</v>
      </c>
      <c r="Z805" s="84" t="s">
        <v>692</v>
      </c>
      <c r="AA805" s="84" t="s">
        <v>7148</v>
      </c>
      <c r="AB805" s="84" t="s">
        <v>692</v>
      </c>
      <c r="AC805" s="84" t="s">
        <v>692</v>
      </c>
      <c r="AD805" s="54" t="s">
        <v>692</v>
      </c>
    </row>
    <row r="806" spans="1:30" ht="6.6" customHeight="1" x14ac:dyDescent="0.25">
      <c r="A806" s="85">
        <v>806</v>
      </c>
      <c r="B806" s="80" t="s">
        <v>5419</v>
      </c>
      <c r="C806" s="28" t="s">
        <v>3720</v>
      </c>
      <c r="D806" s="28" t="s">
        <v>3721</v>
      </c>
      <c r="E806" s="28" t="s">
        <v>3730</v>
      </c>
      <c r="F806" s="28" t="s">
        <v>5435</v>
      </c>
      <c r="G806" s="86" t="s">
        <v>692</v>
      </c>
      <c r="H806" s="86" t="s">
        <v>692</v>
      </c>
      <c r="I806" s="86" t="s">
        <v>692</v>
      </c>
      <c r="J806" s="86" t="s">
        <v>692</v>
      </c>
      <c r="K806" s="86" t="str">
        <f>_xlfn.CONCAT("é.dentro.de some ",F792)</f>
        <v>é.dentro.de some SubContinente</v>
      </c>
      <c r="L806" s="58" t="str">
        <f t="shared" si="77"/>
        <v>Fronteiras</v>
      </c>
      <c r="M806" s="58" t="str">
        <f t="shared" si="79"/>
        <v>Geográficas</v>
      </c>
      <c r="N806" s="58" t="str">
        <f t="shared" si="79"/>
        <v>Políticas</v>
      </c>
      <c r="O806" s="58" t="str">
        <f t="shared" si="79"/>
        <v>Capital do Nordeste</v>
      </c>
      <c r="P806" s="58" t="s">
        <v>5436</v>
      </c>
      <c r="Q806" s="58" t="str">
        <f t="shared" si="81"/>
        <v>Ciudad capital de un estado situado en la región noreste de Brasil.</v>
      </c>
      <c r="R806" s="55" t="s">
        <v>6779</v>
      </c>
      <c r="S806" s="55" t="s">
        <v>692</v>
      </c>
      <c r="T806" s="55" t="str">
        <f t="shared" si="78"/>
        <v>Fronteiras</v>
      </c>
      <c r="U806" s="55" t="str">
        <f t="shared" si="78"/>
        <v>Geográficas</v>
      </c>
      <c r="V806" s="55" t="str">
        <f t="shared" si="78"/>
        <v>Políticas</v>
      </c>
      <c r="W806" s="54" t="s">
        <v>7259</v>
      </c>
      <c r="X806" s="84" t="str">
        <f t="shared" si="75"/>
        <v>Key-COD-CT-806</v>
      </c>
      <c r="Y806" s="84" t="s">
        <v>5464</v>
      </c>
      <c r="Z806" s="84" t="s">
        <v>692</v>
      </c>
      <c r="AA806" s="84" t="s">
        <v>7148</v>
      </c>
      <c r="AB806" s="84" t="s">
        <v>692</v>
      </c>
      <c r="AC806" s="84" t="s">
        <v>692</v>
      </c>
      <c r="AD806" s="54" t="s">
        <v>692</v>
      </c>
    </row>
    <row r="807" spans="1:30" ht="6.6" customHeight="1" x14ac:dyDescent="0.25">
      <c r="A807" s="85">
        <v>807</v>
      </c>
      <c r="B807" s="80" t="s">
        <v>5419</v>
      </c>
      <c r="C807" s="28" t="s">
        <v>3720</v>
      </c>
      <c r="D807" s="28" t="s">
        <v>3721</v>
      </c>
      <c r="E807" s="28" t="s">
        <v>3730</v>
      </c>
      <c r="F807" s="28" t="s">
        <v>5437</v>
      </c>
      <c r="G807" s="86" t="s">
        <v>692</v>
      </c>
      <c r="H807" s="86" t="s">
        <v>692</v>
      </c>
      <c r="I807" s="86" t="s">
        <v>692</v>
      </c>
      <c r="J807" s="86" t="s">
        <v>692</v>
      </c>
      <c r="K807" s="86" t="str">
        <f>_xlfn.CONCAT("é.dentro.de some ",F793)</f>
        <v>é.dentro.de some Bioma</v>
      </c>
      <c r="L807" s="58" t="str">
        <f t="shared" si="77"/>
        <v>Fronteiras</v>
      </c>
      <c r="M807" s="58" t="str">
        <f t="shared" si="79"/>
        <v>Geográficas</v>
      </c>
      <c r="N807" s="58" t="str">
        <f t="shared" si="79"/>
        <v>Políticas</v>
      </c>
      <c r="O807" s="58" t="str">
        <f t="shared" si="79"/>
        <v>Capital do CentroOeste</v>
      </c>
      <c r="P807" s="58" t="s">
        <v>5438</v>
      </c>
      <c r="Q807" s="58" t="str">
        <f t="shared" si="81"/>
        <v>Ciudad capital de un estado situado en la región del Medio Oeste de Brasil.</v>
      </c>
      <c r="R807" s="55" t="s">
        <v>6780</v>
      </c>
      <c r="S807" s="55" t="s">
        <v>692</v>
      </c>
      <c r="T807" s="55" t="str">
        <f t="shared" ref="T807:V901" si="82">SUBSTITUTE(C807, ".", " ")</f>
        <v>Fronteiras</v>
      </c>
      <c r="U807" s="55" t="str">
        <f t="shared" si="82"/>
        <v>Geográficas</v>
      </c>
      <c r="V807" s="55" t="str">
        <f t="shared" si="82"/>
        <v>Políticas</v>
      </c>
      <c r="W807" s="54" t="s">
        <v>7259</v>
      </c>
      <c r="X807" s="84" t="str">
        <f t="shared" si="75"/>
        <v>Key-COD-CT-807</v>
      </c>
      <c r="Y807" s="84" t="s">
        <v>5464</v>
      </c>
      <c r="Z807" s="84" t="s">
        <v>692</v>
      </c>
      <c r="AA807" s="84" t="s">
        <v>7148</v>
      </c>
      <c r="AB807" s="84" t="s">
        <v>692</v>
      </c>
      <c r="AC807" s="84" t="s">
        <v>692</v>
      </c>
      <c r="AD807" s="54" t="s">
        <v>692</v>
      </c>
    </row>
    <row r="808" spans="1:30" ht="6.6" customHeight="1" x14ac:dyDescent="0.25">
      <c r="A808" s="85">
        <v>808</v>
      </c>
      <c r="B808" s="80" t="s">
        <v>5419</v>
      </c>
      <c r="C808" s="28" t="s">
        <v>3720</v>
      </c>
      <c r="D808" s="28" t="s">
        <v>3721</v>
      </c>
      <c r="E808" s="28" t="s">
        <v>3730</v>
      </c>
      <c r="F808" s="28" t="s">
        <v>871</v>
      </c>
      <c r="G808" s="86" t="s">
        <v>692</v>
      </c>
      <c r="H808" s="86" t="s">
        <v>692</v>
      </c>
      <c r="I808" s="86" t="s">
        <v>692</v>
      </c>
      <c r="J808" s="86" t="s">
        <v>692</v>
      </c>
      <c r="K808" s="86" t="str">
        <f>_xlfn.CONCAT("é.dentro.de some ",F798)</f>
        <v>é.dentro.de some Região.Imediata</v>
      </c>
      <c r="L808" s="58" t="str">
        <f t="shared" si="77"/>
        <v>Fronteiras</v>
      </c>
      <c r="M808" s="58" t="str">
        <f t="shared" si="79"/>
        <v>Geográficas</v>
      </c>
      <c r="N808" s="58" t="str">
        <f t="shared" si="79"/>
        <v>Políticas</v>
      </c>
      <c r="O808" s="58" t="str">
        <f t="shared" si="79"/>
        <v>Cidade</v>
      </c>
      <c r="P808" s="58" t="s">
        <v>5439</v>
      </c>
      <c r="Q808" s="58" t="str">
        <f t="shared" si="81"/>
        <v>Ciudad de Brasil.</v>
      </c>
      <c r="R808" s="55" t="s">
        <v>6781</v>
      </c>
      <c r="S808" s="55" t="s">
        <v>692</v>
      </c>
      <c r="T808" s="55" t="str">
        <f t="shared" si="82"/>
        <v>Fronteiras</v>
      </c>
      <c r="U808" s="55" t="str">
        <f t="shared" si="82"/>
        <v>Geográficas</v>
      </c>
      <c r="V808" s="55" t="str">
        <f t="shared" si="82"/>
        <v>Políticas</v>
      </c>
      <c r="W808" s="54" t="s">
        <v>7259</v>
      </c>
      <c r="X808" s="84" t="str">
        <f t="shared" si="75"/>
        <v>Key-COD-CT-808</v>
      </c>
      <c r="Y808" s="84" t="s">
        <v>5464</v>
      </c>
      <c r="Z808" s="84" t="s">
        <v>692</v>
      </c>
      <c r="AA808" s="84" t="s">
        <v>7148</v>
      </c>
      <c r="AB808" s="84" t="s">
        <v>692</v>
      </c>
      <c r="AC808" s="84" t="s">
        <v>692</v>
      </c>
      <c r="AD808" s="54" t="s">
        <v>692</v>
      </c>
    </row>
    <row r="809" spans="1:30" ht="6.6" customHeight="1" x14ac:dyDescent="0.25">
      <c r="A809" s="85">
        <v>809</v>
      </c>
      <c r="B809" s="80" t="s">
        <v>5419</v>
      </c>
      <c r="C809" s="28" t="s">
        <v>3720</v>
      </c>
      <c r="D809" s="28" t="s">
        <v>3721</v>
      </c>
      <c r="E809" s="28" t="s">
        <v>3730</v>
      </c>
      <c r="F809" s="28" t="s">
        <v>5440</v>
      </c>
      <c r="G809" s="86" t="s">
        <v>692</v>
      </c>
      <c r="H809" s="86" t="s">
        <v>692</v>
      </c>
      <c r="I809" s="86" t="s">
        <v>692</v>
      </c>
      <c r="J809" s="86" t="s">
        <v>692</v>
      </c>
      <c r="K809" s="86" t="str">
        <f>_xlfn.CONCAT("é.dentro.de some ",F798)</f>
        <v>é.dentro.de some Região.Imediata</v>
      </c>
      <c r="L809" s="58" t="str">
        <f t="shared" si="77"/>
        <v>Fronteiras</v>
      </c>
      <c r="M809" s="58" t="str">
        <f t="shared" si="79"/>
        <v>Geográficas</v>
      </c>
      <c r="N809" s="58" t="str">
        <f t="shared" si="79"/>
        <v>Políticas</v>
      </c>
      <c r="O809" s="58" t="str">
        <f t="shared" si="79"/>
        <v>Cidade do Sul</v>
      </c>
      <c r="P809" s="58" t="s">
        <v>5441</v>
      </c>
      <c r="Q809" s="58" t="str">
        <f t="shared" si="81"/>
        <v>Ciudad situada en la región sur de Brasil.</v>
      </c>
      <c r="R809" s="55" t="s">
        <v>6782</v>
      </c>
      <c r="S809" s="55" t="s">
        <v>692</v>
      </c>
      <c r="T809" s="55" t="str">
        <f t="shared" si="82"/>
        <v>Fronteiras</v>
      </c>
      <c r="U809" s="55" t="str">
        <f t="shared" si="82"/>
        <v>Geográficas</v>
      </c>
      <c r="V809" s="55" t="str">
        <f t="shared" si="82"/>
        <v>Políticas</v>
      </c>
      <c r="W809" s="54" t="s">
        <v>7259</v>
      </c>
      <c r="X809" s="84" t="str">
        <f t="shared" si="75"/>
        <v>Key-COD-CT-809</v>
      </c>
      <c r="Y809" s="84" t="s">
        <v>5464</v>
      </c>
      <c r="Z809" s="84" t="s">
        <v>692</v>
      </c>
      <c r="AA809" s="84" t="s">
        <v>7148</v>
      </c>
      <c r="AB809" s="84" t="s">
        <v>692</v>
      </c>
      <c r="AC809" s="84" t="s">
        <v>692</v>
      </c>
      <c r="AD809" s="54" t="s">
        <v>692</v>
      </c>
    </row>
    <row r="810" spans="1:30" ht="6.6" customHeight="1" x14ac:dyDescent="0.25">
      <c r="A810" s="85">
        <v>810</v>
      </c>
      <c r="B810" s="80" t="s">
        <v>5419</v>
      </c>
      <c r="C810" s="28" t="s">
        <v>3720</v>
      </c>
      <c r="D810" s="28" t="s">
        <v>3721</v>
      </c>
      <c r="E810" s="28" t="s">
        <v>3730</v>
      </c>
      <c r="F810" s="28" t="s">
        <v>5442</v>
      </c>
      <c r="G810" s="86" t="s">
        <v>692</v>
      </c>
      <c r="H810" s="86" t="s">
        <v>692</v>
      </c>
      <c r="I810" s="86" t="s">
        <v>692</v>
      </c>
      <c r="J810" s="86" t="s">
        <v>692</v>
      </c>
      <c r="K810" s="86" t="str">
        <f>_xlfn.CONCAT("é.dentro.de some ",F798)</f>
        <v>é.dentro.de some Região.Imediata</v>
      </c>
      <c r="L810" s="58" t="str">
        <f t="shared" si="77"/>
        <v>Fronteiras</v>
      </c>
      <c r="M810" s="58" t="str">
        <f t="shared" si="79"/>
        <v>Geográficas</v>
      </c>
      <c r="N810" s="58" t="str">
        <f t="shared" si="79"/>
        <v>Políticas</v>
      </c>
      <c r="O810" s="58" t="str">
        <f t="shared" si="79"/>
        <v>Cidade do Sudeste</v>
      </c>
      <c r="P810" s="58" t="s">
        <v>5443</v>
      </c>
      <c r="Q810" s="58" t="str">
        <f t="shared" si="81"/>
        <v>Ciudad situada en la región sureste de Brasil.</v>
      </c>
      <c r="R810" s="55" t="s">
        <v>6783</v>
      </c>
      <c r="S810" s="55" t="s">
        <v>692</v>
      </c>
      <c r="T810" s="55" t="str">
        <f t="shared" si="82"/>
        <v>Fronteiras</v>
      </c>
      <c r="U810" s="55" t="str">
        <f t="shared" si="82"/>
        <v>Geográficas</v>
      </c>
      <c r="V810" s="55" t="str">
        <f t="shared" si="82"/>
        <v>Políticas</v>
      </c>
      <c r="W810" s="54" t="s">
        <v>7259</v>
      </c>
      <c r="X810" s="84" t="str">
        <f t="shared" si="75"/>
        <v>Key-COD-CT-810</v>
      </c>
      <c r="Y810" s="84" t="s">
        <v>5464</v>
      </c>
      <c r="Z810" s="84" t="s">
        <v>692</v>
      </c>
      <c r="AA810" s="84" t="s">
        <v>7148</v>
      </c>
      <c r="AB810" s="84" t="s">
        <v>692</v>
      </c>
      <c r="AC810" s="84" t="s">
        <v>692</v>
      </c>
      <c r="AD810" s="54" t="s">
        <v>692</v>
      </c>
    </row>
    <row r="811" spans="1:30" ht="6.6" customHeight="1" x14ac:dyDescent="0.25">
      <c r="A811" s="85">
        <v>811</v>
      </c>
      <c r="B811" s="80" t="s">
        <v>5419</v>
      </c>
      <c r="C811" s="28" t="s">
        <v>3720</v>
      </c>
      <c r="D811" s="28" t="s">
        <v>3721</v>
      </c>
      <c r="E811" s="28" t="s">
        <v>3730</v>
      </c>
      <c r="F811" s="28" t="s">
        <v>5444</v>
      </c>
      <c r="G811" s="86" t="s">
        <v>692</v>
      </c>
      <c r="H811" s="86" t="s">
        <v>692</v>
      </c>
      <c r="I811" s="86" t="s">
        <v>692</v>
      </c>
      <c r="J811" s="86" t="s">
        <v>692</v>
      </c>
      <c r="K811" s="86" t="str">
        <f>_xlfn.CONCAT("é.dentro.de some ",F798)</f>
        <v>é.dentro.de some Região.Imediata</v>
      </c>
      <c r="L811" s="58" t="str">
        <f t="shared" si="77"/>
        <v>Fronteiras</v>
      </c>
      <c r="M811" s="58" t="str">
        <f t="shared" si="79"/>
        <v>Geográficas</v>
      </c>
      <c r="N811" s="58" t="str">
        <f t="shared" si="79"/>
        <v>Políticas</v>
      </c>
      <c r="O811" s="58" t="str">
        <f t="shared" si="79"/>
        <v>Cidade do Norte</v>
      </c>
      <c r="P811" s="58" t="s">
        <v>5445</v>
      </c>
      <c r="Q811" s="58" t="str">
        <f t="shared" si="81"/>
        <v>Ciudad situada en la región norte de Brasil.</v>
      </c>
      <c r="R811" s="55" t="s">
        <v>6784</v>
      </c>
      <c r="S811" s="55" t="s">
        <v>692</v>
      </c>
      <c r="T811" s="55" t="str">
        <f t="shared" si="82"/>
        <v>Fronteiras</v>
      </c>
      <c r="U811" s="55" t="str">
        <f t="shared" si="82"/>
        <v>Geográficas</v>
      </c>
      <c r="V811" s="55" t="str">
        <f t="shared" si="82"/>
        <v>Políticas</v>
      </c>
      <c r="W811" s="54" t="s">
        <v>7259</v>
      </c>
      <c r="X811" s="84" t="str">
        <f t="shared" si="75"/>
        <v>Key-COD-CT-811</v>
      </c>
      <c r="Y811" s="84" t="s">
        <v>5464</v>
      </c>
      <c r="Z811" s="84" t="s">
        <v>692</v>
      </c>
      <c r="AA811" s="84" t="s">
        <v>7148</v>
      </c>
      <c r="AB811" s="84" t="s">
        <v>692</v>
      </c>
      <c r="AC811" s="84" t="s">
        <v>692</v>
      </c>
      <c r="AD811" s="54" t="s">
        <v>692</v>
      </c>
    </row>
    <row r="812" spans="1:30" ht="6.6" customHeight="1" x14ac:dyDescent="0.25">
      <c r="A812" s="85">
        <v>812</v>
      </c>
      <c r="B812" s="80" t="s">
        <v>5419</v>
      </c>
      <c r="C812" s="28" t="s">
        <v>3720</v>
      </c>
      <c r="D812" s="28" t="s">
        <v>3721</v>
      </c>
      <c r="E812" s="28" t="s">
        <v>3730</v>
      </c>
      <c r="F812" s="28" t="s">
        <v>5446</v>
      </c>
      <c r="G812" s="86" t="s">
        <v>692</v>
      </c>
      <c r="H812" s="86" t="s">
        <v>692</v>
      </c>
      <c r="I812" s="86" t="s">
        <v>692</v>
      </c>
      <c r="J812" s="86" t="s">
        <v>692</v>
      </c>
      <c r="K812" s="86" t="str">
        <f>_xlfn.CONCAT("é.dentro.de some ",F798)</f>
        <v>é.dentro.de some Região.Imediata</v>
      </c>
      <c r="L812" s="58" t="str">
        <f t="shared" si="77"/>
        <v>Fronteiras</v>
      </c>
      <c r="M812" s="58" t="str">
        <f t="shared" si="79"/>
        <v>Geográficas</v>
      </c>
      <c r="N812" s="58" t="str">
        <f t="shared" si="79"/>
        <v>Políticas</v>
      </c>
      <c r="O812" s="58" t="str">
        <f t="shared" si="79"/>
        <v>Cidade do Nordeste</v>
      </c>
      <c r="P812" s="58" t="s">
        <v>5447</v>
      </c>
      <c r="Q812" s="58" t="str">
        <f t="shared" si="81"/>
        <v>Ciudad situada en la región noreste de Brasil.</v>
      </c>
      <c r="R812" s="55" t="s">
        <v>6785</v>
      </c>
      <c r="S812" s="55" t="s">
        <v>692</v>
      </c>
      <c r="T812" s="55" t="str">
        <f t="shared" si="82"/>
        <v>Fronteiras</v>
      </c>
      <c r="U812" s="55" t="str">
        <f t="shared" si="82"/>
        <v>Geográficas</v>
      </c>
      <c r="V812" s="55" t="str">
        <f t="shared" si="82"/>
        <v>Políticas</v>
      </c>
      <c r="W812" s="54" t="s">
        <v>7259</v>
      </c>
      <c r="X812" s="84" t="str">
        <f t="shared" si="75"/>
        <v>Key-COD-CT-812</v>
      </c>
      <c r="Y812" s="84" t="s">
        <v>5464</v>
      </c>
      <c r="Z812" s="84" t="s">
        <v>692</v>
      </c>
      <c r="AA812" s="84" t="s">
        <v>7148</v>
      </c>
      <c r="AB812" s="84" t="s">
        <v>692</v>
      </c>
      <c r="AC812" s="84" t="s">
        <v>692</v>
      </c>
      <c r="AD812" s="54" t="s">
        <v>692</v>
      </c>
    </row>
    <row r="813" spans="1:30" ht="6.6" customHeight="1" x14ac:dyDescent="0.25">
      <c r="A813" s="85">
        <v>813</v>
      </c>
      <c r="B813" s="80" t="s">
        <v>5419</v>
      </c>
      <c r="C813" s="28" t="s">
        <v>3720</v>
      </c>
      <c r="D813" s="28" t="s">
        <v>3721</v>
      </c>
      <c r="E813" s="28" t="s">
        <v>3730</v>
      </c>
      <c r="F813" s="28" t="s">
        <v>5448</v>
      </c>
      <c r="G813" s="86" t="s">
        <v>692</v>
      </c>
      <c r="H813" s="86" t="s">
        <v>692</v>
      </c>
      <c r="I813" s="86" t="s">
        <v>692</v>
      </c>
      <c r="J813" s="86" t="s">
        <v>692</v>
      </c>
      <c r="K813" s="86" t="str">
        <f>_xlfn.CONCAT("é.dentro.de some ",F799)</f>
        <v>é.dentro.de some Estado</v>
      </c>
      <c r="L813" s="58" t="str">
        <f t="shared" si="77"/>
        <v>Fronteiras</v>
      </c>
      <c r="M813" s="58" t="str">
        <f t="shared" si="79"/>
        <v>Geográficas</v>
      </c>
      <c r="N813" s="58" t="str">
        <f t="shared" si="79"/>
        <v>Políticas</v>
      </c>
      <c r="O813" s="58" t="str">
        <f t="shared" si="79"/>
        <v>Cidade do CentroOeste</v>
      </c>
      <c r="P813" s="58" t="s">
        <v>5449</v>
      </c>
      <c r="Q813" s="58" t="str">
        <f t="shared" si="81"/>
        <v>Ciudad situada en la región del Medio Oeste de Brasil.</v>
      </c>
      <c r="R813" s="55" t="s">
        <v>6786</v>
      </c>
      <c r="S813" s="55" t="s">
        <v>692</v>
      </c>
      <c r="T813" s="55" t="str">
        <f t="shared" si="82"/>
        <v>Fronteiras</v>
      </c>
      <c r="U813" s="55" t="str">
        <f t="shared" si="82"/>
        <v>Geográficas</v>
      </c>
      <c r="V813" s="55" t="str">
        <f t="shared" si="82"/>
        <v>Políticas</v>
      </c>
      <c r="W813" s="54" t="s">
        <v>7259</v>
      </c>
      <c r="X813" s="84" t="str">
        <f t="shared" si="75"/>
        <v>Key-COD-CT-813</v>
      </c>
      <c r="Y813" s="84" t="s">
        <v>5464</v>
      </c>
      <c r="Z813" s="84" t="s">
        <v>692</v>
      </c>
      <c r="AA813" s="84" t="s">
        <v>7148</v>
      </c>
      <c r="AB813" s="84" t="s">
        <v>692</v>
      </c>
      <c r="AC813" s="84" t="s">
        <v>692</v>
      </c>
      <c r="AD813" s="54" t="s">
        <v>692</v>
      </c>
    </row>
    <row r="814" spans="1:30" ht="6.6" customHeight="1" x14ac:dyDescent="0.25">
      <c r="A814" s="85">
        <v>814</v>
      </c>
      <c r="B814" s="80" t="s">
        <v>5419</v>
      </c>
      <c r="C814" s="28" t="s">
        <v>3720</v>
      </c>
      <c r="D814" s="28" t="s">
        <v>3721</v>
      </c>
      <c r="E814" s="28" t="s">
        <v>3730</v>
      </c>
      <c r="F814" s="28" t="s">
        <v>3746</v>
      </c>
      <c r="G814" s="86" t="s">
        <v>692</v>
      </c>
      <c r="H814" s="86" t="s">
        <v>692</v>
      </c>
      <c r="I814" s="86" t="s">
        <v>692</v>
      </c>
      <c r="J814" s="86" t="s">
        <v>692</v>
      </c>
      <c r="K814" s="86" t="str">
        <f>_xlfn.CONCAT("é.dentro.de some ",F799)</f>
        <v>é.dentro.de some Estado</v>
      </c>
      <c r="L814" s="58" t="str">
        <f t="shared" si="77"/>
        <v>Fronteiras</v>
      </c>
      <c r="M814" s="58" t="str">
        <f t="shared" si="79"/>
        <v>Geográficas</v>
      </c>
      <c r="N814" s="58" t="str">
        <f t="shared" si="79"/>
        <v>Políticas</v>
      </c>
      <c r="O814" s="58" t="str">
        <f t="shared" si="79"/>
        <v>Metrópoli</v>
      </c>
      <c r="P814" s="58" t="s">
        <v>3747</v>
      </c>
      <c r="Q814" s="58" t="s">
        <v>3746</v>
      </c>
      <c r="R814" s="55" t="s">
        <v>6787</v>
      </c>
      <c r="S814" s="55" t="s">
        <v>692</v>
      </c>
      <c r="T814" s="55" t="str">
        <f t="shared" si="82"/>
        <v>Fronteiras</v>
      </c>
      <c r="U814" s="55" t="str">
        <f t="shared" si="82"/>
        <v>Geográficas</v>
      </c>
      <c r="V814" s="55" t="str">
        <f t="shared" si="82"/>
        <v>Políticas</v>
      </c>
      <c r="W814" s="54" t="s">
        <v>7259</v>
      </c>
      <c r="X814" s="84" t="str">
        <f t="shared" si="75"/>
        <v>Key-COD-CT-814</v>
      </c>
      <c r="Y814" s="84" t="s">
        <v>5464</v>
      </c>
      <c r="Z814" s="84" t="s">
        <v>692</v>
      </c>
      <c r="AA814" s="84" t="s">
        <v>7148</v>
      </c>
      <c r="AB814" s="84" t="s">
        <v>692</v>
      </c>
      <c r="AC814" s="84" t="s">
        <v>692</v>
      </c>
      <c r="AD814" s="54" t="s">
        <v>692</v>
      </c>
    </row>
    <row r="815" spans="1:30" ht="6.6" customHeight="1" x14ac:dyDescent="0.25">
      <c r="A815" s="85">
        <v>815</v>
      </c>
      <c r="B815" s="80" t="s">
        <v>5419</v>
      </c>
      <c r="C815" s="28" t="s">
        <v>3720</v>
      </c>
      <c r="D815" s="28" t="s">
        <v>3721</v>
      </c>
      <c r="E815" s="28" t="s">
        <v>3730</v>
      </c>
      <c r="F815" s="28" t="s">
        <v>3748</v>
      </c>
      <c r="G815" s="86" t="s">
        <v>692</v>
      </c>
      <c r="H815" s="86" t="s">
        <v>692</v>
      </c>
      <c r="I815" s="86" t="s">
        <v>692</v>
      </c>
      <c r="J815" s="86" t="s">
        <v>692</v>
      </c>
      <c r="K815" s="86" t="str">
        <f>_xlfn.CONCAT("é.dentro.de some ",F800)</f>
        <v>é.dentro.de some UF</v>
      </c>
      <c r="L815" s="58" t="str">
        <f t="shared" si="77"/>
        <v>Fronteiras</v>
      </c>
      <c r="M815" s="58" t="str">
        <f t="shared" si="79"/>
        <v>Geográficas</v>
      </c>
      <c r="N815" s="58" t="str">
        <f t="shared" si="79"/>
        <v>Políticas</v>
      </c>
      <c r="O815" s="58" t="str">
        <f t="shared" si="79"/>
        <v>Município</v>
      </c>
      <c r="P815" s="58" t="s">
        <v>3749</v>
      </c>
      <c r="Q815" s="58" t="s">
        <v>3750</v>
      </c>
      <c r="R815" s="55" t="s">
        <v>6788</v>
      </c>
      <c r="S815" s="55" t="s">
        <v>692</v>
      </c>
      <c r="T815" s="55" t="str">
        <f t="shared" si="82"/>
        <v>Fronteiras</v>
      </c>
      <c r="U815" s="55" t="str">
        <f t="shared" si="82"/>
        <v>Geográficas</v>
      </c>
      <c r="V815" s="55" t="str">
        <f t="shared" si="82"/>
        <v>Políticas</v>
      </c>
      <c r="W815" s="54" t="s">
        <v>7259</v>
      </c>
      <c r="X815" s="84" t="str">
        <f t="shared" si="75"/>
        <v>Key-COD-CT-815</v>
      </c>
      <c r="Y815" s="84" t="s">
        <v>5464</v>
      </c>
      <c r="Z815" s="84" t="s">
        <v>692</v>
      </c>
      <c r="AA815" s="84" t="s">
        <v>7148</v>
      </c>
      <c r="AB815" s="84" t="s">
        <v>692</v>
      </c>
      <c r="AC815" s="84" t="s">
        <v>692</v>
      </c>
      <c r="AD815" s="54" t="s">
        <v>692</v>
      </c>
    </row>
    <row r="816" spans="1:30" ht="6.6" customHeight="1" x14ac:dyDescent="0.25">
      <c r="A816" s="85">
        <v>816</v>
      </c>
      <c r="B816" s="80" t="s">
        <v>5419</v>
      </c>
      <c r="C816" s="28" t="s">
        <v>3720</v>
      </c>
      <c r="D816" s="28" t="s">
        <v>3751</v>
      </c>
      <c r="E816" s="28" t="s">
        <v>3752</v>
      </c>
      <c r="F816" s="28" t="s">
        <v>3753</v>
      </c>
      <c r="G816" s="86" t="s">
        <v>692</v>
      </c>
      <c r="H816" s="86" t="s">
        <v>692</v>
      </c>
      <c r="I816" s="86" t="s">
        <v>692</v>
      </c>
      <c r="J816" s="86" t="s">
        <v>692</v>
      </c>
      <c r="K816" s="86" t="str">
        <f>_xlfn.CONCAT("é.dentro.de some ",E816)</f>
        <v>é.dentro.de some Bioclimáticas</v>
      </c>
      <c r="L816" s="58" t="str">
        <f t="shared" si="77"/>
        <v>Fronteiras</v>
      </c>
      <c r="M816" s="58" t="str">
        <f t="shared" si="79"/>
        <v>Térmicas</v>
      </c>
      <c r="N816" s="58" t="str">
        <f t="shared" si="79"/>
        <v>Bioclimáticas</v>
      </c>
      <c r="O816" s="58" t="str">
        <f t="shared" si="79"/>
        <v>Região Climática</v>
      </c>
      <c r="P816" s="58" t="s">
        <v>3754</v>
      </c>
      <c r="Q816" s="58" t="s">
        <v>3755</v>
      </c>
      <c r="R816" s="55" t="s">
        <v>6789</v>
      </c>
      <c r="S816" s="55" t="s">
        <v>692</v>
      </c>
      <c r="T816" s="55" t="str">
        <f t="shared" si="82"/>
        <v>Fronteiras</v>
      </c>
      <c r="U816" s="55" t="str">
        <f t="shared" si="82"/>
        <v>Térmicas</v>
      </c>
      <c r="V816" s="55" t="str">
        <f t="shared" si="82"/>
        <v>Bioclimáticas</v>
      </c>
      <c r="W816" s="54" t="s">
        <v>7259</v>
      </c>
      <c r="X816" s="84" t="str">
        <f t="shared" si="75"/>
        <v>Key-COD-CT-816</v>
      </c>
      <c r="Y816" s="84" t="s">
        <v>5450</v>
      </c>
      <c r="Z816" s="84" t="s">
        <v>692</v>
      </c>
      <c r="AA816" s="84" t="s">
        <v>7148</v>
      </c>
      <c r="AB816" s="84" t="s">
        <v>692</v>
      </c>
      <c r="AC816" s="84" t="s">
        <v>692</v>
      </c>
      <c r="AD816" s="54" t="s">
        <v>692</v>
      </c>
    </row>
    <row r="817" spans="1:30" ht="6.6" customHeight="1" x14ac:dyDescent="0.25">
      <c r="A817" s="85">
        <v>817</v>
      </c>
      <c r="B817" s="80" t="s">
        <v>5419</v>
      </c>
      <c r="C817" s="28" t="s">
        <v>3720</v>
      </c>
      <c r="D817" s="28" t="s">
        <v>3751</v>
      </c>
      <c r="E817" s="28" t="s">
        <v>3752</v>
      </c>
      <c r="F817" s="28" t="s">
        <v>3756</v>
      </c>
      <c r="G817" s="86" t="s">
        <v>692</v>
      </c>
      <c r="H817" s="86" t="s">
        <v>692</v>
      </c>
      <c r="I817" s="86" t="s">
        <v>692</v>
      </c>
      <c r="J817" s="86" t="s">
        <v>692</v>
      </c>
      <c r="K817" s="86" t="str">
        <f>_xlfn.CONCAT("é.dentro.de some ",E817)</f>
        <v>é.dentro.de some Bioclimáticas</v>
      </c>
      <c r="L817" s="58" t="str">
        <f t="shared" si="77"/>
        <v>Fronteiras</v>
      </c>
      <c r="M817" s="58" t="str">
        <f t="shared" si="79"/>
        <v>Térmicas</v>
      </c>
      <c r="N817" s="58" t="str">
        <f t="shared" si="79"/>
        <v>Bioclimáticas</v>
      </c>
      <c r="O817" s="58" t="str">
        <f t="shared" si="79"/>
        <v>Zona Climática</v>
      </c>
      <c r="P817" s="58" t="s">
        <v>3757</v>
      </c>
      <c r="Q817" s="58" t="s">
        <v>3758</v>
      </c>
      <c r="R817" s="55" t="s">
        <v>6790</v>
      </c>
      <c r="S817" s="55" t="s">
        <v>692</v>
      </c>
      <c r="T817" s="55" t="str">
        <f t="shared" si="82"/>
        <v>Fronteiras</v>
      </c>
      <c r="U817" s="55" t="str">
        <f t="shared" si="82"/>
        <v>Térmicas</v>
      </c>
      <c r="V817" s="55" t="str">
        <f t="shared" si="82"/>
        <v>Bioclimáticas</v>
      </c>
      <c r="W817" s="54" t="s">
        <v>7259</v>
      </c>
      <c r="X817" s="84" t="str">
        <f t="shared" si="75"/>
        <v>Key-COD-CT-817</v>
      </c>
      <c r="Y817" s="84" t="s">
        <v>5450</v>
      </c>
      <c r="Z817" s="84" t="s">
        <v>692</v>
      </c>
      <c r="AA817" s="84" t="s">
        <v>7148</v>
      </c>
      <c r="AB817" s="84" t="s">
        <v>692</v>
      </c>
      <c r="AC817" s="84" t="s">
        <v>692</v>
      </c>
      <c r="AD817" s="54" t="s">
        <v>692</v>
      </c>
    </row>
    <row r="818" spans="1:30" ht="6.6" customHeight="1" x14ac:dyDescent="0.25">
      <c r="A818" s="85">
        <v>818</v>
      </c>
      <c r="B818" s="80" t="s">
        <v>5419</v>
      </c>
      <c r="C818" s="28" t="s">
        <v>3720</v>
      </c>
      <c r="D818" s="28" t="s">
        <v>3751</v>
      </c>
      <c r="E818" s="28" t="s">
        <v>3759</v>
      </c>
      <c r="F818" s="28" t="s">
        <v>3760</v>
      </c>
      <c r="G818" s="86" t="s">
        <v>692</v>
      </c>
      <c r="H818" s="86" t="s">
        <v>692</v>
      </c>
      <c r="I818" s="86" t="s">
        <v>692</v>
      </c>
      <c r="J818" s="86" t="s">
        <v>692</v>
      </c>
      <c r="K818" s="86" t="str">
        <f>_xlfn.CONCAT("é.dentro.de some ",E818)</f>
        <v>é.dentro.de some Ilhas.de.Calor</v>
      </c>
      <c r="L818" s="58" t="str">
        <f t="shared" si="77"/>
        <v>Fronteiras</v>
      </c>
      <c r="M818" s="58" t="str">
        <f t="shared" si="79"/>
        <v>Térmicas</v>
      </c>
      <c r="N818" s="58" t="str">
        <f t="shared" si="79"/>
        <v>Ilhas de Calor</v>
      </c>
      <c r="O818" s="58" t="str">
        <f t="shared" si="79"/>
        <v>Zona Climática Local</v>
      </c>
      <c r="P818" s="58" t="s">
        <v>3761</v>
      </c>
      <c r="Q818" s="58" t="s">
        <v>3762</v>
      </c>
      <c r="R818" s="55" t="s">
        <v>6791</v>
      </c>
      <c r="S818" s="55" t="s">
        <v>692</v>
      </c>
      <c r="T818" s="55" t="str">
        <f t="shared" si="82"/>
        <v>Fronteiras</v>
      </c>
      <c r="U818" s="55" t="str">
        <f t="shared" si="82"/>
        <v>Térmicas</v>
      </c>
      <c r="V818" s="55" t="str">
        <f t="shared" si="82"/>
        <v>Ilhas de Calor</v>
      </c>
      <c r="W818" s="54" t="s">
        <v>7259</v>
      </c>
      <c r="X818" s="84" t="str">
        <f t="shared" si="75"/>
        <v>Key-COD-CT-818</v>
      </c>
      <c r="Y818" s="84" t="s">
        <v>5450</v>
      </c>
      <c r="Z818" s="84" t="s">
        <v>692</v>
      </c>
      <c r="AA818" s="84" t="s">
        <v>7148</v>
      </c>
      <c r="AB818" s="84" t="s">
        <v>692</v>
      </c>
      <c r="AC818" s="84" t="s">
        <v>692</v>
      </c>
      <c r="AD818" s="54" t="s">
        <v>692</v>
      </c>
    </row>
    <row r="819" spans="1:30" ht="6.6" customHeight="1" x14ac:dyDescent="0.25">
      <c r="A819" s="85">
        <v>819</v>
      </c>
      <c r="B819" s="80" t="s">
        <v>5419</v>
      </c>
      <c r="C819" s="28" t="s">
        <v>3720</v>
      </c>
      <c r="D819" s="28" t="s">
        <v>3763</v>
      </c>
      <c r="E819" s="80" t="s">
        <v>3764</v>
      </c>
      <c r="F819" s="89" t="s">
        <v>3765</v>
      </c>
      <c r="G819" s="86" t="s">
        <v>692</v>
      </c>
      <c r="H819" s="86" t="s">
        <v>692</v>
      </c>
      <c r="I819" s="86" t="s">
        <v>692</v>
      </c>
      <c r="J819" s="86" t="s">
        <v>692</v>
      </c>
      <c r="K819" s="86" t="s">
        <v>692</v>
      </c>
      <c r="L819" s="90" t="str">
        <f t="shared" ref="L819:M829" si="83">CONCATENATE("", C819)</f>
        <v>Fronteiras</v>
      </c>
      <c r="M819" s="90" t="str">
        <f t="shared" si="83"/>
        <v>Demarcadas</v>
      </c>
      <c r="N819" s="90" t="str">
        <f t="shared" ref="N819:N829" si="84">(SUBSTITUTE(SUBSTITUTE(CONCATENATE("",E819),"."," ")," De "," de "))</f>
        <v>Marcos</v>
      </c>
      <c r="O819" s="55" t="str">
        <f t="shared" ref="O819:O829" si="85">F819</f>
        <v>Marco.Referencial</v>
      </c>
      <c r="P819" s="55" t="s">
        <v>3766</v>
      </c>
      <c r="Q819" s="55" t="s">
        <v>3767</v>
      </c>
      <c r="R819" s="55" t="s">
        <v>6792</v>
      </c>
      <c r="S819" s="55" t="s">
        <v>692</v>
      </c>
      <c r="T819" s="55" t="str">
        <f t="shared" ref="T819:U829" si="86">SUBSTITUTE(C819, "_", " ")</f>
        <v>Fronteiras</v>
      </c>
      <c r="U819" s="55" t="str">
        <f t="shared" si="86"/>
        <v>Demarcadas</v>
      </c>
      <c r="V819" s="55" t="str">
        <f t="shared" si="82"/>
        <v>Marcos</v>
      </c>
      <c r="W819" s="54" t="s">
        <v>7259</v>
      </c>
      <c r="X819" s="84" t="str">
        <f t="shared" si="75"/>
        <v>Key-COD-CT-819</v>
      </c>
      <c r="Y819" s="84" t="s">
        <v>5464</v>
      </c>
      <c r="Z819" s="84" t="s">
        <v>692</v>
      </c>
      <c r="AA819" s="84" t="s">
        <v>7149</v>
      </c>
      <c r="AB819" s="84" t="s">
        <v>692</v>
      </c>
      <c r="AC819" s="84" t="s">
        <v>692</v>
      </c>
      <c r="AD819" s="54" t="s">
        <v>692</v>
      </c>
    </row>
    <row r="820" spans="1:30" ht="6.6" customHeight="1" x14ac:dyDescent="0.25">
      <c r="A820" s="85">
        <v>820</v>
      </c>
      <c r="B820" s="80" t="s">
        <v>5419</v>
      </c>
      <c r="C820" s="28" t="s">
        <v>3720</v>
      </c>
      <c r="D820" s="28" t="s">
        <v>3763</v>
      </c>
      <c r="E820" s="80" t="s">
        <v>3764</v>
      </c>
      <c r="F820" s="89" t="s">
        <v>3768</v>
      </c>
      <c r="G820" s="86" t="s">
        <v>692</v>
      </c>
      <c r="H820" s="86" t="s">
        <v>692</v>
      </c>
      <c r="I820" s="86" t="s">
        <v>692</v>
      </c>
      <c r="J820" s="86" t="s">
        <v>692</v>
      </c>
      <c r="K820" s="86" t="s">
        <v>692</v>
      </c>
      <c r="L820" s="90" t="str">
        <f t="shared" si="83"/>
        <v>Fronteiras</v>
      </c>
      <c r="M820" s="90" t="str">
        <f t="shared" si="83"/>
        <v>Demarcadas</v>
      </c>
      <c r="N820" s="90" t="str">
        <f t="shared" si="84"/>
        <v>Marcos</v>
      </c>
      <c r="O820" s="55" t="str">
        <f t="shared" si="85"/>
        <v>Marco.de.Fronteira</v>
      </c>
      <c r="P820" s="55" t="s">
        <v>3769</v>
      </c>
      <c r="Q820" s="55" t="s">
        <v>3770</v>
      </c>
      <c r="R820" s="55" t="s">
        <v>6793</v>
      </c>
      <c r="S820" s="55" t="s">
        <v>692</v>
      </c>
      <c r="T820" s="55" t="str">
        <f t="shared" si="86"/>
        <v>Fronteiras</v>
      </c>
      <c r="U820" s="55" t="str">
        <f t="shared" si="86"/>
        <v>Demarcadas</v>
      </c>
      <c r="V820" s="55" t="str">
        <f t="shared" si="82"/>
        <v>Marcos</v>
      </c>
      <c r="W820" s="54" t="s">
        <v>7259</v>
      </c>
      <c r="X820" s="84" t="str">
        <f t="shared" si="75"/>
        <v>Key-COD-CT-820</v>
      </c>
      <c r="Y820" s="84" t="s">
        <v>5464</v>
      </c>
      <c r="Z820" s="84" t="s">
        <v>692</v>
      </c>
      <c r="AA820" s="84" t="s">
        <v>7150</v>
      </c>
      <c r="AB820" s="84" t="s">
        <v>692</v>
      </c>
      <c r="AC820" s="84" t="s">
        <v>692</v>
      </c>
      <c r="AD820" s="54" t="s">
        <v>692</v>
      </c>
    </row>
    <row r="821" spans="1:30" ht="6.6" customHeight="1" x14ac:dyDescent="0.25">
      <c r="A821" s="85">
        <v>821</v>
      </c>
      <c r="B821" s="80" t="s">
        <v>5419</v>
      </c>
      <c r="C821" s="28" t="s">
        <v>3720</v>
      </c>
      <c r="D821" s="28" t="s">
        <v>3763</v>
      </c>
      <c r="E821" s="80" t="s">
        <v>3764</v>
      </c>
      <c r="F821" s="89" t="s">
        <v>3771</v>
      </c>
      <c r="G821" s="86" t="s">
        <v>692</v>
      </c>
      <c r="H821" s="86" t="s">
        <v>692</v>
      </c>
      <c r="I821" s="86" t="s">
        <v>692</v>
      </c>
      <c r="J821" s="86" t="s">
        <v>692</v>
      </c>
      <c r="K821" s="86" t="s">
        <v>692</v>
      </c>
      <c r="L821" s="90" t="str">
        <f t="shared" si="83"/>
        <v>Fronteiras</v>
      </c>
      <c r="M821" s="90" t="str">
        <f t="shared" si="83"/>
        <v>Demarcadas</v>
      </c>
      <c r="N821" s="90" t="str">
        <f t="shared" si="84"/>
        <v>Marcos</v>
      </c>
      <c r="O821" s="55" t="str">
        <f t="shared" si="85"/>
        <v>Marco.de.Cruzamento</v>
      </c>
      <c r="P821" s="55" t="s">
        <v>3772</v>
      </c>
      <c r="Q821" s="55" t="s">
        <v>3773</v>
      </c>
      <c r="R821" s="55" t="s">
        <v>6794</v>
      </c>
      <c r="S821" s="55" t="s">
        <v>692</v>
      </c>
      <c r="T821" s="55" t="str">
        <f t="shared" si="86"/>
        <v>Fronteiras</v>
      </c>
      <c r="U821" s="55" t="str">
        <f t="shared" si="86"/>
        <v>Demarcadas</v>
      </c>
      <c r="V821" s="55" t="str">
        <f t="shared" si="82"/>
        <v>Marcos</v>
      </c>
      <c r="W821" s="54" t="s">
        <v>7259</v>
      </c>
      <c r="X821" s="84" t="str">
        <f t="shared" si="75"/>
        <v>Key-COD-CT-821</v>
      </c>
      <c r="Y821" s="84" t="s">
        <v>5464</v>
      </c>
      <c r="Z821" s="84" t="s">
        <v>692</v>
      </c>
      <c r="AA821" s="84" t="s">
        <v>7151</v>
      </c>
      <c r="AB821" s="84" t="s">
        <v>692</v>
      </c>
      <c r="AC821" s="84" t="s">
        <v>692</v>
      </c>
      <c r="AD821" s="54" t="s">
        <v>692</v>
      </c>
    </row>
    <row r="822" spans="1:30" ht="6.6" customHeight="1" x14ac:dyDescent="0.25">
      <c r="A822" s="85">
        <v>822</v>
      </c>
      <c r="B822" s="80" t="s">
        <v>5419</v>
      </c>
      <c r="C822" s="28" t="s">
        <v>3720</v>
      </c>
      <c r="D822" s="28" t="s">
        <v>3763</v>
      </c>
      <c r="E822" s="80" t="s">
        <v>3764</v>
      </c>
      <c r="F822" s="89" t="s">
        <v>3774</v>
      </c>
      <c r="G822" s="86" t="s">
        <v>692</v>
      </c>
      <c r="H822" s="86" t="s">
        <v>692</v>
      </c>
      <c r="I822" s="86" t="s">
        <v>692</v>
      </c>
      <c r="J822" s="86" t="s">
        <v>692</v>
      </c>
      <c r="K822" s="86" t="s">
        <v>692</v>
      </c>
      <c r="L822" s="90" t="str">
        <f t="shared" si="83"/>
        <v>Fronteiras</v>
      </c>
      <c r="M822" s="90" t="str">
        <f t="shared" si="83"/>
        <v>Demarcadas</v>
      </c>
      <c r="N822" s="90" t="str">
        <f t="shared" si="84"/>
        <v>Marcos</v>
      </c>
      <c r="O822" s="55" t="str">
        <f t="shared" si="85"/>
        <v>Marco.de.Localização</v>
      </c>
      <c r="P822" s="55" t="s">
        <v>3775</v>
      </c>
      <c r="Q822" s="55" t="s">
        <v>3776</v>
      </c>
      <c r="R822" s="55" t="s">
        <v>6795</v>
      </c>
      <c r="S822" s="55" t="s">
        <v>692</v>
      </c>
      <c r="T822" s="55" t="str">
        <f t="shared" si="86"/>
        <v>Fronteiras</v>
      </c>
      <c r="U822" s="55" t="str">
        <f t="shared" si="86"/>
        <v>Demarcadas</v>
      </c>
      <c r="V822" s="55" t="str">
        <f t="shared" si="82"/>
        <v>Marcos</v>
      </c>
      <c r="W822" s="54" t="s">
        <v>7259</v>
      </c>
      <c r="X822" s="84" t="str">
        <f t="shared" si="75"/>
        <v>Key-COD-CT-822</v>
      </c>
      <c r="Y822" s="84" t="s">
        <v>5464</v>
      </c>
      <c r="Z822" s="84" t="s">
        <v>692</v>
      </c>
      <c r="AA822" s="84" t="s">
        <v>7152</v>
      </c>
      <c r="AB822" s="84" t="s">
        <v>692</v>
      </c>
      <c r="AC822" s="84" t="s">
        <v>692</v>
      </c>
      <c r="AD822" s="54" t="s">
        <v>692</v>
      </c>
    </row>
    <row r="823" spans="1:30" ht="6.6" customHeight="1" x14ac:dyDescent="0.25">
      <c r="A823" s="85">
        <v>823</v>
      </c>
      <c r="B823" s="80" t="s">
        <v>5419</v>
      </c>
      <c r="C823" s="28" t="s">
        <v>3720</v>
      </c>
      <c r="D823" s="28" t="s">
        <v>3763</v>
      </c>
      <c r="E823" s="80" t="s">
        <v>3764</v>
      </c>
      <c r="F823" s="89" t="s">
        <v>3777</v>
      </c>
      <c r="G823" s="86" t="s">
        <v>692</v>
      </c>
      <c r="H823" s="86" t="s">
        <v>692</v>
      </c>
      <c r="I823" s="86" t="s">
        <v>692</v>
      </c>
      <c r="J823" s="86" t="s">
        <v>692</v>
      </c>
      <c r="K823" s="86" t="s">
        <v>692</v>
      </c>
      <c r="L823" s="90" t="str">
        <f t="shared" si="83"/>
        <v>Fronteiras</v>
      </c>
      <c r="M823" s="90" t="str">
        <f t="shared" si="83"/>
        <v>Demarcadas</v>
      </c>
      <c r="N823" s="90" t="str">
        <f t="shared" si="84"/>
        <v>Marcos</v>
      </c>
      <c r="O823" s="55" t="str">
        <f t="shared" si="85"/>
        <v>Marco.Quilométrico</v>
      </c>
      <c r="P823" s="55" t="s">
        <v>3778</v>
      </c>
      <c r="Q823" s="55" t="s">
        <v>3779</v>
      </c>
      <c r="R823" s="55" t="s">
        <v>6796</v>
      </c>
      <c r="S823" s="55" t="s">
        <v>692</v>
      </c>
      <c r="T823" s="55" t="str">
        <f t="shared" si="86"/>
        <v>Fronteiras</v>
      </c>
      <c r="U823" s="55" t="str">
        <f t="shared" si="86"/>
        <v>Demarcadas</v>
      </c>
      <c r="V823" s="55" t="str">
        <f t="shared" si="82"/>
        <v>Marcos</v>
      </c>
      <c r="W823" s="54" t="s">
        <v>7259</v>
      </c>
      <c r="X823" s="84" t="str">
        <f t="shared" si="75"/>
        <v>Key-COD-CT-823</v>
      </c>
      <c r="Y823" s="84" t="s">
        <v>5464</v>
      </c>
      <c r="Z823" s="84" t="s">
        <v>692</v>
      </c>
      <c r="AA823" s="84" t="s">
        <v>7153</v>
      </c>
      <c r="AB823" s="84" t="s">
        <v>692</v>
      </c>
      <c r="AC823" s="84" t="s">
        <v>692</v>
      </c>
      <c r="AD823" s="54" t="s">
        <v>692</v>
      </c>
    </row>
    <row r="824" spans="1:30" ht="6.6" customHeight="1" x14ac:dyDescent="0.25">
      <c r="A824" s="85">
        <v>824</v>
      </c>
      <c r="B824" s="80" t="s">
        <v>5419</v>
      </c>
      <c r="C824" s="28" t="s">
        <v>3720</v>
      </c>
      <c r="D824" s="28" t="s">
        <v>3763</v>
      </c>
      <c r="E824" s="80" t="s">
        <v>3764</v>
      </c>
      <c r="F824" s="89" t="s">
        <v>3780</v>
      </c>
      <c r="G824" s="86" t="s">
        <v>692</v>
      </c>
      <c r="H824" s="86" t="s">
        <v>692</v>
      </c>
      <c r="I824" s="86" t="s">
        <v>692</v>
      </c>
      <c r="J824" s="86" t="s">
        <v>692</v>
      </c>
      <c r="K824" s="86" t="s">
        <v>692</v>
      </c>
      <c r="L824" s="90" t="str">
        <f t="shared" si="83"/>
        <v>Fronteiras</v>
      </c>
      <c r="M824" s="90" t="str">
        <f t="shared" si="83"/>
        <v>Demarcadas</v>
      </c>
      <c r="N824" s="90" t="str">
        <f t="shared" si="84"/>
        <v>Marcos</v>
      </c>
      <c r="O824" s="55" t="str">
        <f t="shared" si="85"/>
        <v>Marco.Geográfico</v>
      </c>
      <c r="P824" s="55" t="s">
        <v>3781</v>
      </c>
      <c r="Q824" s="55" t="s">
        <v>3782</v>
      </c>
      <c r="R824" s="55" t="s">
        <v>6797</v>
      </c>
      <c r="S824" s="55" t="s">
        <v>692</v>
      </c>
      <c r="T824" s="55" t="str">
        <f t="shared" si="86"/>
        <v>Fronteiras</v>
      </c>
      <c r="U824" s="55" t="str">
        <f t="shared" si="86"/>
        <v>Demarcadas</v>
      </c>
      <c r="V824" s="55" t="str">
        <f t="shared" si="82"/>
        <v>Marcos</v>
      </c>
      <c r="W824" s="54" t="s">
        <v>7259</v>
      </c>
      <c r="X824" s="84" t="str">
        <f t="shared" si="75"/>
        <v>Key-COD-CT-824</v>
      </c>
      <c r="Y824" s="84" t="s">
        <v>5464</v>
      </c>
      <c r="Z824" s="84" t="s">
        <v>692</v>
      </c>
      <c r="AA824" s="84" t="s">
        <v>7154</v>
      </c>
      <c r="AB824" s="84" t="s">
        <v>692</v>
      </c>
      <c r="AC824" s="84" t="s">
        <v>692</v>
      </c>
      <c r="AD824" s="54" t="s">
        <v>692</v>
      </c>
    </row>
    <row r="825" spans="1:30" ht="6.6" customHeight="1" x14ac:dyDescent="0.25">
      <c r="A825" s="85">
        <v>825</v>
      </c>
      <c r="B825" s="80" t="s">
        <v>5419</v>
      </c>
      <c r="C825" s="28" t="s">
        <v>3720</v>
      </c>
      <c r="D825" s="28" t="s">
        <v>3763</v>
      </c>
      <c r="E825" s="80" t="s">
        <v>3764</v>
      </c>
      <c r="F825" s="89" t="s">
        <v>3783</v>
      </c>
      <c r="G825" s="86" t="s">
        <v>692</v>
      </c>
      <c r="H825" s="86" t="s">
        <v>692</v>
      </c>
      <c r="I825" s="86" t="s">
        <v>692</v>
      </c>
      <c r="J825" s="86" t="s">
        <v>692</v>
      </c>
      <c r="K825" s="86" t="s">
        <v>692</v>
      </c>
      <c r="L825" s="90" t="str">
        <f t="shared" si="83"/>
        <v>Fronteiras</v>
      </c>
      <c r="M825" s="90" t="str">
        <f t="shared" si="83"/>
        <v>Demarcadas</v>
      </c>
      <c r="N825" s="90" t="str">
        <f t="shared" si="84"/>
        <v>Marcos</v>
      </c>
      <c r="O825" s="55" t="str">
        <f t="shared" si="85"/>
        <v>Marco.de.Milha</v>
      </c>
      <c r="P825" s="55" t="s">
        <v>3784</v>
      </c>
      <c r="Q825" s="55" t="s">
        <v>3785</v>
      </c>
      <c r="R825" s="55" t="s">
        <v>6798</v>
      </c>
      <c r="S825" s="55" t="s">
        <v>692</v>
      </c>
      <c r="T825" s="55" t="str">
        <f t="shared" si="86"/>
        <v>Fronteiras</v>
      </c>
      <c r="U825" s="55" t="str">
        <f t="shared" si="86"/>
        <v>Demarcadas</v>
      </c>
      <c r="V825" s="55" t="str">
        <f t="shared" si="82"/>
        <v>Marcos</v>
      </c>
      <c r="W825" s="54" t="s">
        <v>7259</v>
      </c>
      <c r="X825" s="84" t="str">
        <f t="shared" si="75"/>
        <v>Key-COD-CT-825</v>
      </c>
      <c r="Y825" s="84" t="s">
        <v>5464</v>
      </c>
      <c r="Z825" s="84" t="s">
        <v>692</v>
      </c>
      <c r="AA825" s="84" t="s">
        <v>7155</v>
      </c>
      <c r="AB825" s="84" t="s">
        <v>692</v>
      </c>
      <c r="AC825" s="84" t="s">
        <v>692</v>
      </c>
      <c r="AD825" s="54" t="s">
        <v>692</v>
      </c>
    </row>
    <row r="826" spans="1:30" ht="6.6" customHeight="1" x14ac:dyDescent="0.25">
      <c r="A826" s="85">
        <v>826</v>
      </c>
      <c r="B826" s="80" t="s">
        <v>5419</v>
      </c>
      <c r="C826" s="28" t="s">
        <v>3720</v>
      </c>
      <c r="D826" s="28" t="s">
        <v>3763</v>
      </c>
      <c r="E826" s="80" t="s">
        <v>3764</v>
      </c>
      <c r="F826" s="89" t="s">
        <v>3786</v>
      </c>
      <c r="G826" s="86" t="s">
        <v>692</v>
      </c>
      <c r="H826" s="86" t="s">
        <v>692</v>
      </c>
      <c r="I826" s="86" t="s">
        <v>692</v>
      </c>
      <c r="J826" s="86" t="s">
        <v>692</v>
      </c>
      <c r="K826" s="86" t="s">
        <v>692</v>
      </c>
      <c r="L826" s="90" t="str">
        <f t="shared" si="83"/>
        <v>Fronteiras</v>
      </c>
      <c r="M826" s="90" t="str">
        <f t="shared" si="83"/>
        <v>Demarcadas</v>
      </c>
      <c r="N826" s="90" t="str">
        <f t="shared" si="84"/>
        <v>Marcos</v>
      </c>
      <c r="O826" s="55" t="str">
        <f t="shared" si="85"/>
        <v>Estaca.de.Controle</v>
      </c>
      <c r="P826" s="55" t="s">
        <v>3787</v>
      </c>
      <c r="Q826" s="55" t="s">
        <v>3788</v>
      </c>
      <c r="R826" s="55" t="s">
        <v>6799</v>
      </c>
      <c r="S826" s="55" t="s">
        <v>692</v>
      </c>
      <c r="T826" s="55" t="str">
        <f t="shared" si="86"/>
        <v>Fronteiras</v>
      </c>
      <c r="U826" s="55" t="str">
        <f t="shared" si="86"/>
        <v>Demarcadas</v>
      </c>
      <c r="V826" s="55" t="str">
        <f t="shared" si="82"/>
        <v>Marcos</v>
      </c>
      <c r="W826" s="54" t="s">
        <v>7259</v>
      </c>
      <c r="X826" s="84" t="str">
        <f t="shared" si="75"/>
        <v>Key-COD-CT-826</v>
      </c>
      <c r="Y826" s="84" t="s">
        <v>5464</v>
      </c>
      <c r="Z826" s="84" t="s">
        <v>692</v>
      </c>
      <c r="AA826" s="84" t="s">
        <v>7156</v>
      </c>
      <c r="AB826" s="84" t="s">
        <v>692</v>
      </c>
      <c r="AC826" s="84" t="s">
        <v>692</v>
      </c>
      <c r="AD826" s="54" t="s">
        <v>692</v>
      </c>
    </row>
    <row r="827" spans="1:30" ht="6.6" customHeight="1" x14ac:dyDescent="0.25">
      <c r="A827" s="85">
        <v>827</v>
      </c>
      <c r="B827" s="80" t="s">
        <v>5419</v>
      </c>
      <c r="C827" s="28" t="s">
        <v>3720</v>
      </c>
      <c r="D827" s="28" t="s">
        <v>3763</v>
      </c>
      <c r="E827" s="80" t="s">
        <v>3764</v>
      </c>
      <c r="F827" s="89" t="s">
        <v>3789</v>
      </c>
      <c r="G827" s="86" t="s">
        <v>692</v>
      </c>
      <c r="H827" s="86" t="s">
        <v>692</v>
      </c>
      <c r="I827" s="86" t="s">
        <v>692</v>
      </c>
      <c r="J827" s="86" t="s">
        <v>692</v>
      </c>
      <c r="K827" s="86" t="s">
        <v>692</v>
      </c>
      <c r="L827" s="90" t="str">
        <f t="shared" si="83"/>
        <v>Fronteiras</v>
      </c>
      <c r="M827" s="90" t="str">
        <f t="shared" si="83"/>
        <v>Demarcadas</v>
      </c>
      <c r="N827" s="90" t="str">
        <f t="shared" si="84"/>
        <v>Marcos</v>
      </c>
      <c r="O827" s="55" t="str">
        <f t="shared" si="85"/>
        <v>Estação.de.Medição</v>
      </c>
      <c r="P827" s="55" t="s">
        <v>3790</v>
      </c>
      <c r="Q827" s="55" t="s">
        <v>3791</v>
      </c>
      <c r="R827" s="55" t="s">
        <v>6800</v>
      </c>
      <c r="S827" s="55" t="s">
        <v>692</v>
      </c>
      <c r="T827" s="55" t="str">
        <f t="shared" si="86"/>
        <v>Fronteiras</v>
      </c>
      <c r="U827" s="55" t="str">
        <f t="shared" si="86"/>
        <v>Demarcadas</v>
      </c>
      <c r="V827" s="55" t="str">
        <f t="shared" si="82"/>
        <v>Marcos</v>
      </c>
      <c r="W827" s="54" t="s">
        <v>7259</v>
      </c>
      <c r="X827" s="84" t="str">
        <f t="shared" si="75"/>
        <v>Key-COD-CT-827</v>
      </c>
      <c r="Y827" s="84" t="s">
        <v>5464</v>
      </c>
      <c r="Z827" s="84" t="s">
        <v>692</v>
      </c>
      <c r="AA827" s="84" t="s">
        <v>7157</v>
      </c>
      <c r="AB827" s="84" t="s">
        <v>692</v>
      </c>
      <c r="AC827" s="84" t="s">
        <v>692</v>
      </c>
      <c r="AD827" s="54" t="s">
        <v>692</v>
      </c>
    </row>
    <row r="828" spans="1:30" ht="6.6" customHeight="1" x14ac:dyDescent="0.25">
      <c r="A828" s="85">
        <v>828</v>
      </c>
      <c r="B828" s="80" t="s">
        <v>5419</v>
      </c>
      <c r="C828" s="28" t="s">
        <v>3720</v>
      </c>
      <c r="D828" s="28" t="s">
        <v>3763</v>
      </c>
      <c r="E828" s="80" t="s">
        <v>3764</v>
      </c>
      <c r="F828" s="89" t="s">
        <v>3792</v>
      </c>
      <c r="G828" s="86" t="s">
        <v>692</v>
      </c>
      <c r="H828" s="86" t="s">
        <v>692</v>
      </c>
      <c r="I828" s="86" t="s">
        <v>692</v>
      </c>
      <c r="J828" s="86" t="s">
        <v>692</v>
      </c>
      <c r="K828" s="86" t="s">
        <v>692</v>
      </c>
      <c r="L828" s="90" t="str">
        <f t="shared" si="83"/>
        <v>Fronteiras</v>
      </c>
      <c r="M828" s="90" t="str">
        <f t="shared" si="83"/>
        <v>Demarcadas</v>
      </c>
      <c r="N828" s="90" t="str">
        <f t="shared" si="84"/>
        <v>Marcos</v>
      </c>
      <c r="O828" s="55" t="str">
        <f t="shared" si="85"/>
        <v xml:space="preserve">Superelevação </v>
      </c>
      <c r="P828" s="55" t="s">
        <v>3793</v>
      </c>
      <c r="Q828" s="55" t="s">
        <v>3794</v>
      </c>
      <c r="R828" s="55" t="s">
        <v>6801</v>
      </c>
      <c r="S828" s="55" t="s">
        <v>692</v>
      </c>
      <c r="T828" s="55" t="str">
        <f t="shared" si="86"/>
        <v>Fronteiras</v>
      </c>
      <c r="U828" s="55" t="str">
        <f t="shared" si="86"/>
        <v>Demarcadas</v>
      </c>
      <c r="V828" s="55" t="str">
        <f t="shared" si="82"/>
        <v>Marcos</v>
      </c>
      <c r="W828" s="54" t="s">
        <v>7259</v>
      </c>
      <c r="X828" s="84" t="str">
        <f t="shared" si="75"/>
        <v>Key-COD-CT-828</v>
      </c>
      <c r="Y828" s="84" t="s">
        <v>5464</v>
      </c>
      <c r="Z828" s="84" t="s">
        <v>692</v>
      </c>
      <c r="AA828" s="84" t="s">
        <v>7158</v>
      </c>
      <c r="AB828" s="84" t="s">
        <v>692</v>
      </c>
      <c r="AC828" s="84" t="s">
        <v>692</v>
      </c>
      <c r="AD828" s="54" t="s">
        <v>692</v>
      </c>
    </row>
    <row r="829" spans="1:30" ht="6.6" customHeight="1" x14ac:dyDescent="0.25">
      <c r="A829" s="85">
        <v>829</v>
      </c>
      <c r="B829" s="80" t="s">
        <v>5419</v>
      </c>
      <c r="C829" s="28" t="s">
        <v>3720</v>
      </c>
      <c r="D829" s="28" t="s">
        <v>3763</v>
      </c>
      <c r="E829" s="80" t="s">
        <v>3764</v>
      </c>
      <c r="F829" s="89" t="s">
        <v>3795</v>
      </c>
      <c r="G829" s="86" t="s">
        <v>692</v>
      </c>
      <c r="H829" s="86" t="s">
        <v>692</v>
      </c>
      <c r="I829" s="86" t="s">
        <v>692</v>
      </c>
      <c r="J829" s="86" t="s">
        <v>692</v>
      </c>
      <c r="K829" s="86" t="s">
        <v>692</v>
      </c>
      <c r="L829" s="90" t="str">
        <f t="shared" si="83"/>
        <v>Fronteiras</v>
      </c>
      <c r="M829" s="90" t="str">
        <f t="shared" si="83"/>
        <v>Demarcadas</v>
      </c>
      <c r="N829" s="90" t="str">
        <f t="shared" si="84"/>
        <v>Marcos</v>
      </c>
      <c r="O829" s="55" t="str">
        <f t="shared" si="85"/>
        <v>Largura.de.Pista</v>
      </c>
      <c r="P829" s="55" t="s">
        <v>3796</v>
      </c>
      <c r="Q829" s="55" t="s">
        <v>3797</v>
      </c>
      <c r="R829" s="55" t="s">
        <v>6802</v>
      </c>
      <c r="S829" s="55" t="s">
        <v>692</v>
      </c>
      <c r="T829" s="55" t="str">
        <f t="shared" si="86"/>
        <v>Fronteiras</v>
      </c>
      <c r="U829" s="55" t="str">
        <f t="shared" si="86"/>
        <v>Demarcadas</v>
      </c>
      <c r="V829" s="55" t="str">
        <f t="shared" si="82"/>
        <v>Marcos</v>
      </c>
      <c r="W829" s="54" t="s">
        <v>7259</v>
      </c>
      <c r="X829" s="84" t="str">
        <f t="shared" si="75"/>
        <v>Key-COD-CT-829</v>
      </c>
      <c r="Y829" s="84" t="s">
        <v>5464</v>
      </c>
      <c r="Z829" s="84" t="s">
        <v>692</v>
      </c>
      <c r="AA829" s="84" t="s">
        <v>7159</v>
      </c>
      <c r="AB829" s="84" t="s">
        <v>692</v>
      </c>
      <c r="AC829" s="84" t="s">
        <v>692</v>
      </c>
      <c r="AD829" s="54" t="s">
        <v>692</v>
      </c>
    </row>
    <row r="830" spans="1:30" ht="6.6" customHeight="1" x14ac:dyDescent="0.25">
      <c r="A830" s="85">
        <v>830</v>
      </c>
      <c r="B830" s="80" t="s">
        <v>5419</v>
      </c>
      <c r="C830" s="28" t="s">
        <v>5451</v>
      </c>
      <c r="D830" s="28" t="s">
        <v>3798</v>
      </c>
      <c r="E830" s="28" t="s">
        <v>3799</v>
      </c>
      <c r="F830" s="28" t="s">
        <v>3800</v>
      </c>
      <c r="G830" s="86" t="s">
        <v>692</v>
      </c>
      <c r="H830" s="86" t="s">
        <v>692</v>
      </c>
      <c r="I830" s="86" t="s">
        <v>692</v>
      </c>
      <c r="J830" s="86" t="s">
        <v>692</v>
      </c>
      <c r="K830" s="86" t="s">
        <v>692</v>
      </c>
      <c r="L830" s="58" t="str">
        <f t="shared" ref="L830:L832" si="87">_xlfn.CONCAT(SUBSTITUTE(C830,"1.",""))</f>
        <v>Topográficos</v>
      </c>
      <c r="M830" s="58" t="str">
        <f t="shared" ref="M830:O843" si="88">_xlfn.CONCAT(SUBSTITUTE(D830,"."," "))</f>
        <v>Altimetrias</v>
      </c>
      <c r="N830" s="58" t="str">
        <f t="shared" si="88"/>
        <v>Pontos Cotados</v>
      </c>
      <c r="O830" s="58" t="str">
        <f t="shared" si="88"/>
        <v>Ponto Interno</v>
      </c>
      <c r="P830" s="58" t="s">
        <v>3801</v>
      </c>
      <c r="Q830" s="58" t="s">
        <v>3802</v>
      </c>
      <c r="R830" s="55" t="s">
        <v>6803</v>
      </c>
      <c r="S830" s="55" t="s">
        <v>692</v>
      </c>
      <c r="T830" s="55" t="str">
        <f t="shared" ref="T830:U832" si="89">SUBSTITUTE(C830, ".", " ")</f>
        <v>Topográficos</v>
      </c>
      <c r="U830" s="55" t="str">
        <f t="shared" si="89"/>
        <v>Altimetrias</v>
      </c>
      <c r="V830" s="55" t="str">
        <f t="shared" si="82"/>
        <v>Pontos Cotados</v>
      </c>
      <c r="W830" s="54" t="s">
        <v>7259</v>
      </c>
      <c r="X830" s="84" t="str">
        <f t="shared" si="75"/>
        <v>Key-COD-CT-830</v>
      </c>
      <c r="Y830" s="84" t="s">
        <v>7199</v>
      </c>
      <c r="Z830" s="84" t="s">
        <v>692</v>
      </c>
      <c r="AA830" s="84" t="s">
        <v>7159</v>
      </c>
      <c r="AB830" s="84" t="s">
        <v>692</v>
      </c>
      <c r="AC830" s="84" t="s">
        <v>692</v>
      </c>
      <c r="AD830" s="54" t="s">
        <v>692</v>
      </c>
    </row>
    <row r="831" spans="1:30" ht="6.6" customHeight="1" x14ac:dyDescent="0.25">
      <c r="A831" s="85">
        <v>831</v>
      </c>
      <c r="B831" s="80" t="s">
        <v>5419</v>
      </c>
      <c r="C831" s="28" t="s">
        <v>5451</v>
      </c>
      <c r="D831" s="28" t="s">
        <v>3798</v>
      </c>
      <c r="E831" s="28" t="s">
        <v>3799</v>
      </c>
      <c r="F831" s="28" t="s">
        <v>3803</v>
      </c>
      <c r="G831" s="86" t="s">
        <v>692</v>
      </c>
      <c r="H831" s="86" t="s">
        <v>692</v>
      </c>
      <c r="I831" s="86" t="s">
        <v>692</v>
      </c>
      <c r="J831" s="86" t="s">
        <v>692</v>
      </c>
      <c r="K831" s="86" t="s">
        <v>692</v>
      </c>
      <c r="L831" s="58" t="str">
        <f t="shared" si="87"/>
        <v>Topográficos</v>
      </c>
      <c r="M831" s="58" t="str">
        <f t="shared" si="88"/>
        <v>Altimetrias</v>
      </c>
      <c r="N831" s="58" t="str">
        <f t="shared" si="88"/>
        <v>Pontos Cotados</v>
      </c>
      <c r="O831" s="58" t="str">
        <f t="shared" si="88"/>
        <v>Ponto Perimetral</v>
      </c>
      <c r="P831" s="58" t="s">
        <v>3804</v>
      </c>
      <c r="Q831" s="58" t="s">
        <v>3805</v>
      </c>
      <c r="R831" s="55" t="s">
        <v>6804</v>
      </c>
      <c r="S831" s="55" t="s">
        <v>692</v>
      </c>
      <c r="T831" s="55" t="str">
        <f t="shared" si="89"/>
        <v>Topográficos</v>
      </c>
      <c r="U831" s="55" t="str">
        <f t="shared" si="89"/>
        <v>Altimetrias</v>
      </c>
      <c r="V831" s="55" t="str">
        <f t="shared" si="82"/>
        <v>Pontos Cotados</v>
      </c>
      <c r="W831" s="54" t="s">
        <v>7259</v>
      </c>
      <c r="X831" s="84" t="str">
        <f t="shared" si="75"/>
        <v>Key-COD-CT-831</v>
      </c>
      <c r="Y831" s="84" t="s">
        <v>7200</v>
      </c>
      <c r="Z831" s="84" t="s">
        <v>692</v>
      </c>
      <c r="AA831" s="84" t="s">
        <v>7160</v>
      </c>
      <c r="AB831" s="84" t="s">
        <v>692</v>
      </c>
      <c r="AC831" s="84" t="s">
        <v>692</v>
      </c>
      <c r="AD831" s="54" t="s">
        <v>692</v>
      </c>
    </row>
    <row r="832" spans="1:30" ht="6.6" customHeight="1" x14ac:dyDescent="0.25">
      <c r="A832" s="85">
        <v>832</v>
      </c>
      <c r="B832" s="80" t="s">
        <v>5419</v>
      </c>
      <c r="C832" s="28" t="s">
        <v>5451</v>
      </c>
      <c r="D832" s="28" t="s">
        <v>3798</v>
      </c>
      <c r="E832" s="28" t="s">
        <v>3806</v>
      </c>
      <c r="F832" s="28" t="s">
        <v>3807</v>
      </c>
      <c r="G832" s="86" t="s">
        <v>692</v>
      </c>
      <c r="H832" s="86" t="s">
        <v>692</v>
      </c>
      <c r="I832" s="86" t="s">
        <v>692</v>
      </c>
      <c r="J832" s="86" t="s">
        <v>692</v>
      </c>
      <c r="K832" s="86" t="s">
        <v>692</v>
      </c>
      <c r="L832" s="58" t="str">
        <f t="shared" si="87"/>
        <v>Topográficos</v>
      </c>
      <c r="M832" s="58" t="str">
        <f t="shared" si="88"/>
        <v>Altimetrias</v>
      </c>
      <c r="N832" s="58" t="str">
        <f t="shared" si="88"/>
        <v>Terrenos</v>
      </c>
      <c r="O832" s="58" t="str">
        <f t="shared" si="88"/>
        <v>Terreno 3D Sólido</v>
      </c>
      <c r="P832" s="58" t="s">
        <v>3808</v>
      </c>
      <c r="Q832" s="58" t="s">
        <v>3809</v>
      </c>
      <c r="R832" s="55" t="s">
        <v>6805</v>
      </c>
      <c r="S832" s="55" t="s">
        <v>692</v>
      </c>
      <c r="T832" s="55" t="str">
        <f t="shared" si="89"/>
        <v>Topográficos</v>
      </c>
      <c r="U832" s="55" t="str">
        <f t="shared" si="89"/>
        <v>Altimetrias</v>
      </c>
      <c r="V832" s="55" t="str">
        <f t="shared" si="82"/>
        <v>Terrenos</v>
      </c>
      <c r="W832" s="54" t="s">
        <v>7259</v>
      </c>
      <c r="X832" s="84" t="str">
        <f t="shared" si="75"/>
        <v>Key-COD-CT-832</v>
      </c>
      <c r="Y832" s="84" t="s">
        <v>7201</v>
      </c>
      <c r="Z832" s="84" t="s">
        <v>692</v>
      </c>
      <c r="AA832" s="84" t="s">
        <v>7160</v>
      </c>
      <c r="AB832" s="84" t="s">
        <v>692</v>
      </c>
      <c r="AC832" s="84" t="s">
        <v>692</v>
      </c>
      <c r="AD832" s="54" t="s">
        <v>692</v>
      </c>
    </row>
    <row r="833" spans="1:30" ht="6.6" customHeight="1" x14ac:dyDescent="0.25">
      <c r="A833" s="85">
        <v>833</v>
      </c>
      <c r="B833" s="80" t="s">
        <v>5419</v>
      </c>
      <c r="C833" s="28" t="s">
        <v>5451</v>
      </c>
      <c r="D833" s="28" t="s">
        <v>3798</v>
      </c>
      <c r="E833" s="28" t="s">
        <v>3806</v>
      </c>
      <c r="F833" s="28" t="s">
        <v>3810</v>
      </c>
      <c r="G833" s="86" t="s">
        <v>692</v>
      </c>
      <c r="H833" s="86" t="s">
        <v>692</v>
      </c>
      <c r="I833" s="86" t="s">
        <v>692</v>
      </c>
      <c r="J833" s="86" t="s">
        <v>692</v>
      </c>
      <c r="K833" s="86" t="s">
        <v>692</v>
      </c>
      <c r="L833" s="58" t="str">
        <f t="shared" si="77"/>
        <v>Topográficos</v>
      </c>
      <c r="M833" s="58" t="str">
        <f t="shared" si="79"/>
        <v>Altimetrias</v>
      </c>
      <c r="N833" s="58" t="str">
        <f t="shared" si="79"/>
        <v>Terrenos</v>
      </c>
      <c r="O833" s="58" t="str">
        <f t="shared" si="88"/>
        <v>Terreno 3D Superficial</v>
      </c>
      <c r="P833" s="58" t="s">
        <v>3811</v>
      </c>
      <c r="Q833" s="58" t="s">
        <v>3812</v>
      </c>
      <c r="R833" s="55" t="s">
        <v>6806</v>
      </c>
      <c r="S833" s="55" t="s">
        <v>692</v>
      </c>
      <c r="T833" s="55" t="str">
        <f t="shared" si="82"/>
        <v>Topográficos</v>
      </c>
      <c r="U833" s="55" t="str">
        <f t="shared" si="82"/>
        <v>Altimetrias</v>
      </c>
      <c r="V833" s="55" t="str">
        <f t="shared" si="82"/>
        <v>Terrenos</v>
      </c>
      <c r="W833" s="54" t="s">
        <v>7259</v>
      </c>
      <c r="X833" s="84" t="str">
        <f t="shared" si="75"/>
        <v>Key-COD-CT-833</v>
      </c>
      <c r="Y833" s="84" t="s">
        <v>7202</v>
      </c>
      <c r="Z833" s="84" t="s">
        <v>692</v>
      </c>
      <c r="AA833" s="84" t="s">
        <v>7160</v>
      </c>
      <c r="AB833" s="84" t="s">
        <v>692</v>
      </c>
      <c r="AC833" s="84" t="s">
        <v>692</v>
      </c>
      <c r="AD833" s="54" t="s">
        <v>692</v>
      </c>
    </row>
    <row r="834" spans="1:30" ht="6.6" customHeight="1" x14ac:dyDescent="0.25">
      <c r="A834" s="85">
        <v>834</v>
      </c>
      <c r="B834" s="80" t="s">
        <v>5419</v>
      </c>
      <c r="C834" s="28" t="s">
        <v>5451</v>
      </c>
      <c r="D834" s="28" t="s">
        <v>3798</v>
      </c>
      <c r="E834" s="28" t="s">
        <v>3806</v>
      </c>
      <c r="F834" s="28" t="s">
        <v>3813</v>
      </c>
      <c r="G834" s="86" t="s">
        <v>692</v>
      </c>
      <c r="H834" s="86" t="s">
        <v>692</v>
      </c>
      <c r="I834" s="86" t="s">
        <v>692</v>
      </c>
      <c r="J834" s="86" t="s">
        <v>692</v>
      </c>
      <c r="K834" s="86" t="s">
        <v>692</v>
      </c>
      <c r="L834" s="58" t="str">
        <f t="shared" si="77"/>
        <v>Topográficos</v>
      </c>
      <c r="M834" s="58" t="str">
        <f t="shared" si="79"/>
        <v>Altimetrias</v>
      </c>
      <c r="N834" s="58" t="str">
        <f t="shared" si="79"/>
        <v>Terrenos</v>
      </c>
      <c r="O834" s="58" t="str">
        <f t="shared" si="88"/>
        <v>MDT Camada Núcleo</v>
      </c>
      <c r="P834" s="58" t="s">
        <v>3814</v>
      </c>
      <c r="Q834" s="58" t="s">
        <v>3815</v>
      </c>
      <c r="R834" s="55" t="s">
        <v>6807</v>
      </c>
      <c r="S834" s="55" t="s">
        <v>692</v>
      </c>
      <c r="T834" s="55" t="str">
        <f t="shared" si="82"/>
        <v>Topográficos</v>
      </c>
      <c r="U834" s="55" t="str">
        <f t="shared" si="82"/>
        <v>Altimetrias</v>
      </c>
      <c r="V834" s="55" t="str">
        <f t="shared" si="82"/>
        <v>Terrenos</v>
      </c>
      <c r="W834" s="54" t="s">
        <v>7259</v>
      </c>
      <c r="X834" s="84" t="str">
        <f t="shared" si="75"/>
        <v>Key-COD-CT-834</v>
      </c>
      <c r="Y834" s="84" t="s">
        <v>7203</v>
      </c>
      <c r="Z834" s="84" t="s">
        <v>692</v>
      </c>
      <c r="AA834" s="84" t="s">
        <v>7160</v>
      </c>
      <c r="AB834" s="84" t="s">
        <v>692</v>
      </c>
      <c r="AC834" s="84" t="s">
        <v>692</v>
      </c>
      <c r="AD834" s="54" t="s">
        <v>692</v>
      </c>
    </row>
    <row r="835" spans="1:30" ht="6.6" customHeight="1" x14ac:dyDescent="0.25">
      <c r="A835" s="85">
        <v>835</v>
      </c>
      <c r="B835" s="80" t="s">
        <v>5419</v>
      </c>
      <c r="C835" s="28" t="s">
        <v>5451</v>
      </c>
      <c r="D835" s="28" t="s">
        <v>3798</v>
      </c>
      <c r="E835" s="28" t="s">
        <v>3806</v>
      </c>
      <c r="F835" s="28" t="s">
        <v>3816</v>
      </c>
      <c r="G835" s="86" t="s">
        <v>692</v>
      </c>
      <c r="H835" s="86" t="s">
        <v>692</v>
      </c>
      <c r="I835" s="86" t="s">
        <v>692</v>
      </c>
      <c r="J835" s="86" t="s">
        <v>692</v>
      </c>
      <c r="K835" s="86" t="s">
        <v>692</v>
      </c>
      <c r="L835" s="58" t="str">
        <f t="shared" si="77"/>
        <v>Topográficos</v>
      </c>
      <c r="M835" s="58" t="str">
        <f t="shared" si="79"/>
        <v>Altimetrias</v>
      </c>
      <c r="N835" s="58" t="str">
        <f t="shared" si="79"/>
        <v>Terrenos</v>
      </c>
      <c r="O835" s="58" t="str">
        <f t="shared" si="88"/>
        <v>MDT Camada Substrato</v>
      </c>
      <c r="P835" s="58" t="s">
        <v>3817</v>
      </c>
      <c r="Q835" s="58" t="s">
        <v>3818</v>
      </c>
      <c r="R835" s="55" t="s">
        <v>6808</v>
      </c>
      <c r="S835" s="55" t="s">
        <v>692</v>
      </c>
      <c r="T835" s="55" t="str">
        <f t="shared" si="82"/>
        <v>Topográficos</v>
      </c>
      <c r="U835" s="55" t="str">
        <f t="shared" si="82"/>
        <v>Altimetrias</v>
      </c>
      <c r="V835" s="55" t="str">
        <f t="shared" si="82"/>
        <v>Terrenos</v>
      </c>
      <c r="W835" s="54" t="s">
        <v>7259</v>
      </c>
      <c r="X835" s="84" t="str">
        <f t="shared" ref="X835:X898" si="90">CONCATENATE("Key-COD-CT-",A835)</f>
        <v>Key-COD-CT-835</v>
      </c>
      <c r="Y835" s="84" t="s">
        <v>7204</v>
      </c>
      <c r="Z835" s="84" t="s">
        <v>692</v>
      </c>
      <c r="AA835" s="84" t="s">
        <v>7160</v>
      </c>
      <c r="AB835" s="84" t="s">
        <v>692</v>
      </c>
      <c r="AC835" s="84" t="s">
        <v>692</v>
      </c>
      <c r="AD835" s="54" t="s">
        <v>692</v>
      </c>
    </row>
    <row r="836" spans="1:30" ht="6.6" customHeight="1" x14ac:dyDescent="0.25">
      <c r="A836" s="85">
        <v>836</v>
      </c>
      <c r="B836" s="80" t="s">
        <v>5419</v>
      </c>
      <c r="C836" s="28" t="s">
        <v>5451</v>
      </c>
      <c r="D836" s="28" t="s">
        <v>3798</v>
      </c>
      <c r="E836" s="28" t="s">
        <v>3806</v>
      </c>
      <c r="F836" s="28" t="s">
        <v>3819</v>
      </c>
      <c r="G836" s="86" t="s">
        <v>692</v>
      </c>
      <c r="H836" s="86" t="s">
        <v>692</v>
      </c>
      <c r="I836" s="86" t="s">
        <v>692</v>
      </c>
      <c r="J836" s="86" t="s">
        <v>692</v>
      </c>
      <c r="K836" s="86" t="s">
        <v>692</v>
      </c>
      <c r="L836" s="58" t="str">
        <f t="shared" si="77"/>
        <v>Topográficos</v>
      </c>
      <c r="M836" s="58" t="str">
        <f t="shared" si="79"/>
        <v>Altimetrias</v>
      </c>
      <c r="N836" s="58" t="str">
        <f t="shared" si="79"/>
        <v>Terrenos</v>
      </c>
      <c r="O836" s="58" t="str">
        <f t="shared" si="88"/>
        <v>MDT Camada Membrana</v>
      </c>
      <c r="P836" s="58" t="s">
        <v>3820</v>
      </c>
      <c r="Q836" s="58" t="s">
        <v>3821</v>
      </c>
      <c r="R836" s="55" t="s">
        <v>6809</v>
      </c>
      <c r="S836" s="55" t="s">
        <v>692</v>
      </c>
      <c r="T836" s="55" t="str">
        <f t="shared" si="82"/>
        <v>Topográficos</v>
      </c>
      <c r="U836" s="55" t="str">
        <f t="shared" si="82"/>
        <v>Altimetrias</v>
      </c>
      <c r="V836" s="55" t="str">
        <f t="shared" si="82"/>
        <v>Terrenos</v>
      </c>
      <c r="W836" s="54" t="s">
        <v>7259</v>
      </c>
      <c r="X836" s="84" t="str">
        <f t="shared" si="90"/>
        <v>Key-COD-CT-836</v>
      </c>
      <c r="Y836" s="84" t="s">
        <v>7205</v>
      </c>
      <c r="Z836" s="84" t="s">
        <v>692</v>
      </c>
      <c r="AA836" s="84" t="s">
        <v>7160</v>
      </c>
      <c r="AB836" s="84" t="s">
        <v>692</v>
      </c>
      <c r="AC836" s="84" t="s">
        <v>692</v>
      </c>
      <c r="AD836" s="54" t="s">
        <v>692</v>
      </c>
    </row>
    <row r="837" spans="1:30" ht="6.6" customHeight="1" x14ac:dyDescent="0.25">
      <c r="A837" s="85">
        <v>837</v>
      </c>
      <c r="B837" s="80" t="s">
        <v>5419</v>
      </c>
      <c r="C837" s="28" t="s">
        <v>5451</v>
      </c>
      <c r="D837" s="28" t="s">
        <v>3798</v>
      </c>
      <c r="E837" s="28" t="s">
        <v>3806</v>
      </c>
      <c r="F837" s="28" t="s">
        <v>3822</v>
      </c>
      <c r="G837" s="86" t="s">
        <v>692</v>
      </c>
      <c r="H837" s="86" t="s">
        <v>692</v>
      </c>
      <c r="I837" s="86" t="s">
        <v>692</v>
      </c>
      <c r="J837" s="86" t="s">
        <v>692</v>
      </c>
      <c r="K837" s="86" t="s">
        <v>692</v>
      </c>
      <c r="L837" s="58" t="str">
        <f t="shared" si="77"/>
        <v>Topográficos</v>
      </c>
      <c r="M837" s="58" t="str">
        <f t="shared" si="79"/>
        <v>Altimetrias</v>
      </c>
      <c r="N837" s="58" t="str">
        <f t="shared" si="79"/>
        <v>Terrenos</v>
      </c>
      <c r="O837" s="58" t="str">
        <f t="shared" si="88"/>
        <v>MDT Camada Isolamento</v>
      </c>
      <c r="P837" s="58" t="s">
        <v>3823</v>
      </c>
      <c r="Q837" s="58" t="s">
        <v>3824</v>
      </c>
      <c r="R837" s="55" t="s">
        <v>6810</v>
      </c>
      <c r="S837" s="55" t="s">
        <v>692</v>
      </c>
      <c r="T837" s="55" t="str">
        <f t="shared" si="82"/>
        <v>Topográficos</v>
      </c>
      <c r="U837" s="55" t="str">
        <f t="shared" si="82"/>
        <v>Altimetrias</v>
      </c>
      <c r="V837" s="55" t="str">
        <f t="shared" si="82"/>
        <v>Terrenos</v>
      </c>
      <c r="W837" s="54" t="s">
        <v>7259</v>
      </c>
      <c r="X837" s="84" t="str">
        <f t="shared" si="90"/>
        <v>Key-COD-CT-837</v>
      </c>
      <c r="Y837" s="84" t="s">
        <v>7206</v>
      </c>
      <c r="Z837" s="84" t="s">
        <v>692</v>
      </c>
      <c r="AA837" s="84" t="s">
        <v>7160</v>
      </c>
      <c r="AB837" s="84" t="s">
        <v>692</v>
      </c>
      <c r="AC837" s="84" t="s">
        <v>692</v>
      </c>
      <c r="AD837" s="54" t="s">
        <v>692</v>
      </c>
    </row>
    <row r="838" spans="1:30" ht="6.6" customHeight="1" x14ac:dyDescent="0.25">
      <c r="A838" s="85">
        <v>838</v>
      </c>
      <c r="B838" s="80" t="s">
        <v>5419</v>
      </c>
      <c r="C838" s="28" t="s">
        <v>5451</v>
      </c>
      <c r="D838" s="28" t="s">
        <v>3798</v>
      </c>
      <c r="E838" s="28" t="s">
        <v>3806</v>
      </c>
      <c r="F838" s="28" t="s">
        <v>3825</v>
      </c>
      <c r="G838" s="86" t="s">
        <v>692</v>
      </c>
      <c r="H838" s="86" t="s">
        <v>692</v>
      </c>
      <c r="I838" s="86" t="s">
        <v>692</v>
      </c>
      <c r="J838" s="86" t="s">
        <v>692</v>
      </c>
      <c r="K838" s="86" t="s">
        <v>692</v>
      </c>
      <c r="L838" s="58" t="str">
        <f t="shared" si="77"/>
        <v>Topográficos</v>
      </c>
      <c r="M838" s="58" t="str">
        <f t="shared" si="79"/>
        <v>Altimetrias</v>
      </c>
      <c r="N838" s="58" t="str">
        <f t="shared" si="79"/>
        <v>Terrenos</v>
      </c>
      <c r="O838" s="58" t="str">
        <f t="shared" si="88"/>
        <v>MDT Camada Superficial</v>
      </c>
      <c r="P838" s="58" t="s">
        <v>3826</v>
      </c>
      <c r="Q838" s="58" t="s">
        <v>3827</v>
      </c>
      <c r="R838" s="55" t="s">
        <v>6811</v>
      </c>
      <c r="S838" s="55" t="s">
        <v>692</v>
      </c>
      <c r="T838" s="55" t="str">
        <f t="shared" si="82"/>
        <v>Topográficos</v>
      </c>
      <c r="U838" s="55" t="str">
        <f t="shared" si="82"/>
        <v>Altimetrias</v>
      </c>
      <c r="V838" s="55" t="str">
        <f t="shared" si="82"/>
        <v>Terrenos</v>
      </c>
      <c r="W838" s="54" t="s">
        <v>7259</v>
      </c>
      <c r="X838" s="84" t="str">
        <f t="shared" si="90"/>
        <v>Key-COD-CT-838</v>
      </c>
      <c r="Y838" s="84" t="s">
        <v>7207</v>
      </c>
      <c r="Z838" s="84" t="s">
        <v>692</v>
      </c>
      <c r="AA838" s="84" t="s">
        <v>7161</v>
      </c>
      <c r="AB838" s="84" t="s">
        <v>692</v>
      </c>
      <c r="AC838" s="84" t="s">
        <v>692</v>
      </c>
      <c r="AD838" s="54" t="s">
        <v>692</v>
      </c>
    </row>
    <row r="839" spans="1:30" ht="6.6" customHeight="1" x14ac:dyDescent="0.25">
      <c r="A839" s="85">
        <v>839</v>
      </c>
      <c r="B839" s="80" t="s">
        <v>5419</v>
      </c>
      <c r="C839" s="28" t="s">
        <v>5451</v>
      </c>
      <c r="D839" s="28" t="s">
        <v>3798</v>
      </c>
      <c r="E839" s="28" t="s">
        <v>3828</v>
      </c>
      <c r="F839" s="28" t="s">
        <v>3829</v>
      </c>
      <c r="G839" s="86" t="s">
        <v>692</v>
      </c>
      <c r="H839" s="86" t="s">
        <v>692</v>
      </c>
      <c r="I839" s="86" t="s">
        <v>692</v>
      </c>
      <c r="J839" s="86" t="s">
        <v>692</v>
      </c>
      <c r="K839" s="86" t="s">
        <v>692</v>
      </c>
      <c r="L839" s="58" t="str">
        <f t="shared" si="77"/>
        <v>Topográficos</v>
      </c>
      <c r="M839" s="58" t="str">
        <f t="shared" si="79"/>
        <v>Altimetrias</v>
      </c>
      <c r="N839" s="58" t="str">
        <f t="shared" si="79"/>
        <v>Curvas de Nível</v>
      </c>
      <c r="O839" s="58" t="str">
        <f t="shared" si="88"/>
        <v>Curva de Nível 10m</v>
      </c>
      <c r="P839" s="58" t="s">
        <v>3830</v>
      </c>
      <c r="Q839" s="58" t="s">
        <v>3831</v>
      </c>
      <c r="R839" s="55" t="s">
        <v>6812</v>
      </c>
      <c r="S839" s="55" t="s">
        <v>692</v>
      </c>
      <c r="T839" s="55" t="str">
        <f t="shared" si="82"/>
        <v>Topográficos</v>
      </c>
      <c r="U839" s="55" t="str">
        <f t="shared" si="82"/>
        <v>Altimetrias</v>
      </c>
      <c r="V839" s="55" t="str">
        <f t="shared" si="82"/>
        <v>Curvas de Nível</v>
      </c>
      <c r="W839" s="54" t="s">
        <v>7259</v>
      </c>
      <c r="X839" s="84" t="str">
        <f t="shared" si="90"/>
        <v>Key-COD-CT-839</v>
      </c>
      <c r="Y839" s="84" t="s">
        <v>7208</v>
      </c>
      <c r="Z839" s="84" t="s">
        <v>692</v>
      </c>
      <c r="AA839" s="84" t="s">
        <v>7161</v>
      </c>
      <c r="AB839" s="84" t="s">
        <v>692</v>
      </c>
      <c r="AC839" s="84" t="s">
        <v>692</v>
      </c>
      <c r="AD839" s="54" t="s">
        <v>692</v>
      </c>
    </row>
    <row r="840" spans="1:30" ht="6.6" customHeight="1" x14ac:dyDescent="0.25">
      <c r="A840" s="85">
        <v>840</v>
      </c>
      <c r="B840" s="80" t="s">
        <v>5419</v>
      </c>
      <c r="C840" s="28" t="s">
        <v>5451</v>
      </c>
      <c r="D840" s="28" t="s">
        <v>3798</v>
      </c>
      <c r="E840" s="28" t="s">
        <v>3828</v>
      </c>
      <c r="F840" s="28" t="s">
        <v>3832</v>
      </c>
      <c r="G840" s="86" t="s">
        <v>692</v>
      </c>
      <c r="H840" s="86" t="s">
        <v>692</v>
      </c>
      <c r="I840" s="86" t="s">
        <v>692</v>
      </c>
      <c r="J840" s="86" t="s">
        <v>692</v>
      </c>
      <c r="K840" s="86" t="s">
        <v>692</v>
      </c>
      <c r="L840" s="58" t="str">
        <f t="shared" si="77"/>
        <v>Topográficos</v>
      </c>
      <c r="M840" s="58" t="str">
        <f t="shared" si="79"/>
        <v>Altimetrias</v>
      </c>
      <c r="N840" s="58" t="str">
        <f t="shared" si="79"/>
        <v>Curvas de Nível</v>
      </c>
      <c r="O840" s="58" t="str">
        <f t="shared" si="88"/>
        <v>Curva de Nível 05m</v>
      </c>
      <c r="P840" s="58" t="s">
        <v>3833</v>
      </c>
      <c r="Q840" s="58" t="s">
        <v>3834</v>
      </c>
      <c r="R840" s="55" t="s">
        <v>6813</v>
      </c>
      <c r="S840" s="55" t="s">
        <v>692</v>
      </c>
      <c r="T840" s="55" t="str">
        <f t="shared" si="82"/>
        <v>Topográficos</v>
      </c>
      <c r="U840" s="55" t="str">
        <f t="shared" si="82"/>
        <v>Altimetrias</v>
      </c>
      <c r="V840" s="55" t="str">
        <f t="shared" si="82"/>
        <v>Curvas de Nível</v>
      </c>
      <c r="W840" s="54" t="s">
        <v>7259</v>
      </c>
      <c r="X840" s="84" t="str">
        <f t="shared" si="90"/>
        <v>Key-COD-CT-840</v>
      </c>
      <c r="Y840" s="84" t="s">
        <v>7208</v>
      </c>
      <c r="Z840" s="84" t="s">
        <v>692</v>
      </c>
      <c r="AA840" s="84" t="s">
        <v>7161</v>
      </c>
      <c r="AB840" s="84" t="s">
        <v>692</v>
      </c>
      <c r="AC840" s="84" t="s">
        <v>692</v>
      </c>
      <c r="AD840" s="54" t="s">
        <v>692</v>
      </c>
    </row>
    <row r="841" spans="1:30" ht="6.6" customHeight="1" x14ac:dyDescent="0.25">
      <c r="A841" s="85">
        <v>841</v>
      </c>
      <c r="B841" s="80" t="s">
        <v>5419</v>
      </c>
      <c r="C841" s="28" t="s">
        <v>5451</v>
      </c>
      <c r="D841" s="28" t="s">
        <v>3798</v>
      </c>
      <c r="E841" s="28" t="s">
        <v>3828</v>
      </c>
      <c r="F841" s="28" t="s">
        <v>3835</v>
      </c>
      <c r="G841" s="86" t="s">
        <v>692</v>
      </c>
      <c r="H841" s="86" t="s">
        <v>692</v>
      </c>
      <c r="I841" s="86" t="s">
        <v>692</v>
      </c>
      <c r="J841" s="86" t="s">
        <v>692</v>
      </c>
      <c r="K841" s="86" t="s">
        <v>692</v>
      </c>
      <c r="L841" s="58" t="str">
        <f t="shared" si="77"/>
        <v>Topográficos</v>
      </c>
      <c r="M841" s="58" t="str">
        <f t="shared" si="79"/>
        <v>Altimetrias</v>
      </c>
      <c r="N841" s="58" t="str">
        <f t="shared" si="79"/>
        <v>Curvas de Nível</v>
      </c>
      <c r="O841" s="58" t="str">
        <f t="shared" si="88"/>
        <v>Curva de Nível 01m</v>
      </c>
      <c r="P841" s="58" t="s">
        <v>3836</v>
      </c>
      <c r="Q841" s="58" t="s">
        <v>3837</v>
      </c>
      <c r="R841" s="55" t="s">
        <v>6814</v>
      </c>
      <c r="S841" s="55" t="s">
        <v>692</v>
      </c>
      <c r="T841" s="55" t="str">
        <f t="shared" si="82"/>
        <v>Topográficos</v>
      </c>
      <c r="U841" s="55" t="str">
        <f t="shared" si="82"/>
        <v>Altimetrias</v>
      </c>
      <c r="V841" s="55" t="str">
        <f t="shared" si="82"/>
        <v>Curvas de Nível</v>
      </c>
      <c r="W841" s="54" t="s">
        <v>7259</v>
      </c>
      <c r="X841" s="84" t="str">
        <f t="shared" si="90"/>
        <v>Key-COD-CT-841</v>
      </c>
      <c r="Y841" s="84" t="s">
        <v>7208</v>
      </c>
      <c r="Z841" s="84" t="s">
        <v>692</v>
      </c>
      <c r="AA841" s="84" t="s">
        <v>7161</v>
      </c>
      <c r="AB841" s="84" t="s">
        <v>692</v>
      </c>
      <c r="AC841" s="84" t="s">
        <v>692</v>
      </c>
      <c r="AD841" s="54" t="s">
        <v>692</v>
      </c>
    </row>
    <row r="842" spans="1:30" ht="6.6" customHeight="1" x14ac:dyDescent="0.25">
      <c r="A842" s="85">
        <v>842</v>
      </c>
      <c r="B842" s="80" t="s">
        <v>5419</v>
      </c>
      <c r="C842" s="28" t="s">
        <v>5451</v>
      </c>
      <c r="D842" s="28" t="s">
        <v>3798</v>
      </c>
      <c r="E842" s="28" t="s">
        <v>3828</v>
      </c>
      <c r="F842" s="28" t="s">
        <v>3838</v>
      </c>
      <c r="G842" s="86" t="s">
        <v>692</v>
      </c>
      <c r="H842" s="86" t="s">
        <v>692</v>
      </c>
      <c r="I842" s="86" t="s">
        <v>692</v>
      </c>
      <c r="J842" s="86" t="s">
        <v>692</v>
      </c>
      <c r="K842" s="86" t="s">
        <v>692</v>
      </c>
      <c r="L842" s="58" t="str">
        <f t="shared" si="77"/>
        <v>Topográficos</v>
      </c>
      <c r="M842" s="58" t="str">
        <f t="shared" si="79"/>
        <v>Altimetrias</v>
      </c>
      <c r="N842" s="58" t="str">
        <f t="shared" si="79"/>
        <v>Curvas de Nível</v>
      </c>
      <c r="O842" s="58" t="str">
        <f t="shared" si="88"/>
        <v>Curva de Nível Submétrica</v>
      </c>
      <c r="P842" s="58" t="s">
        <v>3839</v>
      </c>
      <c r="Q842" s="58" t="s">
        <v>3840</v>
      </c>
      <c r="R842" s="55" t="s">
        <v>6815</v>
      </c>
      <c r="S842" s="55" t="s">
        <v>692</v>
      </c>
      <c r="T842" s="55" t="str">
        <f t="shared" si="82"/>
        <v>Topográficos</v>
      </c>
      <c r="U842" s="55" t="str">
        <f t="shared" si="82"/>
        <v>Altimetrias</v>
      </c>
      <c r="V842" s="55" t="str">
        <f t="shared" si="82"/>
        <v>Curvas de Nível</v>
      </c>
      <c r="W842" s="54" t="s">
        <v>7259</v>
      </c>
      <c r="X842" s="84" t="str">
        <f t="shared" si="90"/>
        <v>Key-COD-CT-842</v>
      </c>
      <c r="Y842" s="84" t="s">
        <v>7208</v>
      </c>
      <c r="Z842" s="84" t="s">
        <v>692</v>
      </c>
      <c r="AA842" s="84" t="s">
        <v>7159</v>
      </c>
      <c r="AB842" s="84" t="s">
        <v>692</v>
      </c>
      <c r="AC842" s="84" t="s">
        <v>692</v>
      </c>
      <c r="AD842" s="54" t="s">
        <v>692</v>
      </c>
    </row>
    <row r="843" spans="1:30" ht="6.6" customHeight="1" x14ac:dyDescent="0.25">
      <c r="A843" s="85">
        <v>843</v>
      </c>
      <c r="B843" s="80" t="s">
        <v>5419</v>
      </c>
      <c r="C843" s="28" t="s">
        <v>5451</v>
      </c>
      <c r="D843" s="28" t="s">
        <v>3798</v>
      </c>
      <c r="E843" s="28" t="s">
        <v>3841</v>
      </c>
      <c r="F843" s="28" t="s">
        <v>3842</v>
      </c>
      <c r="G843" s="86" t="s">
        <v>692</v>
      </c>
      <c r="H843" s="86" t="s">
        <v>692</v>
      </c>
      <c r="I843" s="86" t="s">
        <v>692</v>
      </c>
      <c r="J843" s="86" t="s">
        <v>692</v>
      </c>
      <c r="K843" s="86" t="s">
        <v>692</v>
      </c>
      <c r="L843" s="58" t="str">
        <f t="shared" si="77"/>
        <v>Topográficos</v>
      </c>
      <c r="M843" s="58" t="str">
        <f t="shared" si="79"/>
        <v>Altimetrias</v>
      </c>
      <c r="N843" s="58" t="str">
        <f t="shared" si="79"/>
        <v>Sondagens</v>
      </c>
      <c r="O843" s="58" t="str">
        <f t="shared" si="88"/>
        <v>Ponto de Sondagem</v>
      </c>
      <c r="P843" s="58" t="s">
        <v>3843</v>
      </c>
      <c r="Q843" s="58" t="s">
        <v>3844</v>
      </c>
      <c r="R843" s="55" t="s">
        <v>6816</v>
      </c>
      <c r="S843" s="55" t="s">
        <v>692</v>
      </c>
      <c r="T843" s="55" t="str">
        <f t="shared" si="82"/>
        <v>Topográficos</v>
      </c>
      <c r="U843" s="55" t="str">
        <f t="shared" si="82"/>
        <v>Altimetrias</v>
      </c>
      <c r="V843" s="55" t="str">
        <f t="shared" si="82"/>
        <v>Sondagens</v>
      </c>
      <c r="W843" s="54" t="s">
        <v>7259</v>
      </c>
      <c r="X843" s="84" t="str">
        <f t="shared" si="90"/>
        <v>Key-COD-CT-843</v>
      </c>
      <c r="Y843" s="84" t="s">
        <v>7199</v>
      </c>
      <c r="Z843" s="84" t="s">
        <v>692</v>
      </c>
      <c r="AA843" s="84" t="s">
        <v>7148</v>
      </c>
      <c r="AB843" s="84" t="s">
        <v>692</v>
      </c>
      <c r="AC843" s="84" t="s">
        <v>692</v>
      </c>
      <c r="AD843" s="54" t="s">
        <v>692</v>
      </c>
    </row>
    <row r="844" spans="1:30" ht="6.6" customHeight="1" x14ac:dyDescent="0.25">
      <c r="A844" s="85">
        <v>844</v>
      </c>
      <c r="B844" s="80" t="s">
        <v>5419</v>
      </c>
      <c r="C844" s="28" t="s">
        <v>3845</v>
      </c>
      <c r="D844" s="28" t="s">
        <v>5452</v>
      </c>
      <c r="E844" s="28" t="s">
        <v>3846</v>
      </c>
      <c r="F844" s="28" t="s">
        <v>3847</v>
      </c>
      <c r="G844" s="86" t="s">
        <v>692</v>
      </c>
      <c r="H844" s="86" t="str">
        <f>_xlfn.CONCAT("é.nomeado some ",C844)</f>
        <v>é.nomeado some Urbanísticos</v>
      </c>
      <c r="I844" s="86" t="s">
        <v>692</v>
      </c>
      <c r="J844" s="86" t="str">
        <f>_xlfn.CONCAT("é.área.de.planejamento some ",E844)</f>
        <v>é.área.de.planejamento some Zonificações</v>
      </c>
      <c r="K844" s="86" t="str">
        <f>_xlfn.CONCAT("é.dentro.de some ",F813)</f>
        <v>é.dentro.de some Cidade.do.CentroOeste</v>
      </c>
      <c r="L844" s="58" t="str">
        <f t="shared" si="77"/>
        <v>Urbanísticos</v>
      </c>
      <c r="M844" s="58" t="str">
        <f t="shared" si="79"/>
        <v>De Planejamento</v>
      </c>
      <c r="N844" s="58" t="str">
        <f t="shared" si="79"/>
        <v>Zonificações</v>
      </c>
      <c r="O844" s="58" t="str">
        <f t="shared" si="79"/>
        <v>Area de Planejamento</v>
      </c>
      <c r="P844" s="58" t="s">
        <v>3848</v>
      </c>
      <c r="Q844" s="58" t="s">
        <v>3849</v>
      </c>
      <c r="R844" s="55" t="s">
        <v>6817</v>
      </c>
      <c r="S844" s="55" t="s">
        <v>692</v>
      </c>
      <c r="T844" s="55" t="str">
        <f t="shared" si="82"/>
        <v>Urbanísticos</v>
      </c>
      <c r="U844" s="55" t="str">
        <f t="shared" si="82"/>
        <v>De Planejamento</v>
      </c>
      <c r="V844" s="55" t="str">
        <f t="shared" si="82"/>
        <v>Zonificações</v>
      </c>
      <c r="W844" s="54" t="s">
        <v>7259</v>
      </c>
      <c r="X844" s="84" t="str">
        <f t="shared" si="90"/>
        <v>Key-COD-CT-844</v>
      </c>
      <c r="Y844" s="84" t="s">
        <v>5450</v>
      </c>
      <c r="Z844" s="84" t="s">
        <v>692</v>
      </c>
      <c r="AA844" s="84" t="s">
        <v>7148</v>
      </c>
      <c r="AB844" s="84" t="s">
        <v>692</v>
      </c>
      <c r="AC844" s="84" t="s">
        <v>692</v>
      </c>
      <c r="AD844" s="54" t="s">
        <v>692</v>
      </c>
    </row>
    <row r="845" spans="1:30" ht="6.6" customHeight="1" x14ac:dyDescent="0.25">
      <c r="A845" s="85">
        <v>845</v>
      </c>
      <c r="B845" s="80" t="s">
        <v>5419</v>
      </c>
      <c r="C845" s="28" t="s">
        <v>3845</v>
      </c>
      <c r="D845" s="28" t="s">
        <v>5452</v>
      </c>
      <c r="E845" s="28" t="s">
        <v>3846</v>
      </c>
      <c r="F845" s="28" t="s">
        <v>3850</v>
      </c>
      <c r="G845" s="86" t="s">
        <v>692</v>
      </c>
      <c r="H845" s="86" t="s">
        <v>692</v>
      </c>
      <c r="I845" s="86" t="s">
        <v>692</v>
      </c>
      <c r="J845" s="86" t="str">
        <f>_xlfn.CONCAT("é.região.administrativa some ",E845)</f>
        <v>é.região.administrativa some Zonificações</v>
      </c>
      <c r="K845" s="86" t="str">
        <f>_xlfn.CONCAT("é.dentro.de some ",F844)</f>
        <v>é.dentro.de some Area.de.Planejamento</v>
      </c>
      <c r="L845" s="58" t="str">
        <f t="shared" si="77"/>
        <v>Urbanísticos</v>
      </c>
      <c r="M845" s="58" t="str">
        <f t="shared" si="79"/>
        <v>De Planejamento</v>
      </c>
      <c r="N845" s="58" t="str">
        <f t="shared" si="79"/>
        <v>Zonificações</v>
      </c>
      <c r="O845" s="58" t="str">
        <f t="shared" si="79"/>
        <v>Região Administrativa</v>
      </c>
      <c r="P845" s="58" t="s">
        <v>3851</v>
      </c>
      <c r="Q845" s="58" t="s">
        <v>3852</v>
      </c>
      <c r="R845" s="55" t="s">
        <v>6818</v>
      </c>
      <c r="S845" s="55" t="s">
        <v>692</v>
      </c>
      <c r="T845" s="55" t="str">
        <f t="shared" si="82"/>
        <v>Urbanísticos</v>
      </c>
      <c r="U845" s="55" t="str">
        <f t="shared" si="82"/>
        <v>De Planejamento</v>
      </c>
      <c r="V845" s="55" t="str">
        <f t="shared" si="82"/>
        <v>Zonificações</v>
      </c>
      <c r="W845" s="54" t="s">
        <v>7259</v>
      </c>
      <c r="X845" s="84" t="str">
        <f t="shared" si="90"/>
        <v>Key-COD-CT-845</v>
      </c>
      <c r="Y845" s="84" t="s">
        <v>5450</v>
      </c>
      <c r="Z845" s="84" t="s">
        <v>692</v>
      </c>
      <c r="AA845" s="84" t="s">
        <v>7148</v>
      </c>
      <c r="AB845" s="84" t="s">
        <v>692</v>
      </c>
      <c r="AC845" s="84" t="s">
        <v>692</v>
      </c>
      <c r="AD845" s="54" t="s">
        <v>692</v>
      </c>
    </row>
    <row r="846" spans="1:30" ht="6.6" customHeight="1" x14ac:dyDescent="0.25">
      <c r="A846" s="85">
        <v>846</v>
      </c>
      <c r="B846" s="80" t="s">
        <v>5419</v>
      </c>
      <c r="C846" s="28" t="s">
        <v>3845</v>
      </c>
      <c r="D846" s="28" t="s">
        <v>5452</v>
      </c>
      <c r="E846" s="28" t="s">
        <v>3846</v>
      </c>
      <c r="F846" s="28" t="s">
        <v>3853</v>
      </c>
      <c r="G846" s="86" t="s">
        <v>692</v>
      </c>
      <c r="H846" s="86" t="s">
        <v>692</v>
      </c>
      <c r="I846" s="86" t="s">
        <v>692</v>
      </c>
      <c r="J846" s="86" t="s">
        <v>692</v>
      </c>
      <c r="K846" s="86" t="s">
        <v>692</v>
      </c>
      <c r="L846" s="58" t="str">
        <f t="shared" si="77"/>
        <v>Urbanísticos</v>
      </c>
      <c r="M846" s="58" t="str">
        <f t="shared" si="79"/>
        <v>De Planejamento</v>
      </c>
      <c r="N846" s="58" t="str">
        <f t="shared" si="79"/>
        <v>Zonificações</v>
      </c>
      <c r="O846" s="58" t="str">
        <f t="shared" si="79"/>
        <v>Area de Interesse Especial</v>
      </c>
      <c r="P846" s="58" t="s">
        <v>3854</v>
      </c>
      <c r="Q846" s="58" t="s">
        <v>3855</v>
      </c>
      <c r="R846" s="55" t="s">
        <v>6819</v>
      </c>
      <c r="S846" s="55" t="s">
        <v>692</v>
      </c>
      <c r="T846" s="55" t="str">
        <f t="shared" si="82"/>
        <v>Urbanísticos</v>
      </c>
      <c r="U846" s="55" t="str">
        <f t="shared" si="82"/>
        <v>De Planejamento</v>
      </c>
      <c r="V846" s="55" t="str">
        <f t="shared" si="82"/>
        <v>Zonificações</v>
      </c>
      <c r="W846" s="54" t="s">
        <v>7259</v>
      </c>
      <c r="X846" s="84" t="str">
        <f t="shared" si="90"/>
        <v>Key-COD-CT-846</v>
      </c>
      <c r="Y846" s="84" t="s">
        <v>5450</v>
      </c>
      <c r="Z846" s="84" t="s">
        <v>692</v>
      </c>
      <c r="AA846" s="84" t="s">
        <v>7148</v>
      </c>
      <c r="AB846" s="84" t="s">
        <v>692</v>
      </c>
      <c r="AC846" s="84" t="s">
        <v>692</v>
      </c>
      <c r="AD846" s="54" t="s">
        <v>692</v>
      </c>
    </row>
    <row r="847" spans="1:30" ht="6.6" customHeight="1" x14ac:dyDescent="0.25">
      <c r="A847" s="85">
        <v>847</v>
      </c>
      <c r="B847" s="80" t="s">
        <v>5419</v>
      </c>
      <c r="C847" s="28" t="s">
        <v>3845</v>
      </c>
      <c r="D847" s="28" t="s">
        <v>5452</v>
      </c>
      <c r="E847" s="28" t="s">
        <v>3846</v>
      </c>
      <c r="F847" s="28" t="s">
        <v>3856</v>
      </c>
      <c r="G847" s="86" t="s">
        <v>692</v>
      </c>
      <c r="H847" s="86" t="s">
        <v>692</v>
      </c>
      <c r="I847" s="86" t="s">
        <v>692</v>
      </c>
      <c r="J847" s="86" t="s">
        <v>692</v>
      </c>
      <c r="K847" s="86" t="s">
        <v>692</v>
      </c>
      <c r="L847" s="58" t="str">
        <f t="shared" si="77"/>
        <v>Urbanísticos</v>
      </c>
      <c r="M847" s="58" t="str">
        <f t="shared" ref="M847:O862" si="91">_xlfn.CONCAT(SUBSTITUTE(D847,"."," "))</f>
        <v>De Planejamento</v>
      </c>
      <c r="N847" s="58" t="str">
        <f t="shared" si="91"/>
        <v>Zonificações</v>
      </c>
      <c r="O847" s="58" t="str">
        <f t="shared" si="91"/>
        <v>Area Restringida</v>
      </c>
      <c r="P847" s="58" t="s">
        <v>3857</v>
      </c>
      <c r="Q847" s="58" t="s">
        <v>3858</v>
      </c>
      <c r="R847" s="55" t="s">
        <v>6820</v>
      </c>
      <c r="S847" s="55" t="s">
        <v>692</v>
      </c>
      <c r="T847" s="55" t="str">
        <f t="shared" si="82"/>
        <v>Urbanísticos</v>
      </c>
      <c r="U847" s="55" t="str">
        <f t="shared" si="82"/>
        <v>De Planejamento</v>
      </c>
      <c r="V847" s="55" t="str">
        <f t="shared" si="82"/>
        <v>Zonificações</v>
      </c>
      <c r="W847" s="54" t="s">
        <v>7259</v>
      </c>
      <c r="X847" s="84" t="str">
        <f t="shared" si="90"/>
        <v>Key-COD-CT-847</v>
      </c>
      <c r="Y847" s="84" t="s">
        <v>5450</v>
      </c>
      <c r="Z847" s="84" t="s">
        <v>692</v>
      </c>
      <c r="AA847" s="84" t="s">
        <v>7148</v>
      </c>
      <c r="AB847" s="84" t="s">
        <v>692</v>
      </c>
      <c r="AC847" s="84" t="s">
        <v>692</v>
      </c>
      <c r="AD847" s="54" t="s">
        <v>692</v>
      </c>
    </row>
    <row r="848" spans="1:30" ht="6.6" customHeight="1" x14ac:dyDescent="0.25">
      <c r="A848" s="85">
        <v>848</v>
      </c>
      <c r="B848" s="80" t="s">
        <v>5419</v>
      </c>
      <c r="C848" s="28" t="s">
        <v>3845</v>
      </c>
      <c r="D848" s="28" t="s">
        <v>5452</v>
      </c>
      <c r="E848" s="28" t="s">
        <v>3846</v>
      </c>
      <c r="F848" s="28" t="s">
        <v>3859</v>
      </c>
      <c r="G848" s="86" t="s">
        <v>692</v>
      </c>
      <c r="H848" s="86" t="s">
        <v>692</v>
      </c>
      <c r="I848" s="86" t="s">
        <v>692</v>
      </c>
      <c r="J848" s="86" t="s">
        <v>692</v>
      </c>
      <c r="K848" s="86" t="s">
        <v>3860</v>
      </c>
      <c r="L848" s="58" t="str">
        <f t="shared" si="77"/>
        <v>Urbanísticos</v>
      </c>
      <c r="M848" s="58" t="str">
        <f t="shared" si="91"/>
        <v>De Planejamento</v>
      </c>
      <c r="N848" s="58" t="str">
        <f t="shared" si="91"/>
        <v>Zonificações</v>
      </c>
      <c r="O848" s="58" t="str">
        <f t="shared" si="91"/>
        <v>Zona</v>
      </c>
      <c r="P848" s="58" t="s">
        <v>3861</v>
      </c>
      <c r="Q848" s="58" t="s">
        <v>3862</v>
      </c>
      <c r="R848" s="55" t="s">
        <v>6821</v>
      </c>
      <c r="S848" s="55" t="s">
        <v>692</v>
      </c>
      <c r="T848" s="55" t="str">
        <f t="shared" si="82"/>
        <v>Urbanísticos</v>
      </c>
      <c r="U848" s="55" t="str">
        <f t="shared" si="82"/>
        <v>De Planejamento</v>
      </c>
      <c r="V848" s="55" t="str">
        <f t="shared" si="82"/>
        <v>Zonificações</v>
      </c>
      <c r="W848" s="54" t="s">
        <v>7259</v>
      </c>
      <c r="X848" s="84" t="str">
        <f t="shared" si="90"/>
        <v>Key-COD-CT-848</v>
      </c>
      <c r="Y848" s="84" t="s">
        <v>5450</v>
      </c>
      <c r="Z848" s="84" t="s">
        <v>692</v>
      </c>
      <c r="AA848" s="84" t="s">
        <v>7148</v>
      </c>
      <c r="AB848" s="84" t="s">
        <v>692</v>
      </c>
      <c r="AC848" s="84" t="s">
        <v>692</v>
      </c>
      <c r="AD848" s="54" t="s">
        <v>692</v>
      </c>
    </row>
    <row r="849" spans="1:30" ht="6.6" customHeight="1" x14ac:dyDescent="0.25">
      <c r="A849" s="85">
        <v>849</v>
      </c>
      <c r="B849" s="80" t="s">
        <v>5419</v>
      </c>
      <c r="C849" s="28" t="s">
        <v>3845</v>
      </c>
      <c r="D849" s="28" t="s">
        <v>5452</v>
      </c>
      <c r="E849" s="28" t="s">
        <v>3846</v>
      </c>
      <c r="F849" s="28" t="s">
        <v>3863</v>
      </c>
      <c r="G849" s="86" t="s">
        <v>692</v>
      </c>
      <c r="H849" s="86" t="s">
        <v>692</v>
      </c>
      <c r="I849" s="86" t="s">
        <v>692</v>
      </c>
      <c r="J849" s="86" t="s">
        <v>692</v>
      </c>
      <c r="K849" s="86" t="s">
        <v>3860</v>
      </c>
      <c r="L849" s="58" t="str">
        <f t="shared" si="77"/>
        <v>Urbanísticos</v>
      </c>
      <c r="M849" s="58" t="str">
        <f t="shared" si="91"/>
        <v>De Planejamento</v>
      </c>
      <c r="N849" s="58" t="str">
        <f t="shared" si="91"/>
        <v>Zonificações</v>
      </c>
      <c r="O849" s="58" t="str">
        <f t="shared" si="91"/>
        <v>Bairro</v>
      </c>
      <c r="P849" s="58" t="s">
        <v>3864</v>
      </c>
      <c r="Q849" s="58" t="s">
        <v>3865</v>
      </c>
      <c r="R849" s="55" t="s">
        <v>6822</v>
      </c>
      <c r="S849" s="55" t="s">
        <v>692</v>
      </c>
      <c r="T849" s="55" t="str">
        <f t="shared" si="82"/>
        <v>Urbanísticos</v>
      </c>
      <c r="U849" s="55" t="str">
        <f t="shared" si="82"/>
        <v>De Planejamento</v>
      </c>
      <c r="V849" s="55" t="str">
        <f t="shared" si="82"/>
        <v>Zonificações</v>
      </c>
      <c r="W849" s="54" t="s">
        <v>7259</v>
      </c>
      <c r="X849" s="84" t="str">
        <f t="shared" si="90"/>
        <v>Key-COD-CT-849</v>
      </c>
      <c r="Y849" s="84" t="s">
        <v>5450</v>
      </c>
      <c r="Z849" s="84" t="s">
        <v>692</v>
      </c>
      <c r="AA849" s="84" t="s">
        <v>7148</v>
      </c>
      <c r="AB849" s="84" t="s">
        <v>692</v>
      </c>
      <c r="AC849" s="84" t="s">
        <v>692</v>
      </c>
      <c r="AD849" s="54" t="s">
        <v>692</v>
      </c>
    </row>
    <row r="850" spans="1:30" ht="6.6" customHeight="1" x14ac:dyDescent="0.25">
      <c r="A850" s="85">
        <v>850</v>
      </c>
      <c r="B850" s="80" t="s">
        <v>5419</v>
      </c>
      <c r="C850" s="28" t="s">
        <v>3845</v>
      </c>
      <c r="D850" s="28" t="s">
        <v>5452</v>
      </c>
      <c r="E850" s="28" t="s">
        <v>3846</v>
      </c>
      <c r="F850" s="28" t="s">
        <v>3866</v>
      </c>
      <c r="G850" s="86" t="s">
        <v>692</v>
      </c>
      <c r="H850" s="86" t="s">
        <v>692</v>
      </c>
      <c r="I850" s="86" t="s">
        <v>692</v>
      </c>
      <c r="J850" s="86" t="s">
        <v>692</v>
      </c>
      <c r="K850" s="86" t="s">
        <v>3860</v>
      </c>
      <c r="L850" s="58" t="str">
        <f t="shared" si="77"/>
        <v>Urbanísticos</v>
      </c>
      <c r="M850" s="58" t="str">
        <f t="shared" si="91"/>
        <v>De Planejamento</v>
      </c>
      <c r="N850" s="58" t="str">
        <f t="shared" si="91"/>
        <v>Zonificações</v>
      </c>
      <c r="O850" s="58" t="str">
        <f t="shared" si="91"/>
        <v>Zona de Uso</v>
      </c>
      <c r="P850" s="58" t="s">
        <v>3867</v>
      </c>
      <c r="Q850" s="58" t="s">
        <v>3868</v>
      </c>
      <c r="R850" s="55" t="s">
        <v>6823</v>
      </c>
      <c r="S850" s="55" t="s">
        <v>692</v>
      </c>
      <c r="T850" s="55" t="str">
        <f t="shared" si="82"/>
        <v>Urbanísticos</v>
      </c>
      <c r="U850" s="55" t="str">
        <f t="shared" si="82"/>
        <v>De Planejamento</v>
      </c>
      <c r="V850" s="55" t="str">
        <f t="shared" si="82"/>
        <v>Zonificações</v>
      </c>
      <c r="W850" s="54" t="s">
        <v>7259</v>
      </c>
      <c r="X850" s="84" t="str">
        <f t="shared" si="90"/>
        <v>Key-COD-CT-850</v>
      </c>
      <c r="Y850" s="84" t="s">
        <v>5450</v>
      </c>
      <c r="Z850" s="84" t="s">
        <v>692</v>
      </c>
      <c r="AA850" s="84" t="s">
        <v>7148</v>
      </c>
      <c r="AB850" s="84" t="s">
        <v>692</v>
      </c>
      <c r="AC850" s="84" t="s">
        <v>692</v>
      </c>
      <c r="AD850" s="54" t="s">
        <v>692</v>
      </c>
    </row>
    <row r="851" spans="1:30" ht="6.6" customHeight="1" x14ac:dyDescent="0.25">
      <c r="A851" s="85">
        <v>851</v>
      </c>
      <c r="B851" s="80" t="s">
        <v>5419</v>
      </c>
      <c r="C851" s="28" t="s">
        <v>3845</v>
      </c>
      <c r="D851" s="28" t="s">
        <v>5452</v>
      </c>
      <c r="E851" s="28" t="s">
        <v>3846</v>
      </c>
      <c r="F851" s="28" t="s">
        <v>3869</v>
      </c>
      <c r="G851" s="86" t="s">
        <v>692</v>
      </c>
      <c r="H851" s="86" t="s">
        <v>692</v>
      </c>
      <c r="I851" s="86" t="s">
        <v>692</v>
      </c>
      <c r="J851" s="86" t="s">
        <v>692</v>
      </c>
      <c r="K851" s="86" t="s">
        <v>3860</v>
      </c>
      <c r="L851" s="58" t="str">
        <f t="shared" si="77"/>
        <v>Urbanísticos</v>
      </c>
      <c r="M851" s="58" t="str">
        <f t="shared" si="91"/>
        <v>De Planejamento</v>
      </c>
      <c r="N851" s="58" t="str">
        <f t="shared" si="91"/>
        <v>Zonificações</v>
      </c>
      <c r="O851" s="58" t="str">
        <f t="shared" si="91"/>
        <v>Macrozona</v>
      </c>
      <c r="P851" s="58" t="s">
        <v>3864</v>
      </c>
      <c r="Q851" s="58" t="s">
        <v>3865</v>
      </c>
      <c r="R851" s="55" t="s">
        <v>6822</v>
      </c>
      <c r="S851" s="55" t="s">
        <v>692</v>
      </c>
      <c r="T851" s="55" t="str">
        <f t="shared" si="82"/>
        <v>Urbanísticos</v>
      </c>
      <c r="U851" s="55" t="str">
        <f t="shared" si="82"/>
        <v>De Planejamento</v>
      </c>
      <c r="V851" s="55" t="str">
        <f t="shared" si="82"/>
        <v>Zonificações</v>
      </c>
      <c r="W851" s="54" t="s">
        <v>7259</v>
      </c>
      <c r="X851" s="84" t="str">
        <f t="shared" si="90"/>
        <v>Key-COD-CT-851</v>
      </c>
      <c r="Y851" s="84" t="s">
        <v>5450</v>
      </c>
      <c r="Z851" s="84" t="s">
        <v>692</v>
      </c>
      <c r="AA851" s="84" t="s">
        <v>7162</v>
      </c>
      <c r="AB851" s="84" t="s">
        <v>692</v>
      </c>
      <c r="AC851" s="84" t="s">
        <v>692</v>
      </c>
      <c r="AD851" s="54" t="s">
        <v>692</v>
      </c>
    </row>
    <row r="852" spans="1:30" ht="6.6" customHeight="1" x14ac:dyDescent="0.25">
      <c r="A852" s="85">
        <v>852</v>
      </c>
      <c r="B852" s="80" t="s">
        <v>5419</v>
      </c>
      <c r="C852" s="28" t="s">
        <v>3845</v>
      </c>
      <c r="D852" s="28" t="s">
        <v>5452</v>
      </c>
      <c r="E852" s="28" t="s">
        <v>3870</v>
      </c>
      <c r="F852" s="28" t="s">
        <v>3871</v>
      </c>
      <c r="G852" s="86" t="s">
        <v>692</v>
      </c>
      <c r="H852" s="86" t="s">
        <v>692</v>
      </c>
      <c r="I852" s="86" t="s">
        <v>692</v>
      </c>
      <c r="J852" s="86" t="s">
        <v>692</v>
      </c>
      <c r="K852" s="86" t="s">
        <v>3872</v>
      </c>
      <c r="L852" s="58" t="str">
        <f t="shared" si="77"/>
        <v>Urbanísticos</v>
      </c>
      <c r="M852" s="58" t="str">
        <f t="shared" si="91"/>
        <v>De Planejamento</v>
      </c>
      <c r="N852" s="58" t="str">
        <f t="shared" si="91"/>
        <v>Frações</v>
      </c>
      <c r="O852" s="58" t="str">
        <f t="shared" si="91"/>
        <v>Quadra</v>
      </c>
      <c r="P852" s="58" t="s">
        <v>3873</v>
      </c>
      <c r="Q852" s="58" t="s">
        <v>3874</v>
      </c>
      <c r="R852" s="55" t="s">
        <v>6824</v>
      </c>
      <c r="S852" s="55" t="s">
        <v>692</v>
      </c>
      <c r="T852" s="55" t="str">
        <f t="shared" si="82"/>
        <v>Urbanísticos</v>
      </c>
      <c r="U852" s="55" t="str">
        <f t="shared" si="82"/>
        <v>De Planejamento</v>
      </c>
      <c r="V852" s="55" t="str">
        <f t="shared" si="82"/>
        <v>Frações</v>
      </c>
      <c r="W852" s="54" t="s">
        <v>7259</v>
      </c>
      <c r="X852" s="84" t="str">
        <f t="shared" si="90"/>
        <v>Key-COD-CT-852</v>
      </c>
      <c r="Y852" s="84" t="s">
        <v>5453</v>
      </c>
      <c r="Z852" s="84" t="s">
        <v>692</v>
      </c>
      <c r="AA852" s="84" t="s">
        <v>7162</v>
      </c>
      <c r="AB852" s="84" t="s">
        <v>692</v>
      </c>
      <c r="AC852" s="84" t="s">
        <v>692</v>
      </c>
      <c r="AD852" s="54" t="s">
        <v>692</v>
      </c>
    </row>
    <row r="853" spans="1:30" ht="6.6" customHeight="1" x14ac:dyDescent="0.25">
      <c r="A853" s="85">
        <v>853</v>
      </c>
      <c r="B853" s="80" t="s">
        <v>5419</v>
      </c>
      <c r="C853" s="28" t="s">
        <v>3845</v>
      </c>
      <c r="D853" s="28" t="s">
        <v>5452</v>
      </c>
      <c r="E853" s="28" t="s">
        <v>3870</v>
      </c>
      <c r="F853" s="28" t="s">
        <v>3875</v>
      </c>
      <c r="G853" s="86" t="s">
        <v>692</v>
      </c>
      <c r="H853" s="86" t="s">
        <v>692</v>
      </c>
      <c r="I853" s="86" t="s">
        <v>692</v>
      </c>
      <c r="J853" s="86" t="s">
        <v>692</v>
      </c>
      <c r="K853" s="86" t="s">
        <v>692</v>
      </c>
      <c r="L853" s="58" t="str">
        <f t="shared" si="77"/>
        <v>Urbanísticos</v>
      </c>
      <c r="M853" s="58" t="str">
        <f t="shared" si="91"/>
        <v>De Planejamento</v>
      </c>
      <c r="N853" s="58" t="str">
        <f t="shared" si="91"/>
        <v>Frações</v>
      </c>
      <c r="O853" s="58" t="str">
        <f t="shared" si="91"/>
        <v>Gleba</v>
      </c>
      <c r="P853" s="58" t="s">
        <v>3876</v>
      </c>
      <c r="Q853" s="58" t="s">
        <v>3877</v>
      </c>
      <c r="R853" s="55" t="s">
        <v>6825</v>
      </c>
      <c r="S853" s="55" t="s">
        <v>692</v>
      </c>
      <c r="T853" s="55" t="str">
        <f t="shared" si="82"/>
        <v>Urbanísticos</v>
      </c>
      <c r="U853" s="55" t="str">
        <f t="shared" si="82"/>
        <v>De Planejamento</v>
      </c>
      <c r="V853" s="55" t="str">
        <f t="shared" si="82"/>
        <v>Frações</v>
      </c>
      <c r="W853" s="54" t="s">
        <v>7259</v>
      </c>
      <c r="X853" s="84" t="str">
        <f t="shared" si="90"/>
        <v>Key-COD-CT-853</v>
      </c>
      <c r="Y853" s="84" t="s">
        <v>5453</v>
      </c>
      <c r="Z853" s="84" t="s">
        <v>692</v>
      </c>
      <c r="AA853" s="84" t="s">
        <v>7163</v>
      </c>
      <c r="AB853" s="84" t="s">
        <v>692</v>
      </c>
      <c r="AC853" s="84" t="s">
        <v>692</v>
      </c>
      <c r="AD853" s="54" t="s">
        <v>692</v>
      </c>
    </row>
    <row r="854" spans="1:30" ht="6.6" customHeight="1" x14ac:dyDescent="0.25">
      <c r="A854" s="85">
        <v>854</v>
      </c>
      <c r="B854" s="80" t="s">
        <v>5419</v>
      </c>
      <c r="C854" s="28" t="s">
        <v>3845</v>
      </c>
      <c r="D854" s="28" t="s">
        <v>5452</v>
      </c>
      <c r="E854" s="28" t="s">
        <v>3870</v>
      </c>
      <c r="F854" s="28" t="s">
        <v>3878</v>
      </c>
      <c r="G854" s="86" t="s">
        <v>692</v>
      </c>
      <c r="H854" s="86" t="s">
        <v>692</v>
      </c>
      <c r="I854" s="86" t="s">
        <v>692</v>
      </c>
      <c r="J854" s="86" t="s">
        <v>692</v>
      </c>
      <c r="K854" s="86" t="s">
        <v>692</v>
      </c>
      <c r="L854" s="58" t="str">
        <f t="shared" si="77"/>
        <v>Urbanísticos</v>
      </c>
      <c r="M854" s="58" t="str">
        <f t="shared" si="91"/>
        <v>De Planejamento</v>
      </c>
      <c r="N854" s="58" t="str">
        <f t="shared" si="91"/>
        <v>Frações</v>
      </c>
      <c r="O854" s="58" t="str">
        <f t="shared" si="91"/>
        <v>Loteamento</v>
      </c>
      <c r="P854" s="58" t="s">
        <v>3879</v>
      </c>
      <c r="Q854" s="58" t="s">
        <v>3880</v>
      </c>
      <c r="R854" s="55" t="s">
        <v>6826</v>
      </c>
      <c r="S854" s="55" t="s">
        <v>692</v>
      </c>
      <c r="T854" s="55" t="str">
        <f t="shared" si="82"/>
        <v>Urbanísticos</v>
      </c>
      <c r="U854" s="55" t="str">
        <f t="shared" si="82"/>
        <v>De Planejamento</v>
      </c>
      <c r="V854" s="55" t="str">
        <f t="shared" si="82"/>
        <v>Frações</v>
      </c>
      <c r="W854" s="54" t="s">
        <v>7259</v>
      </c>
      <c r="X854" s="84" t="str">
        <f t="shared" si="90"/>
        <v>Key-COD-CT-854</v>
      </c>
      <c r="Y854" s="84" t="s">
        <v>7209</v>
      </c>
      <c r="Z854" s="84" t="s">
        <v>692</v>
      </c>
      <c r="AA854" s="84" t="s">
        <v>7163</v>
      </c>
      <c r="AB854" s="84" t="s">
        <v>692</v>
      </c>
      <c r="AC854" s="84" t="s">
        <v>692</v>
      </c>
      <c r="AD854" s="54" t="s">
        <v>692</v>
      </c>
    </row>
    <row r="855" spans="1:30" ht="6.6" customHeight="1" x14ac:dyDescent="0.25">
      <c r="A855" s="85">
        <v>855</v>
      </c>
      <c r="B855" s="80" t="s">
        <v>5419</v>
      </c>
      <c r="C855" s="28" t="s">
        <v>3845</v>
      </c>
      <c r="D855" s="28" t="s">
        <v>5452</v>
      </c>
      <c r="E855" s="28" t="s">
        <v>3870</v>
      </c>
      <c r="F855" s="28" t="s">
        <v>3881</v>
      </c>
      <c r="G855" s="86" t="s">
        <v>692</v>
      </c>
      <c r="H855" s="86" t="s">
        <v>692</v>
      </c>
      <c r="I855" s="86" t="s">
        <v>692</v>
      </c>
      <c r="J855" s="86" t="s">
        <v>692</v>
      </c>
      <c r="K855" s="86" t="s">
        <v>692</v>
      </c>
      <c r="L855" s="58" t="str">
        <f t="shared" si="77"/>
        <v>Urbanísticos</v>
      </c>
      <c r="M855" s="58" t="str">
        <f t="shared" si="91"/>
        <v>De Planejamento</v>
      </c>
      <c r="N855" s="58" t="str">
        <f t="shared" si="91"/>
        <v>Frações</v>
      </c>
      <c r="O855" s="58" t="str">
        <f t="shared" si="91"/>
        <v>Parcela</v>
      </c>
      <c r="P855" s="58" t="s">
        <v>3882</v>
      </c>
      <c r="Q855" s="58" t="s">
        <v>3883</v>
      </c>
      <c r="R855" s="55" t="s">
        <v>6827</v>
      </c>
      <c r="S855" s="55" t="s">
        <v>692</v>
      </c>
      <c r="T855" s="55" t="str">
        <f t="shared" si="82"/>
        <v>Urbanísticos</v>
      </c>
      <c r="U855" s="55" t="str">
        <f t="shared" si="82"/>
        <v>De Planejamento</v>
      </c>
      <c r="V855" s="55" t="str">
        <f t="shared" si="82"/>
        <v>Frações</v>
      </c>
      <c r="W855" s="54" t="s">
        <v>7259</v>
      </c>
      <c r="X855" s="84" t="str">
        <f t="shared" si="90"/>
        <v>Key-COD-CT-855</v>
      </c>
      <c r="Y855" s="84" t="s">
        <v>7209</v>
      </c>
      <c r="Z855" s="84" t="s">
        <v>692</v>
      </c>
      <c r="AA855" s="84" t="s">
        <v>7163</v>
      </c>
      <c r="AB855" s="84" t="s">
        <v>692</v>
      </c>
      <c r="AC855" s="84" t="s">
        <v>692</v>
      </c>
      <c r="AD855" s="54" t="s">
        <v>692</v>
      </c>
    </row>
    <row r="856" spans="1:30" ht="6.6" customHeight="1" x14ac:dyDescent="0.25">
      <c r="A856" s="85">
        <v>856</v>
      </c>
      <c r="B856" s="80" t="s">
        <v>5419</v>
      </c>
      <c r="C856" s="28" t="s">
        <v>3845</v>
      </c>
      <c r="D856" s="28" t="s">
        <v>5452</v>
      </c>
      <c r="E856" s="28" t="s">
        <v>3870</v>
      </c>
      <c r="F856" s="28" t="s">
        <v>3884</v>
      </c>
      <c r="G856" s="86" t="s">
        <v>692</v>
      </c>
      <c r="H856" s="86" t="s">
        <v>692</v>
      </c>
      <c r="I856" s="86" t="s">
        <v>692</v>
      </c>
      <c r="J856" s="86" t="s">
        <v>692</v>
      </c>
      <c r="K856" s="86" t="s">
        <v>692</v>
      </c>
      <c r="L856" s="58" t="str">
        <f t="shared" si="77"/>
        <v>Urbanísticos</v>
      </c>
      <c r="M856" s="58" t="str">
        <f t="shared" si="91"/>
        <v>De Planejamento</v>
      </c>
      <c r="N856" s="58" t="str">
        <f t="shared" si="91"/>
        <v>Frações</v>
      </c>
      <c r="O856" s="58" t="str">
        <f t="shared" si="91"/>
        <v>Lote</v>
      </c>
      <c r="P856" s="58" t="s">
        <v>3885</v>
      </c>
      <c r="Q856" s="58" t="s">
        <v>3886</v>
      </c>
      <c r="R856" s="55" t="s">
        <v>6828</v>
      </c>
      <c r="S856" s="55" t="s">
        <v>692</v>
      </c>
      <c r="T856" s="55" t="str">
        <f t="shared" si="82"/>
        <v>Urbanísticos</v>
      </c>
      <c r="U856" s="55" t="str">
        <f t="shared" si="82"/>
        <v>De Planejamento</v>
      </c>
      <c r="V856" s="55" t="str">
        <f t="shared" si="82"/>
        <v>Frações</v>
      </c>
      <c r="W856" s="54" t="s">
        <v>7259</v>
      </c>
      <c r="X856" s="84" t="str">
        <f t="shared" si="90"/>
        <v>Key-COD-CT-856</v>
      </c>
      <c r="Y856" s="84" t="s">
        <v>7209</v>
      </c>
      <c r="Z856" s="84" t="s">
        <v>692</v>
      </c>
      <c r="AA856" s="84" t="s">
        <v>7148</v>
      </c>
      <c r="AB856" s="84" t="s">
        <v>692</v>
      </c>
      <c r="AC856" s="84" t="s">
        <v>692</v>
      </c>
      <c r="AD856" s="54" t="s">
        <v>692</v>
      </c>
    </row>
    <row r="857" spans="1:30" ht="6.6" customHeight="1" x14ac:dyDescent="0.25">
      <c r="A857" s="85">
        <v>857</v>
      </c>
      <c r="B857" s="80" t="s">
        <v>5419</v>
      </c>
      <c r="C857" s="28" t="s">
        <v>5454</v>
      </c>
      <c r="D857" s="28" t="s">
        <v>3887</v>
      </c>
      <c r="E857" s="28" t="s">
        <v>3888</v>
      </c>
      <c r="F857" s="28" t="s">
        <v>870</v>
      </c>
      <c r="G857" s="86" t="s">
        <v>692</v>
      </c>
      <c r="H857" s="86" t="s">
        <v>692</v>
      </c>
      <c r="I857" s="86" t="s">
        <v>692</v>
      </c>
      <c r="J857" s="86" t="s">
        <v>692</v>
      </c>
      <c r="K857" s="86" t="str">
        <f>_xlfn.CONCAT("é.dentro.de some ",F856)</f>
        <v>é.dentro.de some Lote</v>
      </c>
      <c r="L857" s="58" t="str">
        <f t="shared" si="77"/>
        <v>Arquitetônicos</v>
      </c>
      <c r="M857" s="58" t="str">
        <f t="shared" si="91"/>
        <v>Prediais</v>
      </c>
      <c r="N857" s="58" t="str">
        <f t="shared" si="91"/>
        <v>Construídas</v>
      </c>
      <c r="O857" s="58" t="str">
        <f t="shared" si="91"/>
        <v>Prédio</v>
      </c>
      <c r="P857" s="58" t="s">
        <v>3889</v>
      </c>
      <c r="Q857" s="58" t="s">
        <v>3890</v>
      </c>
      <c r="R857" s="55" t="s">
        <v>6829</v>
      </c>
      <c r="S857" s="55" t="s">
        <v>692</v>
      </c>
      <c r="T857" s="55" t="str">
        <f t="shared" si="82"/>
        <v>Arquitetônicos</v>
      </c>
      <c r="U857" s="55" t="str">
        <f t="shared" si="82"/>
        <v>Prediais</v>
      </c>
      <c r="V857" s="55" t="str">
        <f t="shared" si="82"/>
        <v>Construídas</v>
      </c>
      <c r="W857" s="54" t="s">
        <v>7259</v>
      </c>
      <c r="X857" s="84" t="str">
        <f t="shared" si="90"/>
        <v>Key-COD-CT-857</v>
      </c>
      <c r="Y857" s="84" t="s">
        <v>5450</v>
      </c>
      <c r="Z857" s="84" t="s">
        <v>692</v>
      </c>
      <c r="AA857" s="84" t="s">
        <v>7148</v>
      </c>
      <c r="AB857" s="84" t="s">
        <v>692</v>
      </c>
      <c r="AC857" s="84" t="s">
        <v>692</v>
      </c>
      <c r="AD857" s="54" t="s">
        <v>692</v>
      </c>
    </row>
    <row r="858" spans="1:30" ht="6.6" customHeight="1" x14ac:dyDescent="0.25">
      <c r="A858" s="85">
        <v>858</v>
      </c>
      <c r="B858" s="80" t="s">
        <v>5419</v>
      </c>
      <c r="C858" s="28" t="s">
        <v>5454</v>
      </c>
      <c r="D858" s="28" t="s">
        <v>3887</v>
      </c>
      <c r="E858" s="28" t="s">
        <v>3888</v>
      </c>
      <c r="F858" s="28" t="s">
        <v>399</v>
      </c>
      <c r="G858" s="86" t="s">
        <v>692</v>
      </c>
      <c r="H858" s="86" t="s">
        <v>692</v>
      </c>
      <c r="I858" s="86" t="s">
        <v>692</v>
      </c>
      <c r="J858" s="86" t="s">
        <v>692</v>
      </c>
      <c r="K858" s="86" t="str">
        <f>_xlfn.CONCAT("é.dentro.de some ",F856)</f>
        <v>é.dentro.de some Lote</v>
      </c>
      <c r="L858" s="58" t="str">
        <f t="shared" si="77"/>
        <v>Arquitetônicos</v>
      </c>
      <c r="M858" s="58" t="str">
        <f t="shared" si="91"/>
        <v>Prediais</v>
      </c>
      <c r="N858" s="58" t="str">
        <f t="shared" si="91"/>
        <v>Construídas</v>
      </c>
      <c r="O858" s="58" t="str">
        <f t="shared" si="91"/>
        <v>Bloco</v>
      </c>
      <c r="P858" s="58" t="s">
        <v>3891</v>
      </c>
      <c r="Q858" s="58" t="s">
        <v>3892</v>
      </c>
      <c r="R858" s="55" t="s">
        <v>6830</v>
      </c>
      <c r="S858" s="55" t="s">
        <v>692</v>
      </c>
      <c r="T858" s="55" t="str">
        <f t="shared" si="82"/>
        <v>Arquitetônicos</v>
      </c>
      <c r="U858" s="55" t="str">
        <f t="shared" si="82"/>
        <v>Prediais</v>
      </c>
      <c r="V858" s="55" t="str">
        <f t="shared" si="82"/>
        <v>Construídas</v>
      </c>
      <c r="W858" s="54" t="s">
        <v>7259</v>
      </c>
      <c r="X858" s="84" t="str">
        <f t="shared" si="90"/>
        <v>Key-COD-CT-858</v>
      </c>
      <c r="Y858" s="84" t="s">
        <v>5450</v>
      </c>
      <c r="Z858" s="84" t="s">
        <v>692</v>
      </c>
      <c r="AA858" s="84" t="s">
        <v>7148</v>
      </c>
      <c r="AB858" s="84" t="s">
        <v>692</v>
      </c>
      <c r="AC858" s="84" t="s">
        <v>692</v>
      </c>
      <c r="AD858" s="54" t="s">
        <v>692</v>
      </c>
    </row>
    <row r="859" spans="1:30" ht="6.6" customHeight="1" x14ac:dyDescent="0.25">
      <c r="A859" s="85">
        <v>859</v>
      </c>
      <c r="B859" s="80" t="s">
        <v>5419</v>
      </c>
      <c r="C859" s="28" t="s">
        <v>5454</v>
      </c>
      <c r="D859" s="28" t="s">
        <v>3887</v>
      </c>
      <c r="E859" s="28" t="s">
        <v>3888</v>
      </c>
      <c r="F859" s="28" t="s">
        <v>3893</v>
      </c>
      <c r="G859" s="86" t="s">
        <v>692</v>
      </c>
      <c r="H859" s="86" t="s">
        <v>692</v>
      </c>
      <c r="I859" s="86" t="s">
        <v>692</v>
      </c>
      <c r="J859" s="86" t="s">
        <v>692</v>
      </c>
      <c r="K859" s="86" t="str">
        <f>_xlfn.CONCAT("é.dentro.de some ",F856)</f>
        <v>é.dentro.de some Lote</v>
      </c>
      <c r="L859" s="58" t="str">
        <f t="shared" si="77"/>
        <v>Arquitetônicos</v>
      </c>
      <c r="M859" s="58" t="str">
        <f t="shared" si="91"/>
        <v>Prediais</v>
      </c>
      <c r="N859" s="58" t="str">
        <f t="shared" si="91"/>
        <v>Construídas</v>
      </c>
      <c r="O859" s="58" t="str">
        <f t="shared" si="91"/>
        <v>Edifício</v>
      </c>
      <c r="P859" s="58" t="s">
        <v>3894</v>
      </c>
      <c r="Q859" s="58" t="s">
        <v>3895</v>
      </c>
      <c r="R859" s="55" t="s">
        <v>6829</v>
      </c>
      <c r="S859" s="55" t="s">
        <v>692</v>
      </c>
      <c r="T859" s="55" t="str">
        <f t="shared" si="82"/>
        <v>Arquitetônicos</v>
      </c>
      <c r="U859" s="55" t="str">
        <f t="shared" si="82"/>
        <v>Prediais</v>
      </c>
      <c r="V859" s="55" t="str">
        <f t="shared" si="82"/>
        <v>Construídas</v>
      </c>
      <c r="W859" s="54" t="s">
        <v>7259</v>
      </c>
      <c r="X859" s="84" t="str">
        <f t="shared" si="90"/>
        <v>Key-COD-CT-859</v>
      </c>
      <c r="Y859" s="84" t="s">
        <v>5450</v>
      </c>
      <c r="Z859" s="84" t="s">
        <v>692</v>
      </c>
      <c r="AA859" s="84" t="s">
        <v>7148</v>
      </c>
      <c r="AB859" s="84" t="s">
        <v>692</v>
      </c>
      <c r="AC859" s="84" t="s">
        <v>692</v>
      </c>
      <c r="AD859" s="54" t="s">
        <v>692</v>
      </c>
    </row>
    <row r="860" spans="1:30" ht="6.6" customHeight="1" x14ac:dyDescent="0.25">
      <c r="A860" s="85">
        <v>860</v>
      </c>
      <c r="B860" s="80" t="s">
        <v>5419</v>
      </c>
      <c r="C860" s="28" t="s">
        <v>5454</v>
      </c>
      <c r="D860" s="28" t="s">
        <v>3887</v>
      </c>
      <c r="E860" s="28" t="s">
        <v>3888</v>
      </c>
      <c r="F860" s="28" t="s">
        <v>3896</v>
      </c>
      <c r="G860" s="86" t="s">
        <v>692</v>
      </c>
      <c r="H860" s="86" t="s">
        <v>692</v>
      </c>
      <c r="I860" s="86" t="s">
        <v>692</v>
      </c>
      <c r="J860" s="86" t="s">
        <v>692</v>
      </c>
      <c r="K860" s="86" t="str">
        <f>_xlfn.CONCAT("é.dentro.de some ",F855)</f>
        <v>é.dentro.de some Parcela</v>
      </c>
      <c r="L860" s="58" t="str">
        <f t="shared" si="77"/>
        <v>Arquitetônicos</v>
      </c>
      <c r="M860" s="58" t="str">
        <f t="shared" si="91"/>
        <v>Prediais</v>
      </c>
      <c r="N860" s="58" t="str">
        <f t="shared" si="91"/>
        <v>Construídas</v>
      </c>
      <c r="O860" s="58" t="str">
        <f t="shared" si="91"/>
        <v>Casa</v>
      </c>
      <c r="P860" s="58" t="s">
        <v>3897</v>
      </c>
      <c r="Q860" s="58" t="s">
        <v>3896</v>
      </c>
      <c r="R860" s="55" t="s">
        <v>6831</v>
      </c>
      <c r="S860" s="55" t="s">
        <v>692</v>
      </c>
      <c r="T860" s="55" t="str">
        <f t="shared" si="82"/>
        <v>Arquitetônicos</v>
      </c>
      <c r="U860" s="55" t="str">
        <f t="shared" si="82"/>
        <v>Prediais</v>
      </c>
      <c r="V860" s="55" t="str">
        <f t="shared" si="82"/>
        <v>Construídas</v>
      </c>
      <c r="W860" s="54" t="s">
        <v>7259</v>
      </c>
      <c r="X860" s="84" t="str">
        <f t="shared" si="90"/>
        <v>Key-COD-CT-860</v>
      </c>
      <c r="Y860" s="84" t="s">
        <v>5450</v>
      </c>
      <c r="Z860" s="84" t="s">
        <v>692</v>
      </c>
      <c r="AA860" s="84" t="s">
        <v>7148</v>
      </c>
      <c r="AB860" s="84" t="s">
        <v>692</v>
      </c>
      <c r="AC860" s="84" t="s">
        <v>692</v>
      </c>
      <c r="AD860" s="54" t="s">
        <v>692</v>
      </c>
    </row>
    <row r="861" spans="1:30" ht="6.6" customHeight="1" x14ac:dyDescent="0.25">
      <c r="A861" s="85">
        <v>861</v>
      </c>
      <c r="B861" s="80" t="s">
        <v>5419</v>
      </c>
      <c r="C861" s="28" t="s">
        <v>5454</v>
      </c>
      <c r="D861" s="28" t="s">
        <v>3887</v>
      </c>
      <c r="E861" s="28" t="s">
        <v>3888</v>
      </c>
      <c r="F861" s="28" t="s">
        <v>3898</v>
      </c>
      <c r="G861" s="86" t="s">
        <v>692</v>
      </c>
      <c r="H861" s="86" t="s">
        <v>692</v>
      </c>
      <c r="I861" s="86" t="s">
        <v>692</v>
      </c>
      <c r="J861" s="86" t="s">
        <v>692</v>
      </c>
      <c r="K861" s="86" t="str">
        <f>_xlfn.CONCAT("é.dentro.de some ",F856)</f>
        <v>é.dentro.de some Lote</v>
      </c>
      <c r="L861" s="58" t="str">
        <f t="shared" si="77"/>
        <v>Arquitetônicos</v>
      </c>
      <c r="M861" s="58" t="str">
        <f t="shared" si="91"/>
        <v>Prediais</v>
      </c>
      <c r="N861" s="58" t="str">
        <f t="shared" si="91"/>
        <v>Construídas</v>
      </c>
      <c r="O861" s="58" t="str">
        <f t="shared" si="91"/>
        <v>HIS</v>
      </c>
      <c r="P861" s="58" t="s">
        <v>3899</v>
      </c>
      <c r="Q861" s="58" t="s">
        <v>3900</v>
      </c>
      <c r="R861" s="55" t="s">
        <v>6832</v>
      </c>
      <c r="S861" s="55" t="s">
        <v>692</v>
      </c>
      <c r="T861" s="55" t="str">
        <f t="shared" si="82"/>
        <v>Arquitetônicos</v>
      </c>
      <c r="U861" s="55" t="str">
        <f t="shared" si="82"/>
        <v>Prediais</v>
      </c>
      <c r="V861" s="55" t="str">
        <f t="shared" si="82"/>
        <v>Construídas</v>
      </c>
      <c r="W861" s="54" t="s">
        <v>7259</v>
      </c>
      <c r="X861" s="84" t="str">
        <f t="shared" si="90"/>
        <v>Key-COD-CT-861</v>
      </c>
      <c r="Y861" s="84" t="s">
        <v>5450</v>
      </c>
      <c r="Z861" s="84" t="s">
        <v>692</v>
      </c>
      <c r="AA861" s="84" t="s">
        <v>7148</v>
      </c>
      <c r="AB861" s="84" t="s">
        <v>692</v>
      </c>
      <c r="AC861" s="84" t="s">
        <v>692</v>
      </c>
      <c r="AD861" s="54" t="s">
        <v>692</v>
      </c>
    </row>
    <row r="862" spans="1:30" ht="6.6" customHeight="1" x14ac:dyDescent="0.25">
      <c r="A862" s="85">
        <v>862</v>
      </c>
      <c r="B862" s="80" t="s">
        <v>5419</v>
      </c>
      <c r="C862" s="28" t="s">
        <v>5454</v>
      </c>
      <c r="D862" s="28" t="s">
        <v>3887</v>
      </c>
      <c r="E862" s="28" t="s">
        <v>3888</v>
      </c>
      <c r="F862" s="28" t="s">
        <v>3901</v>
      </c>
      <c r="G862" s="86" t="s">
        <v>692</v>
      </c>
      <c r="H862" s="86" t="s">
        <v>692</v>
      </c>
      <c r="I862" s="86" t="s">
        <v>692</v>
      </c>
      <c r="J862" s="86" t="s">
        <v>692</v>
      </c>
      <c r="K862" s="86" t="s">
        <v>3902</v>
      </c>
      <c r="L862" s="58" t="str">
        <f t="shared" si="77"/>
        <v>Arquitetônicos</v>
      </c>
      <c r="M862" s="58" t="str">
        <f t="shared" si="91"/>
        <v>Prediais</v>
      </c>
      <c r="N862" s="58" t="str">
        <f t="shared" si="91"/>
        <v>Construídas</v>
      </c>
      <c r="O862" s="58" t="str">
        <f t="shared" si="91"/>
        <v>Galpão</v>
      </c>
      <c r="P862" s="58" t="s">
        <v>3903</v>
      </c>
      <c r="Q862" s="58" t="s">
        <v>3904</v>
      </c>
      <c r="R862" s="55" t="s">
        <v>6833</v>
      </c>
      <c r="S862" s="55" t="s">
        <v>692</v>
      </c>
      <c r="T862" s="55" t="str">
        <f t="shared" si="82"/>
        <v>Arquitetônicos</v>
      </c>
      <c r="U862" s="55" t="str">
        <f t="shared" si="82"/>
        <v>Prediais</v>
      </c>
      <c r="V862" s="55" t="str">
        <f t="shared" si="82"/>
        <v>Construídas</v>
      </c>
      <c r="W862" s="54" t="s">
        <v>7259</v>
      </c>
      <c r="X862" s="84" t="str">
        <f t="shared" si="90"/>
        <v>Key-COD-CT-862</v>
      </c>
      <c r="Y862" s="84" t="s">
        <v>5450</v>
      </c>
      <c r="Z862" s="84" t="s">
        <v>692</v>
      </c>
      <c r="AA862" s="84" t="s">
        <v>7148</v>
      </c>
      <c r="AB862" s="84" t="s">
        <v>692</v>
      </c>
      <c r="AC862" s="84" t="s">
        <v>692</v>
      </c>
      <c r="AD862" s="54" t="s">
        <v>692</v>
      </c>
    </row>
    <row r="863" spans="1:30" ht="6.6" customHeight="1" x14ac:dyDescent="0.25">
      <c r="A863" s="85">
        <v>863</v>
      </c>
      <c r="B863" s="80" t="s">
        <v>5419</v>
      </c>
      <c r="C863" s="28" t="s">
        <v>5454</v>
      </c>
      <c r="D863" s="28" t="s">
        <v>3887</v>
      </c>
      <c r="E863" s="28" t="s">
        <v>3888</v>
      </c>
      <c r="F863" s="28" t="s">
        <v>3905</v>
      </c>
      <c r="G863" s="86" t="s">
        <v>692</v>
      </c>
      <c r="H863" s="86" t="s">
        <v>692</v>
      </c>
      <c r="I863" s="86" t="s">
        <v>692</v>
      </c>
      <c r="J863" s="86" t="s">
        <v>692</v>
      </c>
      <c r="K863" s="86" t="s">
        <v>3902</v>
      </c>
      <c r="L863" s="58" t="str">
        <f t="shared" si="77"/>
        <v>Arquitetônicos</v>
      </c>
      <c r="M863" s="58" t="str">
        <f t="shared" ref="M863:O878" si="92">_xlfn.CONCAT(SUBSTITUTE(D863,"."," "))</f>
        <v>Prediais</v>
      </c>
      <c r="N863" s="58" t="str">
        <f t="shared" si="92"/>
        <v>Construídas</v>
      </c>
      <c r="O863" s="58" t="str">
        <f t="shared" si="92"/>
        <v>Edícula</v>
      </c>
      <c r="P863" s="58" t="s">
        <v>3906</v>
      </c>
      <c r="Q863" s="58" t="s">
        <v>3905</v>
      </c>
      <c r="R863" s="55" t="s">
        <v>6834</v>
      </c>
      <c r="S863" s="55" t="s">
        <v>692</v>
      </c>
      <c r="T863" s="55" t="str">
        <f t="shared" si="82"/>
        <v>Arquitetônicos</v>
      </c>
      <c r="U863" s="55" t="str">
        <f t="shared" si="82"/>
        <v>Prediais</v>
      </c>
      <c r="V863" s="55" t="str">
        <f t="shared" si="82"/>
        <v>Construídas</v>
      </c>
      <c r="W863" s="54" t="s">
        <v>7259</v>
      </c>
      <c r="X863" s="84" t="str">
        <f t="shared" si="90"/>
        <v>Key-COD-CT-863</v>
      </c>
      <c r="Y863" s="84" t="s">
        <v>5450</v>
      </c>
      <c r="Z863" s="84" t="s">
        <v>692</v>
      </c>
      <c r="AA863" s="84" t="s">
        <v>7163</v>
      </c>
      <c r="AB863" s="84" t="s">
        <v>692</v>
      </c>
      <c r="AC863" s="84" t="s">
        <v>692</v>
      </c>
      <c r="AD863" s="54" t="s">
        <v>692</v>
      </c>
    </row>
    <row r="864" spans="1:30" ht="6.6" customHeight="1" x14ac:dyDescent="0.25">
      <c r="A864" s="85">
        <v>864</v>
      </c>
      <c r="B864" s="80" t="s">
        <v>5419</v>
      </c>
      <c r="C864" s="28" t="s">
        <v>5454</v>
      </c>
      <c r="D864" s="28" t="s">
        <v>3907</v>
      </c>
      <c r="E864" s="28" t="s">
        <v>3908</v>
      </c>
      <c r="F864" s="28" t="s">
        <v>3909</v>
      </c>
      <c r="G864" s="86" t="s">
        <v>692</v>
      </c>
      <c r="H864" s="86" t="s">
        <v>692</v>
      </c>
      <c r="I864" s="86" t="str">
        <f>_xlfn.CONCAT("é.nomeado some ",D864)</f>
        <v>é.nomeado some Funcionais</v>
      </c>
      <c r="J864" s="86" t="s">
        <v>692</v>
      </c>
      <c r="K864" s="86" t="s">
        <v>3910</v>
      </c>
      <c r="L864" s="58" t="str">
        <f t="shared" si="77"/>
        <v>Arquitetônicos</v>
      </c>
      <c r="M864" s="58" t="str">
        <f t="shared" si="92"/>
        <v>Funcionais</v>
      </c>
      <c r="N864" s="58" t="str">
        <f t="shared" si="92"/>
        <v>Organizativas</v>
      </c>
      <c r="O864" s="58" t="str">
        <f t="shared" si="92"/>
        <v>Unidade</v>
      </c>
      <c r="P864" s="58" t="s">
        <v>3911</v>
      </c>
      <c r="Q864" s="58" t="s">
        <v>3912</v>
      </c>
      <c r="R864" s="55" t="s">
        <v>6835</v>
      </c>
      <c r="S864" s="55" t="s">
        <v>692</v>
      </c>
      <c r="T864" s="55" t="str">
        <f t="shared" si="82"/>
        <v>Arquitetônicos</v>
      </c>
      <c r="U864" s="55" t="str">
        <f t="shared" si="82"/>
        <v>Funcionais</v>
      </c>
      <c r="V864" s="55" t="str">
        <f t="shared" si="82"/>
        <v>Organizativas</v>
      </c>
      <c r="W864" s="54" t="s">
        <v>7259</v>
      </c>
      <c r="X864" s="84" t="str">
        <f t="shared" si="90"/>
        <v>Key-COD-CT-864</v>
      </c>
      <c r="Y864" s="84" t="s">
        <v>5450</v>
      </c>
      <c r="Z864" s="84" t="s">
        <v>692</v>
      </c>
      <c r="AA864" s="84" t="s">
        <v>7163</v>
      </c>
      <c r="AB864" s="84" t="s">
        <v>692</v>
      </c>
      <c r="AC864" s="84" t="s">
        <v>692</v>
      </c>
      <c r="AD864" s="54" t="s">
        <v>692</v>
      </c>
    </row>
    <row r="865" spans="1:30" ht="6.6" customHeight="1" x14ac:dyDescent="0.25">
      <c r="A865" s="85">
        <v>865</v>
      </c>
      <c r="B865" s="80" t="s">
        <v>5419</v>
      </c>
      <c r="C865" s="28" t="s">
        <v>5454</v>
      </c>
      <c r="D865" s="28" t="s">
        <v>3907</v>
      </c>
      <c r="E865" s="28" t="s">
        <v>3908</v>
      </c>
      <c r="F865" s="28" t="s">
        <v>3913</v>
      </c>
      <c r="G865" s="86" t="s">
        <v>692</v>
      </c>
      <c r="H865" s="86" t="s">
        <v>692</v>
      </c>
      <c r="I865" s="86" t="s">
        <v>692</v>
      </c>
      <c r="J865" s="86" t="s">
        <v>692</v>
      </c>
      <c r="K865" s="86" t="s">
        <v>3910</v>
      </c>
      <c r="L865" s="58" t="str">
        <f t="shared" si="77"/>
        <v>Arquitetônicos</v>
      </c>
      <c r="M865" s="58" t="str">
        <f t="shared" si="92"/>
        <v>Funcionais</v>
      </c>
      <c r="N865" s="58" t="str">
        <f t="shared" si="92"/>
        <v>Organizativas</v>
      </c>
      <c r="O865" s="58" t="str">
        <f t="shared" si="92"/>
        <v>Setor Urbano</v>
      </c>
      <c r="P865" s="58" t="s">
        <v>3914</v>
      </c>
      <c r="Q865" s="58" t="s">
        <v>3915</v>
      </c>
      <c r="R865" s="55" t="s">
        <v>6836</v>
      </c>
      <c r="S865" s="55" t="s">
        <v>692</v>
      </c>
      <c r="T865" s="55" t="str">
        <f t="shared" si="82"/>
        <v>Arquitetônicos</v>
      </c>
      <c r="U865" s="55" t="str">
        <f t="shared" si="82"/>
        <v>Funcionais</v>
      </c>
      <c r="V865" s="55" t="str">
        <f t="shared" si="82"/>
        <v>Organizativas</v>
      </c>
      <c r="W865" s="54" t="s">
        <v>7259</v>
      </c>
      <c r="X865" s="84" t="str">
        <f t="shared" si="90"/>
        <v>Key-COD-CT-865</v>
      </c>
      <c r="Y865" s="84" t="s">
        <v>7210</v>
      </c>
      <c r="Z865" s="84" t="s">
        <v>692</v>
      </c>
      <c r="AA865" s="84" t="s">
        <v>7163</v>
      </c>
      <c r="AB865" s="84" t="s">
        <v>692</v>
      </c>
      <c r="AC865" s="84" t="s">
        <v>692</v>
      </c>
      <c r="AD865" s="54" t="s">
        <v>692</v>
      </c>
    </row>
    <row r="866" spans="1:30" ht="6.6" customHeight="1" x14ac:dyDescent="0.25">
      <c r="A866" s="85">
        <v>866</v>
      </c>
      <c r="B866" s="80" t="s">
        <v>5419</v>
      </c>
      <c r="C866" s="28" t="s">
        <v>5454</v>
      </c>
      <c r="D866" s="28" t="s">
        <v>3907</v>
      </c>
      <c r="E866" s="28" t="s">
        <v>3908</v>
      </c>
      <c r="F866" s="28" t="s">
        <v>3916</v>
      </c>
      <c r="G866" s="86" t="s">
        <v>692</v>
      </c>
      <c r="H866" s="86" t="s">
        <v>692</v>
      </c>
      <c r="I866" s="86" t="s">
        <v>692</v>
      </c>
      <c r="J866" s="86" t="s">
        <v>692</v>
      </c>
      <c r="K866" s="86" t="s">
        <v>3910</v>
      </c>
      <c r="L866" s="58" t="str">
        <f t="shared" si="77"/>
        <v>Arquitetônicos</v>
      </c>
      <c r="M866" s="58" t="str">
        <f t="shared" si="92"/>
        <v>Funcionais</v>
      </c>
      <c r="N866" s="58" t="str">
        <f t="shared" si="92"/>
        <v>Organizativas</v>
      </c>
      <c r="O866" s="58" t="str">
        <f t="shared" si="92"/>
        <v>Divisão</v>
      </c>
      <c r="P866" s="58" t="s">
        <v>3917</v>
      </c>
      <c r="Q866" s="58" t="s">
        <v>3918</v>
      </c>
      <c r="R866" s="55" t="s">
        <v>6837</v>
      </c>
      <c r="S866" s="55" t="s">
        <v>692</v>
      </c>
      <c r="T866" s="55" t="str">
        <f t="shared" si="82"/>
        <v>Arquitetônicos</v>
      </c>
      <c r="U866" s="55" t="str">
        <f t="shared" si="82"/>
        <v>Funcionais</v>
      </c>
      <c r="V866" s="55" t="str">
        <f t="shared" si="82"/>
        <v>Organizativas</v>
      </c>
      <c r="W866" s="54" t="s">
        <v>7259</v>
      </c>
      <c r="X866" s="84" t="str">
        <f t="shared" si="90"/>
        <v>Key-COD-CT-866</v>
      </c>
      <c r="Y866" s="84" t="s">
        <v>7210</v>
      </c>
      <c r="Z866" s="84" t="s">
        <v>692</v>
      </c>
      <c r="AA866" s="84" t="s">
        <v>7163</v>
      </c>
      <c r="AB866" s="84" t="s">
        <v>692</v>
      </c>
      <c r="AC866" s="84" t="s">
        <v>692</v>
      </c>
      <c r="AD866" s="54" t="s">
        <v>692</v>
      </c>
    </row>
    <row r="867" spans="1:30" ht="6.6" customHeight="1" x14ac:dyDescent="0.25">
      <c r="A867" s="85">
        <v>867</v>
      </c>
      <c r="B867" s="80" t="s">
        <v>5419</v>
      </c>
      <c r="C867" s="28" t="s">
        <v>5454</v>
      </c>
      <c r="D867" s="28" t="s">
        <v>3907</v>
      </c>
      <c r="E867" s="28" t="s">
        <v>3908</v>
      </c>
      <c r="F867" s="28" t="s">
        <v>3919</v>
      </c>
      <c r="G867" s="86" t="s">
        <v>692</v>
      </c>
      <c r="H867" s="86" t="s">
        <v>692</v>
      </c>
      <c r="I867" s="86" t="s">
        <v>692</v>
      </c>
      <c r="J867" s="86" t="s">
        <v>692</v>
      </c>
      <c r="K867" s="86" t="s">
        <v>3910</v>
      </c>
      <c r="L867" s="58" t="str">
        <f t="shared" si="77"/>
        <v>Arquitetônicos</v>
      </c>
      <c r="M867" s="58" t="str">
        <f t="shared" si="92"/>
        <v>Funcionais</v>
      </c>
      <c r="N867" s="58" t="str">
        <f t="shared" si="92"/>
        <v>Organizativas</v>
      </c>
      <c r="O867" s="58" t="str">
        <f t="shared" si="92"/>
        <v>Departamento</v>
      </c>
      <c r="P867" s="58" t="s">
        <v>3919</v>
      </c>
      <c r="Q867" s="58" t="s">
        <v>3919</v>
      </c>
      <c r="R867" s="55" t="s">
        <v>6838</v>
      </c>
      <c r="S867" s="55" t="s">
        <v>692</v>
      </c>
      <c r="T867" s="55" t="str">
        <f t="shared" si="82"/>
        <v>Arquitetônicos</v>
      </c>
      <c r="U867" s="55" t="str">
        <f t="shared" si="82"/>
        <v>Funcionais</v>
      </c>
      <c r="V867" s="55" t="str">
        <f t="shared" si="82"/>
        <v>Organizativas</v>
      </c>
      <c r="W867" s="54" t="s">
        <v>7259</v>
      </c>
      <c r="X867" s="84" t="str">
        <f t="shared" si="90"/>
        <v>Key-COD-CT-867</v>
      </c>
      <c r="Y867" s="84" t="s">
        <v>7210</v>
      </c>
      <c r="Z867" s="84" t="s">
        <v>692</v>
      </c>
      <c r="AA867" s="84" t="s">
        <v>5455</v>
      </c>
      <c r="AB867" s="84" t="s">
        <v>692</v>
      </c>
      <c r="AC867" s="84" t="s">
        <v>692</v>
      </c>
      <c r="AD867" s="54" t="s">
        <v>692</v>
      </c>
    </row>
    <row r="868" spans="1:30" ht="6.6" customHeight="1" x14ac:dyDescent="0.25">
      <c r="A868" s="85">
        <v>868</v>
      </c>
      <c r="B868" s="80" t="s">
        <v>5419</v>
      </c>
      <c r="C868" s="28" t="s">
        <v>5454</v>
      </c>
      <c r="D868" s="28" t="s">
        <v>3907</v>
      </c>
      <c r="E868" s="28" t="s">
        <v>3920</v>
      </c>
      <c r="F868" s="28" t="s">
        <v>3921</v>
      </c>
      <c r="G868" s="86" t="s">
        <v>692</v>
      </c>
      <c r="H868" s="86" t="s">
        <v>692</v>
      </c>
      <c r="I868" s="86" t="s">
        <v>692</v>
      </c>
      <c r="J868" s="86" t="s">
        <v>692</v>
      </c>
      <c r="K868" s="86" t="s">
        <v>3910</v>
      </c>
      <c r="L868" s="58" t="str">
        <f t="shared" si="77"/>
        <v>Arquitetônicos</v>
      </c>
      <c r="M868" s="58" t="str">
        <f t="shared" si="92"/>
        <v>Funcionais</v>
      </c>
      <c r="N868" s="58" t="str">
        <f t="shared" si="92"/>
        <v>Distribuição</v>
      </c>
      <c r="O868" s="58" t="str">
        <f t="shared" si="92"/>
        <v>Ambiente</v>
      </c>
      <c r="P868" s="58" t="s">
        <v>3922</v>
      </c>
      <c r="Q868" s="58" t="s">
        <v>3921</v>
      </c>
      <c r="R868" s="55" t="s">
        <v>6839</v>
      </c>
      <c r="S868" s="55" t="s">
        <v>692</v>
      </c>
      <c r="T868" s="55" t="str">
        <f t="shared" si="82"/>
        <v>Arquitetônicos</v>
      </c>
      <c r="U868" s="55" t="str">
        <f t="shared" si="82"/>
        <v>Funcionais</v>
      </c>
      <c r="V868" s="55" t="str">
        <f t="shared" si="82"/>
        <v>Distribuição</v>
      </c>
      <c r="W868" s="54" t="s">
        <v>7259</v>
      </c>
      <c r="X868" s="84" t="str">
        <f t="shared" si="90"/>
        <v>Key-COD-CT-868</v>
      </c>
      <c r="Y868" s="84" t="s">
        <v>7211</v>
      </c>
      <c r="Z868" s="84" t="s">
        <v>692</v>
      </c>
      <c r="AA868" s="84" t="s">
        <v>7163</v>
      </c>
      <c r="AB868" s="84" t="s">
        <v>692</v>
      </c>
      <c r="AC868" s="84" t="s">
        <v>692</v>
      </c>
      <c r="AD868" s="54" t="s">
        <v>692</v>
      </c>
    </row>
    <row r="869" spans="1:30" ht="6.6" customHeight="1" x14ac:dyDescent="0.25">
      <c r="A869" s="85">
        <v>869</v>
      </c>
      <c r="B869" s="80" t="s">
        <v>5419</v>
      </c>
      <c r="C869" s="28" t="s">
        <v>5454</v>
      </c>
      <c r="D869" s="28" t="s">
        <v>3907</v>
      </c>
      <c r="E869" s="28" t="s">
        <v>3920</v>
      </c>
      <c r="F869" s="28" t="s">
        <v>5489</v>
      </c>
      <c r="G869" s="86" t="s">
        <v>692</v>
      </c>
      <c r="H869" s="86" t="s">
        <v>692</v>
      </c>
      <c r="I869" s="86" t="s">
        <v>692</v>
      </c>
      <c r="J869" s="86" t="s">
        <v>692</v>
      </c>
      <c r="K869" s="86" t="s">
        <v>3910</v>
      </c>
      <c r="L869" s="58" t="str">
        <f t="shared" si="77"/>
        <v>Arquitetônicos</v>
      </c>
      <c r="M869" s="58" t="str">
        <f t="shared" si="92"/>
        <v>Funcionais</v>
      </c>
      <c r="N869" s="58" t="str">
        <f t="shared" si="92"/>
        <v>Distribuição</v>
      </c>
      <c r="O869" s="58" t="str">
        <f t="shared" si="92"/>
        <v>Unidade Habitação</v>
      </c>
      <c r="P869" s="58" t="s">
        <v>1520</v>
      </c>
      <c r="Q869" s="58" t="s">
        <v>1520</v>
      </c>
      <c r="R869" s="55" t="s">
        <v>6840</v>
      </c>
      <c r="S869" s="55" t="s">
        <v>692</v>
      </c>
      <c r="T869" s="55" t="str">
        <f t="shared" si="82"/>
        <v>Arquitetônicos</v>
      </c>
      <c r="U869" s="55" t="str">
        <f t="shared" si="82"/>
        <v>Funcionais</v>
      </c>
      <c r="V869" s="55" t="str">
        <f t="shared" si="82"/>
        <v>Distribuição</v>
      </c>
      <c r="W869" s="54" t="s">
        <v>7259</v>
      </c>
      <c r="X869" s="84" t="str">
        <f t="shared" si="90"/>
        <v>Key-COD-CT-869</v>
      </c>
      <c r="Y869" s="84" t="s">
        <v>7210</v>
      </c>
      <c r="Z869" s="84" t="s">
        <v>692</v>
      </c>
      <c r="AA869" s="84" t="s">
        <v>7163</v>
      </c>
      <c r="AB869" s="84" t="s">
        <v>692</v>
      </c>
      <c r="AC869" s="84" t="s">
        <v>692</v>
      </c>
      <c r="AD869" s="54" t="s">
        <v>692</v>
      </c>
    </row>
    <row r="870" spans="1:30" ht="6.6" customHeight="1" x14ac:dyDescent="0.25">
      <c r="A870" s="85">
        <v>870</v>
      </c>
      <c r="B870" s="80" t="s">
        <v>5419</v>
      </c>
      <c r="C870" s="28" t="s">
        <v>5454</v>
      </c>
      <c r="D870" s="28" t="s">
        <v>3907</v>
      </c>
      <c r="E870" s="28" t="s">
        <v>3920</v>
      </c>
      <c r="F870" s="28" t="s">
        <v>3923</v>
      </c>
      <c r="G870" s="86" t="s">
        <v>692</v>
      </c>
      <c r="H870" s="86" t="s">
        <v>692</v>
      </c>
      <c r="I870" s="86" t="s">
        <v>692</v>
      </c>
      <c r="J870" s="86" t="s">
        <v>692</v>
      </c>
      <c r="K870" s="86" t="s">
        <v>3910</v>
      </c>
      <c r="L870" s="58" t="str">
        <f t="shared" si="77"/>
        <v>Arquitetônicos</v>
      </c>
      <c r="M870" s="58" t="str">
        <f t="shared" si="92"/>
        <v>Funcionais</v>
      </c>
      <c r="N870" s="58" t="str">
        <f t="shared" si="92"/>
        <v>Distribuição</v>
      </c>
      <c r="O870" s="58" t="str">
        <f t="shared" si="92"/>
        <v>Núcleo de Circulação</v>
      </c>
      <c r="P870" s="58" t="s">
        <v>3924</v>
      </c>
      <c r="Q870" s="58" t="s">
        <v>3925</v>
      </c>
      <c r="R870" s="55" t="s">
        <v>6841</v>
      </c>
      <c r="S870" s="55" t="s">
        <v>692</v>
      </c>
      <c r="T870" s="55" t="str">
        <f t="shared" si="82"/>
        <v>Arquitetônicos</v>
      </c>
      <c r="U870" s="55" t="str">
        <f t="shared" si="82"/>
        <v>Funcionais</v>
      </c>
      <c r="V870" s="55" t="str">
        <f t="shared" si="82"/>
        <v>Distribuição</v>
      </c>
      <c r="W870" s="54" t="s">
        <v>7259</v>
      </c>
      <c r="X870" s="84" t="str">
        <f t="shared" si="90"/>
        <v>Key-COD-CT-870</v>
      </c>
      <c r="Y870" s="84" t="s">
        <v>7210</v>
      </c>
      <c r="Z870" s="84" t="s">
        <v>692</v>
      </c>
      <c r="AA870" s="84" t="s">
        <v>5456</v>
      </c>
      <c r="AB870" s="84" t="s">
        <v>692</v>
      </c>
      <c r="AC870" s="84" t="s">
        <v>692</v>
      </c>
      <c r="AD870" s="54" t="s">
        <v>692</v>
      </c>
    </row>
    <row r="871" spans="1:30" ht="6.6" customHeight="1" x14ac:dyDescent="0.25">
      <c r="A871" s="85">
        <v>871</v>
      </c>
      <c r="B871" s="80" t="s">
        <v>5419</v>
      </c>
      <c r="C871" s="28" t="s">
        <v>5457</v>
      </c>
      <c r="D871" s="28" t="s">
        <v>5458</v>
      </c>
      <c r="E871" s="28" t="s">
        <v>3926</v>
      </c>
      <c r="F871" s="28" t="s">
        <v>3927</v>
      </c>
      <c r="G871" s="86" t="s">
        <v>692</v>
      </c>
      <c r="H871" s="86" t="s">
        <v>692</v>
      </c>
      <c r="I871" s="86" t="s">
        <v>692</v>
      </c>
      <c r="J871" s="86" t="s">
        <v>692</v>
      </c>
      <c r="K871" s="86" t="s">
        <v>692</v>
      </c>
      <c r="L871" s="58" t="str">
        <f t="shared" si="77"/>
        <v>Institucionais</v>
      </c>
      <c r="M871" s="58" t="str">
        <f t="shared" si="92"/>
        <v>Serviços Públicos</v>
      </c>
      <c r="N871" s="58" t="str">
        <f t="shared" si="92"/>
        <v>Saúde</v>
      </c>
      <c r="O871" s="58" t="str">
        <f t="shared" si="92"/>
        <v>Hospital Federal</v>
      </c>
      <c r="P871" s="58" t="s">
        <v>3928</v>
      </c>
      <c r="Q871" s="58" t="s">
        <v>3929</v>
      </c>
      <c r="R871" s="55" t="s">
        <v>6842</v>
      </c>
      <c r="S871" s="55" t="s">
        <v>692</v>
      </c>
      <c r="T871" s="55" t="str">
        <f t="shared" si="82"/>
        <v>Institucionais</v>
      </c>
      <c r="U871" s="55" t="str">
        <f t="shared" si="82"/>
        <v>Serviços Públicos</v>
      </c>
      <c r="V871" s="55" t="str">
        <f t="shared" si="82"/>
        <v>Saúde</v>
      </c>
      <c r="W871" s="54" t="s">
        <v>7259</v>
      </c>
      <c r="X871" s="84" t="str">
        <f t="shared" si="90"/>
        <v>Key-COD-CT-871</v>
      </c>
      <c r="Y871" s="84" t="s">
        <v>7212</v>
      </c>
      <c r="Z871" s="84" t="s">
        <v>692</v>
      </c>
      <c r="AA871" s="84" t="s">
        <v>5456</v>
      </c>
      <c r="AB871" s="84" t="s">
        <v>692</v>
      </c>
      <c r="AC871" s="84" t="s">
        <v>692</v>
      </c>
      <c r="AD871" s="54" t="s">
        <v>692</v>
      </c>
    </row>
    <row r="872" spans="1:30" ht="6.6" customHeight="1" x14ac:dyDescent="0.25">
      <c r="A872" s="85">
        <v>872</v>
      </c>
      <c r="B872" s="80" t="s">
        <v>5419</v>
      </c>
      <c r="C872" s="28" t="s">
        <v>5457</v>
      </c>
      <c r="D872" s="28" t="s">
        <v>5458</v>
      </c>
      <c r="E872" s="28" t="s">
        <v>3926</v>
      </c>
      <c r="F872" s="28" t="s">
        <v>3930</v>
      </c>
      <c r="G872" s="86" t="s">
        <v>692</v>
      </c>
      <c r="H872" s="86" t="s">
        <v>692</v>
      </c>
      <c r="I872" s="86" t="s">
        <v>692</v>
      </c>
      <c r="J872" s="86" t="s">
        <v>692</v>
      </c>
      <c r="K872" s="86" t="s">
        <v>692</v>
      </c>
      <c r="L872" s="58" t="str">
        <f t="shared" si="77"/>
        <v>Institucionais</v>
      </c>
      <c r="M872" s="58" t="str">
        <f t="shared" si="92"/>
        <v>Serviços Públicos</v>
      </c>
      <c r="N872" s="58" t="str">
        <f t="shared" si="92"/>
        <v>Saúde</v>
      </c>
      <c r="O872" s="58" t="str">
        <f t="shared" si="92"/>
        <v>Hospital Estadual</v>
      </c>
      <c r="P872" s="58" t="s">
        <v>3931</v>
      </c>
      <c r="Q872" s="58" t="s">
        <v>3932</v>
      </c>
      <c r="R872" s="55" t="s">
        <v>6843</v>
      </c>
      <c r="S872" s="55" t="s">
        <v>692</v>
      </c>
      <c r="T872" s="55" t="str">
        <f t="shared" si="82"/>
        <v>Institucionais</v>
      </c>
      <c r="U872" s="55" t="str">
        <f t="shared" si="82"/>
        <v>Serviços Públicos</v>
      </c>
      <c r="V872" s="55" t="str">
        <f t="shared" si="82"/>
        <v>Saúde</v>
      </c>
      <c r="W872" s="54" t="s">
        <v>7259</v>
      </c>
      <c r="X872" s="84" t="str">
        <f t="shared" si="90"/>
        <v>Key-COD-CT-872</v>
      </c>
      <c r="Y872" s="84" t="s">
        <v>7212</v>
      </c>
      <c r="Z872" s="84" t="s">
        <v>692</v>
      </c>
      <c r="AA872" s="84" t="s">
        <v>5456</v>
      </c>
      <c r="AB872" s="84" t="s">
        <v>692</v>
      </c>
      <c r="AC872" s="84" t="s">
        <v>692</v>
      </c>
      <c r="AD872" s="54" t="s">
        <v>692</v>
      </c>
    </row>
    <row r="873" spans="1:30" ht="6.6" customHeight="1" x14ac:dyDescent="0.25">
      <c r="A873" s="85">
        <v>873</v>
      </c>
      <c r="B873" s="80" t="s">
        <v>5419</v>
      </c>
      <c r="C873" s="28" t="s">
        <v>5457</v>
      </c>
      <c r="D873" s="28" t="s">
        <v>5458</v>
      </c>
      <c r="E873" s="28" t="s">
        <v>3926</v>
      </c>
      <c r="F873" s="28" t="s">
        <v>3933</v>
      </c>
      <c r="G873" s="86" t="s">
        <v>692</v>
      </c>
      <c r="H873" s="86" t="s">
        <v>692</v>
      </c>
      <c r="I873" s="86" t="s">
        <v>692</v>
      </c>
      <c r="J873" s="86" t="s">
        <v>692</v>
      </c>
      <c r="K873" s="86" t="s">
        <v>692</v>
      </c>
      <c r="L873" s="58" t="str">
        <f t="shared" si="77"/>
        <v>Institucionais</v>
      </c>
      <c r="M873" s="58" t="str">
        <f t="shared" si="92"/>
        <v>Serviços Públicos</v>
      </c>
      <c r="N873" s="58" t="str">
        <f t="shared" si="92"/>
        <v>Saúde</v>
      </c>
      <c r="O873" s="58" t="str">
        <f t="shared" si="92"/>
        <v>Hospital Municipal</v>
      </c>
      <c r="P873" s="58" t="s">
        <v>3934</v>
      </c>
      <c r="Q873" s="58" t="s">
        <v>3935</v>
      </c>
      <c r="R873" s="55" t="s">
        <v>6844</v>
      </c>
      <c r="S873" s="55" t="s">
        <v>692</v>
      </c>
      <c r="T873" s="55" t="str">
        <f t="shared" si="82"/>
        <v>Institucionais</v>
      </c>
      <c r="U873" s="55" t="str">
        <f t="shared" si="82"/>
        <v>Serviços Públicos</v>
      </c>
      <c r="V873" s="55" t="str">
        <f t="shared" si="82"/>
        <v>Saúde</v>
      </c>
      <c r="W873" s="54" t="s">
        <v>7259</v>
      </c>
      <c r="X873" s="84" t="str">
        <f t="shared" si="90"/>
        <v>Key-COD-CT-873</v>
      </c>
      <c r="Y873" s="84" t="s">
        <v>7212</v>
      </c>
      <c r="Z873" s="84" t="s">
        <v>692</v>
      </c>
      <c r="AA873" s="84" t="s">
        <v>5456</v>
      </c>
      <c r="AB873" s="84" t="s">
        <v>692</v>
      </c>
      <c r="AC873" s="84" t="s">
        <v>692</v>
      </c>
      <c r="AD873" s="54" t="s">
        <v>692</v>
      </c>
    </row>
    <row r="874" spans="1:30" ht="6.6" customHeight="1" x14ac:dyDescent="0.25">
      <c r="A874" s="85">
        <v>874</v>
      </c>
      <c r="B874" s="80" t="s">
        <v>5419</v>
      </c>
      <c r="C874" s="28" t="s">
        <v>5457</v>
      </c>
      <c r="D874" s="28" t="s">
        <v>5458</v>
      </c>
      <c r="E874" s="28" t="s">
        <v>3926</v>
      </c>
      <c r="F874" s="28" t="s">
        <v>3936</v>
      </c>
      <c r="G874" s="86" t="s">
        <v>692</v>
      </c>
      <c r="H874" s="86" t="s">
        <v>692</v>
      </c>
      <c r="I874" s="86" t="s">
        <v>692</v>
      </c>
      <c r="J874" s="86" t="s">
        <v>692</v>
      </c>
      <c r="K874" s="86" t="s">
        <v>692</v>
      </c>
      <c r="L874" s="58" t="str">
        <f t="shared" si="77"/>
        <v>Institucionais</v>
      </c>
      <c r="M874" s="58" t="str">
        <f t="shared" si="92"/>
        <v>Serviços Públicos</v>
      </c>
      <c r="N874" s="58" t="str">
        <f t="shared" si="92"/>
        <v>Saúde</v>
      </c>
      <c r="O874" s="58" t="str">
        <f t="shared" si="92"/>
        <v>UBS</v>
      </c>
      <c r="P874" s="58" t="s">
        <v>3937</v>
      </c>
      <c r="Q874" s="58" t="s">
        <v>3938</v>
      </c>
      <c r="R874" s="55" t="s">
        <v>6845</v>
      </c>
      <c r="S874" s="55" t="s">
        <v>692</v>
      </c>
      <c r="T874" s="55" t="str">
        <f t="shared" si="82"/>
        <v>Institucionais</v>
      </c>
      <c r="U874" s="55" t="str">
        <f t="shared" si="82"/>
        <v>Serviços Públicos</v>
      </c>
      <c r="V874" s="55" t="str">
        <f t="shared" si="82"/>
        <v>Saúde</v>
      </c>
      <c r="W874" s="54" t="s">
        <v>7259</v>
      </c>
      <c r="X874" s="84" t="str">
        <f t="shared" si="90"/>
        <v>Key-COD-CT-874</v>
      </c>
      <c r="Y874" s="84" t="s">
        <v>7212</v>
      </c>
      <c r="Z874" s="84" t="s">
        <v>692</v>
      </c>
      <c r="AA874" s="84" t="s">
        <v>5456</v>
      </c>
      <c r="AB874" s="84" t="s">
        <v>692</v>
      </c>
      <c r="AC874" s="84" t="s">
        <v>692</v>
      </c>
      <c r="AD874" s="54" t="s">
        <v>692</v>
      </c>
    </row>
    <row r="875" spans="1:30" ht="6.6" customHeight="1" x14ac:dyDescent="0.25">
      <c r="A875" s="85">
        <v>875</v>
      </c>
      <c r="B875" s="80" t="s">
        <v>5419</v>
      </c>
      <c r="C875" s="28" t="s">
        <v>5457</v>
      </c>
      <c r="D875" s="28" t="s">
        <v>5458</v>
      </c>
      <c r="E875" s="28" t="s">
        <v>3926</v>
      </c>
      <c r="F875" s="28" t="s">
        <v>3939</v>
      </c>
      <c r="G875" s="86" t="s">
        <v>692</v>
      </c>
      <c r="H875" s="86" t="s">
        <v>692</v>
      </c>
      <c r="I875" s="86" t="s">
        <v>692</v>
      </c>
      <c r="J875" s="86" t="s">
        <v>692</v>
      </c>
      <c r="K875" s="86" t="s">
        <v>692</v>
      </c>
      <c r="L875" s="58" t="str">
        <f t="shared" si="77"/>
        <v>Institucionais</v>
      </c>
      <c r="M875" s="58" t="str">
        <f t="shared" si="92"/>
        <v>Serviços Públicos</v>
      </c>
      <c r="N875" s="58" t="str">
        <f t="shared" si="92"/>
        <v>Saúde</v>
      </c>
      <c r="O875" s="58" t="str">
        <f t="shared" si="92"/>
        <v>UPA</v>
      </c>
      <c r="P875" s="58" t="s">
        <v>3940</v>
      </c>
      <c r="Q875" s="58" t="s">
        <v>3941</v>
      </c>
      <c r="R875" s="55" t="s">
        <v>6846</v>
      </c>
      <c r="S875" s="55" t="s">
        <v>692</v>
      </c>
      <c r="T875" s="55" t="str">
        <f t="shared" si="82"/>
        <v>Institucionais</v>
      </c>
      <c r="U875" s="55" t="str">
        <f t="shared" si="82"/>
        <v>Serviços Públicos</v>
      </c>
      <c r="V875" s="55" t="str">
        <f t="shared" si="82"/>
        <v>Saúde</v>
      </c>
      <c r="W875" s="54" t="s">
        <v>7259</v>
      </c>
      <c r="X875" s="84" t="str">
        <f t="shared" si="90"/>
        <v>Key-COD-CT-875</v>
      </c>
      <c r="Y875" s="84" t="s">
        <v>7212</v>
      </c>
      <c r="Z875" s="84" t="s">
        <v>692</v>
      </c>
      <c r="AA875" s="84" t="s">
        <v>5456</v>
      </c>
      <c r="AB875" s="84" t="s">
        <v>692</v>
      </c>
      <c r="AC875" s="84" t="s">
        <v>692</v>
      </c>
      <c r="AD875" s="54" t="s">
        <v>692</v>
      </c>
    </row>
    <row r="876" spans="1:30" ht="6.6" customHeight="1" x14ac:dyDescent="0.25">
      <c r="A876" s="85">
        <v>876</v>
      </c>
      <c r="B876" s="80" t="s">
        <v>5419</v>
      </c>
      <c r="C876" s="28" t="s">
        <v>5457</v>
      </c>
      <c r="D876" s="28" t="s">
        <v>5458</v>
      </c>
      <c r="E876" s="28" t="s">
        <v>3942</v>
      </c>
      <c r="F876" s="28" t="s">
        <v>3943</v>
      </c>
      <c r="G876" s="86" t="s">
        <v>692</v>
      </c>
      <c r="H876" s="86" t="s">
        <v>692</v>
      </c>
      <c r="I876" s="86" t="s">
        <v>692</v>
      </c>
      <c r="J876" s="86" t="s">
        <v>692</v>
      </c>
      <c r="K876" s="86" t="s">
        <v>692</v>
      </c>
      <c r="L876" s="58" t="str">
        <f t="shared" si="77"/>
        <v>Institucionais</v>
      </c>
      <c r="M876" s="58" t="str">
        <f t="shared" si="92"/>
        <v>Serviços Públicos</v>
      </c>
      <c r="N876" s="58" t="str">
        <f t="shared" si="92"/>
        <v>Educacionais</v>
      </c>
      <c r="O876" s="58" t="str">
        <f t="shared" si="92"/>
        <v>Universidade Federal</v>
      </c>
      <c r="P876" s="58" t="s">
        <v>3944</v>
      </c>
      <c r="Q876" s="58" t="s">
        <v>3945</v>
      </c>
      <c r="R876" s="55" t="s">
        <v>6847</v>
      </c>
      <c r="S876" s="55" t="s">
        <v>692</v>
      </c>
      <c r="T876" s="55" t="str">
        <f t="shared" si="82"/>
        <v>Institucionais</v>
      </c>
      <c r="U876" s="55" t="str">
        <f t="shared" si="82"/>
        <v>Serviços Públicos</v>
      </c>
      <c r="V876" s="55" t="str">
        <f t="shared" si="82"/>
        <v>Educacionais</v>
      </c>
      <c r="W876" s="54" t="s">
        <v>7259</v>
      </c>
      <c r="X876" s="84" t="str">
        <f t="shared" si="90"/>
        <v>Key-COD-CT-876</v>
      </c>
      <c r="Y876" s="84" t="s">
        <v>7212</v>
      </c>
      <c r="Z876" s="84" t="s">
        <v>692</v>
      </c>
      <c r="AA876" s="84" t="s">
        <v>5456</v>
      </c>
      <c r="AB876" s="84" t="s">
        <v>692</v>
      </c>
      <c r="AC876" s="84" t="s">
        <v>692</v>
      </c>
      <c r="AD876" s="54" t="s">
        <v>692</v>
      </c>
    </row>
    <row r="877" spans="1:30" ht="6.6" customHeight="1" x14ac:dyDescent="0.25">
      <c r="A877" s="85">
        <v>877</v>
      </c>
      <c r="B877" s="80" t="s">
        <v>5419</v>
      </c>
      <c r="C877" s="28" t="s">
        <v>5457</v>
      </c>
      <c r="D877" s="28" t="s">
        <v>5458</v>
      </c>
      <c r="E877" s="28" t="s">
        <v>3942</v>
      </c>
      <c r="F877" s="28" t="s">
        <v>3946</v>
      </c>
      <c r="G877" s="86" t="s">
        <v>692</v>
      </c>
      <c r="H877" s="86" t="s">
        <v>692</v>
      </c>
      <c r="I877" s="86" t="s">
        <v>692</v>
      </c>
      <c r="J877" s="86" t="s">
        <v>692</v>
      </c>
      <c r="K877" s="86" t="s">
        <v>692</v>
      </c>
      <c r="L877" s="58" t="str">
        <f t="shared" si="77"/>
        <v>Institucionais</v>
      </c>
      <c r="M877" s="58" t="str">
        <f t="shared" si="92"/>
        <v>Serviços Públicos</v>
      </c>
      <c r="N877" s="58" t="str">
        <f t="shared" si="92"/>
        <v>Educacionais</v>
      </c>
      <c r="O877" s="58" t="str">
        <f t="shared" si="92"/>
        <v>Universidade Estadual</v>
      </c>
      <c r="P877" s="58" t="s">
        <v>3947</v>
      </c>
      <c r="Q877" s="58" t="s">
        <v>3948</v>
      </c>
      <c r="R877" s="55" t="s">
        <v>6848</v>
      </c>
      <c r="S877" s="55" t="s">
        <v>692</v>
      </c>
      <c r="T877" s="55" t="str">
        <f t="shared" si="82"/>
        <v>Institucionais</v>
      </c>
      <c r="U877" s="55" t="str">
        <f t="shared" si="82"/>
        <v>Serviços Públicos</v>
      </c>
      <c r="V877" s="55" t="str">
        <f t="shared" si="82"/>
        <v>Educacionais</v>
      </c>
      <c r="W877" s="54" t="s">
        <v>7259</v>
      </c>
      <c r="X877" s="84" t="str">
        <f t="shared" si="90"/>
        <v>Key-COD-CT-877</v>
      </c>
      <c r="Y877" s="84" t="s">
        <v>7212</v>
      </c>
      <c r="Z877" s="84" t="s">
        <v>692</v>
      </c>
      <c r="AA877" s="84" t="s">
        <v>5456</v>
      </c>
      <c r="AB877" s="84" t="s">
        <v>692</v>
      </c>
      <c r="AC877" s="84" t="s">
        <v>692</v>
      </c>
      <c r="AD877" s="54" t="s">
        <v>692</v>
      </c>
    </row>
    <row r="878" spans="1:30" ht="6.6" customHeight="1" x14ac:dyDescent="0.25">
      <c r="A878" s="85">
        <v>878</v>
      </c>
      <c r="B878" s="80" t="s">
        <v>5419</v>
      </c>
      <c r="C878" s="28" t="s">
        <v>5457</v>
      </c>
      <c r="D878" s="28" t="s">
        <v>5458</v>
      </c>
      <c r="E878" s="28" t="s">
        <v>3942</v>
      </c>
      <c r="F878" s="28" t="s">
        <v>3949</v>
      </c>
      <c r="G878" s="86" t="s">
        <v>692</v>
      </c>
      <c r="H878" s="86" t="s">
        <v>692</v>
      </c>
      <c r="I878" s="86" t="s">
        <v>692</v>
      </c>
      <c r="J878" s="86" t="s">
        <v>692</v>
      </c>
      <c r="K878" s="86" t="s">
        <v>692</v>
      </c>
      <c r="L878" s="58" t="str">
        <f t="shared" si="77"/>
        <v>Institucionais</v>
      </c>
      <c r="M878" s="58" t="str">
        <f t="shared" si="92"/>
        <v>Serviços Públicos</v>
      </c>
      <c r="N878" s="58" t="str">
        <f t="shared" si="92"/>
        <v>Educacionais</v>
      </c>
      <c r="O878" s="58" t="str">
        <f t="shared" si="92"/>
        <v>Escola Estadual</v>
      </c>
      <c r="P878" s="58" t="s">
        <v>3950</v>
      </c>
      <c r="Q878" s="58" t="s">
        <v>3951</v>
      </c>
      <c r="R878" s="55" t="s">
        <v>6849</v>
      </c>
      <c r="S878" s="55" t="s">
        <v>692</v>
      </c>
      <c r="T878" s="55" t="str">
        <f t="shared" si="82"/>
        <v>Institucionais</v>
      </c>
      <c r="U878" s="55" t="str">
        <f t="shared" si="82"/>
        <v>Serviços Públicos</v>
      </c>
      <c r="V878" s="55" t="str">
        <f t="shared" si="82"/>
        <v>Educacionais</v>
      </c>
      <c r="W878" s="54" t="s">
        <v>7259</v>
      </c>
      <c r="X878" s="84" t="str">
        <f t="shared" si="90"/>
        <v>Key-COD-CT-878</v>
      </c>
      <c r="Y878" s="84" t="s">
        <v>7212</v>
      </c>
      <c r="Z878" s="84" t="s">
        <v>692</v>
      </c>
      <c r="AA878" s="84" t="s">
        <v>5456</v>
      </c>
      <c r="AB878" s="84" t="s">
        <v>692</v>
      </c>
      <c r="AC878" s="84" t="s">
        <v>692</v>
      </c>
      <c r="AD878" s="54" t="s">
        <v>692</v>
      </c>
    </row>
    <row r="879" spans="1:30" ht="6.6" customHeight="1" x14ac:dyDescent="0.25">
      <c r="A879" s="85">
        <v>879</v>
      </c>
      <c r="B879" s="80" t="s">
        <v>5419</v>
      </c>
      <c r="C879" s="28" t="s">
        <v>5457</v>
      </c>
      <c r="D879" s="28" t="s">
        <v>5458</v>
      </c>
      <c r="E879" s="28" t="s">
        <v>3942</v>
      </c>
      <c r="F879" s="28" t="s">
        <v>3952</v>
      </c>
      <c r="G879" s="86" t="s">
        <v>692</v>
      </c>
      <c r="H879" s="86" t="s">
        <v>692</v>
      </c>
      <c r="I879" s="86" t="s">
        <v>692</v>
      </c>
      <c r="J879" s="86" t="s">
        <v>692</v>
      </c>
      <c r="K879" s="86" t="s">
        <v>692</v>
      </c>
      <c r="L879" s="58" t="str">
        <f t="shared" si="77"/>
        <v>Institucionais</v>
      </c>
      <c r="M879" s="58" t="str">
        <f t="shared" ref="M879:O889" si="93">_xlfn.CONCAT(SUBSTITUTE(D879,"."," "))</f>
        <v>Serviços Públicos</v>
      </c>
      <c r="N879" s="58" t="str">
        <f t="shared" si="93"/>
        <v>Educacionais</v>
      </c>
      <c r="O879" s="58" t="str">
        <f t="shared" si="93"/>
        <v>Escola Municipal</v>
      </c>
      <c r="P879" s="58" t="s">
        <v>3953</v>
      </c>
      <c r="Q879" s="58" t="s">
        <v>3954</v>
      </c>
      <c r="R879" s="55" t="s">
        <v>6850</v>
      </c>
      <c r="S879" s="55" t="s">
        <v>692</v>
      </c>
      <c r="T879" s="55" t="str">
        <f t="shared" si="82"/>
        <v>Institucionais</v>
      </c>
      <c r="U879" s="55" t="str">
        <f t="shared" si="82"/>
        <v>Serviços Públicos</v>
      </c>
      <c r="V879" s="55" t="str">
        <f t="shared" si="82"/>
        <v>Educacionais</v>
      </c>
      <c r="W879" s="54" t="s">
        <v>7259</v>
      </c>
      <c r="X879" s="84" t="str">
        <f t="shared" si="90"/>
        <v>Key-COD-CT-879</v>
      </c>
      <c r="Y879" s="84" t="s">
        <v>7212</v>
      </c>
      <c r="Z879" s="84" t="s">
        <v>692</v>
      </c>
      <c r="AA879" s="84" t="s">
        <v>5456</v>
      </c>
      <c r="AB879" s="84" t="s">
        <v>692</v>
      </c>
      <c r="AC879" s="84" t="s">
        <v>692</v>
      </c>
      <c r="AD879" s="54" t="s">
        <v>692</v>
      </c>
    </row>
    <row r="880" spans="1:30" ht="6.6" customHeight="1" x14ac:dyDescent="0.25">
      <c r="A880" s="85">
        <v>880</v>
      </c>
      <c r="B880" s="80" t="s">
        <v>5419</v>
      </c>
      <c r="C880" s="28" t="s">
        <v>5457</v>
      </c>
      <c r="D880" s="28" t="s">
        <v>5458</v>
      </c>
      <c r="E880" s="28" t="s">
        <v>3942</v>
      </c>
      <c r="F880" s="28" t="s">
        <v>3955</v>
      </c>
      <c r="G880" s="86" t="s">
        <v>692</v>
      </c>
      <c r="H880" s="86" t="s">
        <v>692</v>
      </c>
      <c r="I880" s="86" t="s">
        <v>692</v>
      </c>
      <c r="J880" s="86" t="s">
        <v>692</v>
      </c>
      <c r="K880" s="86" t="s">
        <v>692</v>
      </c>
      <c r="L880" s="58" t="str">
        <f t="shared" si="77"/>
        <v>Institucionais</v>
      </c>
      <c r="M880" s="58" t="str">
        <f t="shared" si="93"/>
        <v>Serviços Públicos</v>
      </c>
      <c r="N880" s="58" t="str">
        <f t="shared" si="93"/>
        <v>Educacionais</v>
      </c>
      <c r="O880" s="58" t="str">
        <f t="shared" si="93"/>
        <v>Colégio de Aplicação</v>
      </c>
      <c r="P880" s="58" t="s">
        <v>3956</v>
      </c>
      <c r="Q880" s="58" t="s">
        <v>3957</v>
      </c>
      <c r="R880" s="55" t="s">
        <v>6851</v>
      </c>
      <c r="S880" s="55" t="s">
        <v>692</v>
      </c>
      <c r="T880" s="55" t="str">
        <f t="shared" si="82"/>
        <v>Institucionais</v>
      </c>
      <c r="U880" s="55" t="str">
        <f t="shared" si="82"/>
        <v>Serviços Públicos</v>
      </c>
      <c r="V880" s="55" t="str">
        <f t="shared" si="82"/>
        <v>Educacionais</v>
      </c>
      <c r="W880" s="54" t="s">
        <v>7259</v>
      </c>
      <c r="X880" s="84" t="str">
        <f t="shared" si="90"/>
        <v>Key-COD-CT-880</v>
      </c>
      <c r="Y880" s="84" t="s">
        <v>7212</v>
      </c>
      <c r="Z880" s="84" t="s">
        <v>692</v>
      </c>
      <c r="AA880" s="84" t="s">
        <v>5456</v>
      </c>
      <c r="AB880" s="84" t="s">
        <v>692</v>
      </c>
      <c r="AC880" s="84" t="s">
        <v>692</v>
      </c>
      <c r="AD880" s="54" t="s">
        <v>692</v>
      </c>
    </row>
    <row r="881" spans="1:30" ht="6.6" customHeight="1" x14ac:dyDescent="0.25">
      <c r="A881" s="85">
        <v>881</v>
      </c>
      <c r="B881" s="80" t="s">
        <v>5419</v>
      </c>
      <c r="C881" s="28" t="s">
        <v>5457</v>
      </c>
      <c r="D881" s="28" t="s">
        <v>5458</v>
      </c>
      <c r="E881" s="28" t="s">
        <v>3942</v>
      </c>
      <c r="F881" s="28" t="s">
        <v>3958</v>
      </c>
      <c r="G881" s="86" t="s">
        <v>692</v>
      </c>
      <c r="H881" s="86" t="s">
        <v>692</v>
      </c>
      <c r="I881" s="86" t="s">
        <v>692</v>
      </c>
      <c r="J881" s="86" t="s">
        <v>692</v>
      </c>
      <c r="K881" s="86" t="s">
        <v>692</v>
      </c>
      <c r="L881" s="58" t="str">
        <f t="shared" si="77"/>
        <v>Institucionais</v>
      </c>
      <c r="M881" s="58" t="str">
        <f t="shared" si="93"/>
        <v>Serviços Públicos</v>
      </c>
      <c r="N881" s="58" t="str">
        <f t="shared" si="93"/>
        <v>Educacionais</v>
      </c>
      <c r="O881" s="58" t="str">
        <f t="shared" si="93"/>
        <v>Instituiçao de Ensino Militar</v>
      </c>
      <c r="P881" s="58" t="s">
        <v>3959</v>
      </c>
      <c r="Q881" s="58" t="s">
        <v>3960</v>
      </c>
      <c r="R881" s="55" t="s">
        <v>6852</v>
      </c>
      <c r="S881" s="55" t="s">
        <v>692</v>
      </c>
      <c r="T881" s="55" t="str">
        <f t="shared" si="82"/>
        <v>Institucionais</v>
      </c>
      <c r="U881" s="55" t="str">
        <f t="shared" si="82"/>
        <v>Serviços Públicos</v>
      </c>
      <c r="V881" s="55" t="str">
        <f t="shared" si="82"/>
        <v>Educacionais</v>
      </c>
      <c r="W881" s="54" t="s">
        <v>7259</v>
      </c>
      <c r="X881" s="84" t="str">
        <f t="shared" si="90"/>
        <v>Key-COD-CT-881</v>
      </c>
      <c r="Y881" s="84" t="s">
        <v>7212</v>
      </c>
      <c r="Z881" s="84" t="s">
        <v>692</v>
      </c>
      <c r="AA881" s="84" t="s">
        <v>7159</v>
      </c>
      <c r="AB881" s="84" t="s">
        <v>692</v>
      </c>
      <c r="AC881" s="84" t="s">
        <v>692</v>
      </c>
      <c r="AD881" s="54" t="s">
        <v>692</v>
      </c>
    </row>
    <row r="882" spans="1:30" ht="6.6" customHeight="1" x14ac:dyDescent="0.25">
      <c r="A882" s="85">
        <v>882</v>
      </c>
      <c r="B882" s="80" t="s">
        <v>5419</v>
      </c>
      <c r="C882" s="28" t="s">
        <v>5457</v>
      </c>
      <c r="D882" s="28" t="s">
        <v>5458</v>
      </c>
      <c r="E882" s="28" t="s">
        <v>3961</v>
      </c>
      <c r="F882" s="28" t="s">
        <v>3962</v>
      </c>
      <c r="G882" s="86" t="s">
        <v>692</v>
      </c>
      <c r="H882" s="86" t="s">
        <v>692</v>
      </c>
      <c r="I882" s="86" t="s">
        <v>692</v>
      </c>
      <c r="J882" s="86" t="s">
        <v>692</v>
      </c>
      <c r="K882" s="86" t="s">
        <v>692</v>
      </c>
      <c r="L882" s="58" t="str">
        <f t="shared" si="77"/>
        <v>Institucionais</v>
      </c>
      <c r="M882" s="58" t="str">
        <f t="shared" si="93"/>
        <v>Serviços Públicos</v>
      </c>
      <c r="N882" s="58" t="str">
        <f t="shared" si="93"/>
        <v>INMET</v>
      </c>
      <c r="O882" s="58" t="str">
        <f t="shared" si="93"/>
        <v>Estação Meteorológica</v>
      </c>
      <c r="P882" s="58" t="s">
        <v>3963</v>
      </c>
      <c r="Q882" s="58" t="s">
        <v>3964</v>
      </c>
      <c r="R882" s="55" t="s">
        <v>6853</v>
      </c>
      <c r="S882" s="55" t="s">
        <v>692</v>
      </c>
      <c r="T882" s="55" t="str">
        <f t="shared" si="82"/>
        <v>Institucionais</v>
      </c>
      <c r="U882" s="55" t="str">
        <f t="shared" si="82"/>
        <v>Serviços Públicos</v>
      </c>
      <c r="V882" s="55" t="str">
        <f t="shared" si="82"/>
        <v>INMET</v>
      </c>
      <c r="W882" s="54" t="s">
        <v>7259</v>
      </c>
      <c r="X882" s="84" t="str">
        <f t="shared" si="90"/>
        <v>Key-COD-CT-882</v>
      </c>
      <c r="Y882" s="84" t="s">
        <v>5459</v>
      </c>
      <c r="Z882" s="84" t="s">
        <v>692</v>
      </c>
      <c r="AA882" s="84" t="s">
        <v>7159</v>
      </c>
      <c r="AB882" s="84" t="s">
        <v>692</v>
      </c>
      <c r="AC882" s="84" t="s">
        <v>692</v>
      </c>
      <c r="AD882" s="54" t="s">
        <v>692</v>
      </c>
    </row>
    <row r="883" spans="1:30" ht="6.6" customHeight="1" x14ac:dyDescent="0.25">
      <c r="A883" s="85">
        <v>883</v>
      </c>
      <c r="B883" s="80" t="s">
        <v>5419</v>
      </c>
      <c r="C883" s="28" t="s">
        <v>5457</v>
      </c>
      <c r="D883" s="28" t="s">
        <v>5458</v>
      </c>
      <c r="E883" s="28" t="s">
        <v>3961</v>
      </c>
      <c r="F883" s="66" t="s">
        <v>5460</v>
      </c>
      <c r="G883" s="86" t="s">
        <v>692</v>
      </c>
      <c r="H883" s="86" t="s">
        <v>692</v>
      </c>
      <c r="I883" s="86" t="s">
        <v>692</v>
      </c>
      <c r="J883" s="86" t="s">
        <v>692</v>
      </c>
      <c r="K883" s="86" t="s">
        <v>692</v>
      </c>
      <c r="L883" s="58" t="str">
        <f t="shared" si="77"/>
        <v>Institucionais</v>
      </c>
      <c r="M883" s="58" t="str">
        <f t="shared" si="93"/>
        <v>Serviços Públicos</v>
      </c>
      <c r="N883" s="58" t="str">
        <f t="shared" si="93"/>
        <v>INMET</v>
      </c>
      <c r="O883" s="58" t="str">
        <f t="shared" si="93"/>
        <v>Estação Meteorológica Automática</v>
      </c>
      <c r="P883" s="58" t="s">
        <v>5461</v>
      </c>
      <c r="Q883" s="58" t="s">
        <v>3964</v>
      </c>
      <c r="R883" s="55" t="s">
        <v>6854</v>
      </c>
      <c r="S883" s="55" t="s">
        <v>692</v>
      </c>
      <c r="T883" s="55" t="str">
        <f t="shared" si="82"/>
        <v>Institucionais</v>
      </c>
      <c r="U883" s="55" t="str">
        <f t="shared" si="82"/>
        <v>Serviços Públicos</v>
      </c>
      <c r="V883" s="55" t="str">
        <f t="shared" si="82"/>
        <v>INMET</v>
      </c>
      <c r="W883" s="54" t="s">
        <v>7259</v>
      </c>
      <c r="X883" s="84" t="str">
        <f t="shared" si="90"/>
        <v>Key-COD-CT-883</v>
      </c>
      <c r="Y883" s="84" t="s">
        <v>5459</v>
      </c>
      <c r="Z883" s="84" t="s">
        <v>692</v>
      </c>
      <c r="AA883" s="84" t="s">
        <v>7159</v>
      </c>
      <c r="AB883" s="84" t="s">
        <v>692</v>
      </c>
      <c r="AC883" s="84" t="s">
        <v>692</v>
      </c>
      <c r="AD883" s="54" t="s">
        <v>692</v>
      </c>
    </row>
    <row r="884" spans="1:30" ht="6.6" customHeight="1" x14ac:dyDescent="0.25">
      <c r="A884" s="85">
        <v>884</v>
      </c>
      <c r="B884" s="80" t="s">
        <v>5419</v>
      </c>
      <c r="C884" s="28" t="s">
        <v>5457</v>
      </c>
      <c r="D884" s="28" t="s">
        <v>5458</v>
      </c>
      <c r="E884" s="28" t="s">
        <v>3961</v>
      </c>
      <c r="F884" s="66" t="s">
        <v>5462</v>
      </c>
      <c r="G884" s="86" t="s">
        <v>692</v>
      </c>
      <c r="H884" s="86" t="s">
        <v>692</v>
      </c>
      <c r="I884" s="86" t="s">
        <v>692</v>
      </c>
      <c r="J884" s="86" t="s">
        <v>692</v>
      </c>
      <c r="K884" s="86" t="s">
        <v>692</v>
      </c>
      <c r="L884" s="58" t="str">
        <f t="shared" si="77"/>
        <v>Institucionais</v>
      </c>
      <c r="M884" s="58" t="str">
        <f t="shared" si="93"/>
        <v>Serviços Públicos</v>
      </c>
      <c r="N884" s="58" t="str">
        <f t="shared" si="93"/>
        <v>INMET</v>
      </c>
      <c r="O884" s="58" t="str">
        <f t="shared" si="93"/>
        <v>Estação Meteorológica Convencional</v>
      </c>
      <c r="P884" s="58" t="s">
        <v>5463</v>
      </c>
      <c r="Q884" s="58" t="s">
        <v>3964</v>
      </c>
      <c r="R884" s="55" t="s">
        <v>6855</v>
      </c>
      <c r="S884" s="55" t="s">
        <v>692</v>
      </c>
      <c r="T884" s="55" t="str">
        <f t="shared" si="82"/>
        <v>Institucionais</v>
      </c>
      <c r="U884" s="55" t="str">
        <f t="shared" si="82"/>
        <v>Serviços Públicos</v>
      </c>
      <c r="V884" s="55" t="str">
        <f t="shared" si="82"/>
        <v>INMET</v>
      </c>
      <c r="W884" s="54" t="s">
        <v>7259</v>
      </c>
      <c r="X884" s="84" t="str">
        <f t="shared" si="90"/>
        <v>Key-COD-CT-884</v>
      </c>
      <c r="Y884" s="84" t="s">
        <v>5459</v>
      </c>
      <c r="Z884" s="84" t="s">
        <v>692</v>
      </c>
      <c r="AA884" s="84" t="s">
        <v>7159</v>
      </c>
      <c r="AB884" s="84" t="s">
        <v>692</v>
      </c>
      <c r="AC884" s="84" t="s">
        <v>692</v>
      </c>
      <c r="AD884" s="54" t="s">
        <v>692</v>
      </c>
    </row>
    <row r="885" spans="1:30" ht="6.6" customHeight="1" x14ac:dyDescent="0.25">
      <c r="A885" s="85">
        <v>885</v>
      </c>
      <c r="B885" s="80" t="s">
        <v>5419</v>
      </c>
      <c r="C885" s="28" t="s">
        <v>5457</v>
      </c>
      <c r="D885" s="28" t="s">
        <v>5458</v>
      </c>
      <c r="E885" s="28" t="s">
        <v>3965</v>
      </c>
      <c r="F885" s="28" t="s">
        <v>3966</v>
      </c>
      <c r="G885" s="86" t="s">
        <v>692</v>
      </c>
      <c r="H885" s="86" t="s">
        <v>692</v>
      </c>
      <c r="I885" s="86" t="s">
        <v>692</v>
      </c>
      <c r="J885" s="86" t="s">
        <v>692</v>
      </c>
      <c r="K885" s="86" t="s">
        <v>692</v>
      </c>
      <c r="L885" s="58" t="str">
        <f t="shared" si="77"/>
        <v>Institucionais</v>
      </c>
      <c r="M885" s="58" t="str">
        <f t="shared" si="93"/>
        <v>Serviços Públicos</v>
      </c>
      <c r="N885" s="58" t="str">
        <f t="shared" si="93"/>
        <v>IBGE</v>
      </c>
      <c r="O885" s="58" t="str">
        <f t="shared" si="93"/>
        <v>Area Densa</v>
      </c>
      <c r="P885" s="58" t="s">
        <v>3967</v>
      </c>
      <c r="Q885" s="58" t="s">
        <v>3968</v>
      </c>
      <c r="R885" s="55" t="s">
        <v>6856</v>
      </c>
      <c r="S885" s="55" t="s">
        <v>692</v>
      </c>
      <c r="T885" s="55" t="str">
        <f t="shared" si="82"/>
        <v>Institucionais</v>
      </c>
      <c r="U885" s="55" t="str">
        <f t="shared" si="82"/>
        <v>Serviços Públicos</v>
      </c>
      <c r="V885" s="55" t="str">
        <f t="shared" si="82"/>
        <v>IBGE</v>
      </c>
      <c r="W885" s="54" t="s">
        <v>7259</v>
      </c>
      <c r="X885" s="84" t="str">
        <f t="shared" si="90"/>
        <v>Key-COD-CT-885</v>
      </c>
      <c r="Y885" s="84" t="s">
        <v>5464</v>
      </c>
      <c r="Z885" s="84" t="s">
        <v>692</v>
      </c>
      <c r="AA885" s="84" t="s">
        <v>5464</v>
      </c>
      <c r="AB885" s="84" t="s">
        <v>692</v>
      </c>
      <c r="AC885" s="84" t="s">
        <v>692</v>
      </c>
      <c r="AD885" s="54" t="s">
        <v>692</v>
      </c>
    </row>
    <row r="886" spans="1:30" ht="6.6" customHeight="1" x14ac:dyDescent="0.25">
      <c r="A886" s="85">
        <v>886</v>
      </c>
      <c r="B886" s="80" t="s">
        <v>5419</v>
      </c>
      <c r="C886" s="28" t="s">
        <v>5457</v>
      </c>
      <c r="D886" s="28" t="s">
        <v>5458</v>
      </c>
      <c r="E886" s="28" t="s">
        <v>3965</v>
      </c>
      <c r="F886" s="28" t="s">
        <v>3969</v>
      </c>
      <c r="G886" s="86" t="s">
        <v>692</v>
      </c>
      <c r="H886" s="86" t="s">
        <v>692</v>
      </c>
      <c r="I886" s="86" t="s">
        <v>692</v>
      </c>
      <c r="J886" s="86" t="s">
        <v>692</v>
      </c>
      <c r="K886" s="86" t="s">
        <v>692</v>
      </c>
      <c r="L886" s="58" t="str">
        <f t="shared" si="77"/>
        <v>Institucionais</v>
      </c>
      <c r="M886" s="58" t="str">
        <f t="shared" si="93"/>
        <v>Serviços Públicos</v>
      </c>
      <c r="N886" s="58" t="str">
        <f t="shared" si="93"/>
        <v>IBGE</v>
      </c>
      <c r="O886" s="58" t="str">
        <f>_xlfn.CONCAT(SUBSTITUTE(F886,"."," "))</f>
        <v>Area Pouco Densa</v>
      </c>
      <c r="P886" s="58" t="s">
        <v>3967</v>
      </c>
      <c r="Q886" s="58" t="s">
        <v>3968</v>
      </c>
      <c r="R886" s="55" t="s">
        <v>6856</v>
      </c>
      <c r="S886" s="55" t="s">
        <v>692</v>
      </c>
      <c r="T886" s="55" t="str">
        <f t="shared" si="82"/>
        <v>Institucionais</v>
      </c>
      <c r="U886" s="55" t="str">
        <f t="shared" si="82"/>
        <v>Serviços Públicos</v>
      </c>
      <c r="V886" s="55" t="str">
        <f t="shared" si="82"/>
        <v>IBGE</v>
      </c>
      <c r="W886" s="54" t="s">
        <v>7259</v>
      </c>
      <c r="X886" s="84" t="str">
        <f t="shared" si="90"/>
        <v>Key-COD-CT-886</v>
      </c>
      <c r="Y886" s="84" t="s">
        <v>5464</v>
      </c>
      <c r="Z886" s="84" t="s">
        <v>692</v>
      </c>
      <c r="AA886" s="84" t="s">
        <v>5464</v>
      </c>
      <c r="AB886" s="84" t="s">
        <v>692</v>
      </c>
      <c r="AC886" s="84" t="s">
        <v>692</v>
      </c>
      <c r="AD886" s="54" t="s">
        <v>692</v>
      </c>
    </row>
    <row r="887" spans="1:30" ht="6.6" customHeight="1" x14ac:dyDescent="0.25">
      <c r="A887" s="85">
        <v>887</v>
      </c>
      <c r="B887" s="80" t="s">
        <v>5419</v>
      </c>
      <c r="C887" s="28" t="s">
        <v>5457</v>
      </c>
      <c r="D887" s="28" t="s">
        <v>5458</v>
      </c>
      <c r="E887" s="28" t="s">
        <v>3965</v>
      </c>
      <c r="F887" s="28" t="s">
        <v>3970</v>
      </c>
      <c r="G887" s="86" t="s">
        <v>692</v>
      </c>
      <c r="H887" s="86" t="s">
        <v>692</v>
      </c>
      <c r="I887" s="86" t="s">
        <v>692</v>
      </c>
      <c r="J887" s="86" t="s">
        <v>692</v>
      </c>
      <c r="K887" s="86" t="s">
        <v>692</v>
      </c>
      <c r="L887" s="58" t="str">
        <f t="shared" si="77"/>
        <v>Institucionais</v>
      </c>
      <c r="M887" s="58" t="str">
        <f t="shared" si="93"/>
        <v>Serviços Públicos</v>
      </c>
      <c r="N887" s="58" t="str">
        <f t="shared" si="93"/>
        <v>IBGE</v>
      </c>
      <c r="O887" s="58" t="str">
        <f t="shared" si="93"/>
        <v>IDU</v>
      </c>
      <c r="P887" s="58" t="s">
        <v>3971</v>
      </c>
      <c r="Q887" s="58" t="s">
        <v>3972</v>
      </c>
      <c r="R887" s="55" t="s">
        <v>6857</v>
      </c>
      <c r="S887" s="55" t="s">
        <v>692</v>
      </c>
      <c r="T887" s="55" t="str">
        <f t="shared" si="82"/>
        <v>Institucionais</v>
      </c>
      <c r="U887" s="55" t="str">
        <f t="shared" si="82"/>
        <v>Serviços Públicos</v>
      </c>
      <c r="V887" s="55" t="str">
        <f t="shared" si="82"/>
        <v>IBGE</v>
      </c>
      <c r="W887" s="54" t="s">
        <v>7259</v>
      </c>
      <c r="X887" s="84" t="str">
        <f t="shared" si="90"/>
        <v>Key-COD-CT-887</v>
      </c>
      <c r="Y887" s="84" t="s">
        <v>5464</v>
      </c>
      <c r="Z887" s="84" t="s">
        <v>692</v>
      </c>
      <c r="AA887" s="84" t="s">
        <v>5464</v>
      </c>
      <c r="AB887" s="84" t="s">
        <v>692</v>
      </c>
      <c r="AC887" s="84" t="s">
        <v>692</v>
      </c>
      <c r="AD887" s="54" t="s">
        <v>692</v>
      </c>
    </row>
    <row r="888" spans="1:30" ht="6.6" customHeight="1" x14ac:dyDescent="0.25">
      <c r="A888" s="85">
        <v>888</v>
      </c>
      <c r="B888" s="80" t="s">
        <v>5419</v>
      </c>
      <c r="C888" s="28" t="s">
        <v>5457</v>
      </c>
      <c r="D888" s="28" t="s">
        <v>5458</v>
      </c>
      <c r="E888" s="28" t="s">
        <v>3965</v>
      </c>
      <c r="F888" s="28" t="s">
        <v>3973</v>
      </c>
      <c r="G888" s="86" t="s">
        <v>692</v>
      </c>
      <c r="H888" s="86" t="s">
        <v>692</v>
      </c>
      <c r="I888" s="86" t="s">
        <v>692</v>
      </c>
      <c r="J888" s="86" t="s">
        <v>692</v>
      </c>
      <c r="K888" s="86" t="s">
        <v>692</v>
      </c>
      <c r="L888" s="58" t="str">
        <f t="shared" si="77"/>
        <v>Institucionais</v>
      </c>
      <c r="M888" s="58" t="str">
        <f t="shared" si="93"/>
        <v>Serviços Públicos</v>
      </c>
      <c r="N888" s="58" t="str">
        <f t="shared" si="93"/>
        <v>IBGE</v>
      </c>
      <c r="O888" s="58" t="str">
        <f t="shared" si="93"/>
        <v>Taxa Urbanização</v>
      </c>
      <c r="P888" s="58" t="s">
        <v>3974</v>
      </c>
      <c r="Q888" s="58" t="s">
        <v>3975</v>
      </c>
      <c r="R888" s="55" t="s">
        <v>6858</v>
      </c>
      <c r="S888" s="55" t="s">
        <v>692</v>
      </c>
      <c r="T888" s="55" t="str">
        <f t="shared" si="82"/>
        <v>Institucionais</v>
      </c>
      <c r="U888" s="55" t="str">
        <f t="shared" si="82"/>
        <v>Serviços Públicos</v>
      </c>
      <c r="V888" s="55" t="str">
        <f t="shared" si="82"/>
        <v>IBGE</v>
      </c>
      <c r="W888" s="54" t="s">
        <v>7259</v>
      </c>
      <c r="X888" s="84" t="str">
        <f t="shared" si="90"/>
        <v>Key-COD-CT-888</v>
      </c>
      <c r="Y888" s="84" t="s">
        <v>5464</v>
      </c>
      <c r="Z888" s="84" t="s">
        <v>692</v>
      </c>
      <c r="AA888" s="84" t="s">
        <v>5464</v>
      </c>
      <c r="AB888" s="84" t="s">
        <v>692</v>
      </c>
      <c r="AC888" s="84" t="s">
        <v>692</v>
      </c>
      <c r="AD888" s="54" t="s">
        <v>692</v>
      </c>
    </row>
    <row r="889" spans="1:30" ht="6.6" customHeight="1" x14ac:dyDescent="0.25">
      <c r="A889" s="85">
        <v>889</v>
      </c>
      <c r="B889" s="80" t="s">
        <v>5419</v>
      </c>
      <c r="C889" s="28" t="s">
        <v>5457</v>
      </c>
      <c r="D889" s="28" t="s">
        <v>5458</v>
      </c>
      <c r="E889" s="28" t="s">
        <v>3965</v>
      </c>
      <c r="F889" s="28" t="s">
        <v>3976</v>
      </c>
      <c r="G889" s="86" t="s">
        <v>692</v>
      </c>
      <c r="H889" s="86" t="s">
        <v>692</v>
      </c>
      <c r="I889" s="86" t="s">
        <v>692</v>
      </c>
      <c r="J889" s="86" t="s">
        <v>692</v>
      </c>
      <c r="K889" s="86" t="s">
        <v>692</v>
      </c>
      <c r="L889" s="58" t="str">
        <f t="shared" si="77"/>
        <v>Institucionais</v>
      </c>
      <c r="M889" s="58" t="str">
        <f t="shared" si="93"/>
        <v>Serviços Públicos</v>
      </c>
      <c r="N889" s="58" t="str">
        <f t="shared" si="93"/>
        <v>IBGE</v>
      </c>
      <c r="O889" s="58" t="str">
        <f t="shared" si="93"/>
        <v>Expansão Urbana</v>
      </c>
      <c r="P889" s="58" t="s">
        <v>3977</v>
      </c>
      <c r="Q889" s="58" t="s">
        <v>3978</v>
      </c>
      <c r="R889" s="55" t="s">
        <v>6859</v>
      </c>
      <c r="S889" s="55" t="s">
        <v>692</v>
      </c>
      <c r="T889" s="55" t="str">
        <f t="shared" si="82"/>
        <v>Institucionais</v>
      </c>
      <c r="U889" s="55" t="str">
        <f t="shared" si="82"/>
        <v>Serviços Públicos</v>
      </c>
      <c r="V889" s="55" t="str">
        <f t="shared" si="82"/>
        <v>IBGE</v>
      </c>
      <c r="W889" s="54" t="s">
        <v>7259</v>
      </c>
      <c r="X889" s="84" t="str">
        <f t="shared" si="90"/>
        <v>Key-COD-CT-889</v>
      </c>
      <c r="Y889" s="84" t="s">
        <v>5464</v>
      </c>
      <c r="Z889" s="84" t="s">
        <v>692</v>
      </c>
      <c r="AA889" s="84" t="s">
        <v>5464</v>
      </c>
      <c r="AB889" s="84" t="s">
        <v>692</v>
      </c>
      <c r="AC889" s="84" t="s">
        <v>692</v>
      </c>
      <c r="AD889" s="54" t="s">
        <v>692</v>
      </c>
    </row>
    <row r="890" spans="1:30" ht="6.6" customHeight="1" x14ac:dyDescent="0.25">
      <c r="A890" s="85">
        <v>890</v>
      </c>
      <c r="B890" s="80" t="s">
        <v>5419</v>
      </c>
      <c r="C890" s="91" t="s">
        <v>5465</v>
      </c>
      <c r="D890" s="80" t="s">
        <v>3979</v>
      </c>
      <c r="E890" s="62" t="s">
        <v>3980</v>
      </c>
      <c r="F890" s="28" t="s">
        <v>3981</v>
      </c>
      <c r="G890" s="46" t="s">
        <v>692</v>
      </c>
      <c r="H890" s="46" t="s">
        <v>692</v>
      </c>
      <c r="I890" s="46" t="s">
        <v>692</v>
      </c>
      <c r="J890" s="46" t="s">
        <v>692</v>
      </c>
      <c r="K890" s="46" t="s">
        <v>692</v>
      </c>
      <c r="L890" s="63" t="str">
        <f t="shared" ref="L890:L953" si="94">_xlfn.CONCAT(C890)</f>
        <v>De.Transportes</v>
      </c>
      <c r="M890" s="90" t="str">
        <f t="shared" ref="M890:M953" si="95">CONCATENATE("", D890)</f>
        <v>Ferroviários</v>
      </c>
      <c r="N890" s="90" t="str">
        <f t="shared" ref="N890:N953" si="96">(SUBSTITUTE(SUBSTITUTE(CONCATENATE("",E890),"."," ")," De "," de "))</f>
        <v>Trens</v>
      </c>
      <c r="O890" s="55" t="str">
        <f t="shared" ref="O890:O953" si="97">F890</f>
        <v>Locomotiva</v>
      </c>
      <c r="P890" s="58" t="s">
        <v>3982</v>
      </c>
      <c r="Q890" s="55" t="s">
        <v>3983</v>
      </c>
      <c r="R890" s="55" t="s">
        <v>6860</v>
      </c>
      <c r="S890" s="55" t="s">
        <v>692</v>
      </c>
      <c r="T890" s="55" t="str">
        <f t="shared" si="82"/>
        <v>De Transportes</v>
      </c>
      <c r="U890" s="55" t="str">
        <f t="shared" si="82"/>
        <v>Ferroviários</v>
      </c>
      <c r="V890" s="55" t="str">
        <f t="shared" si="82"/>
        <v>Trens</v>
      </c>
      <c r="W890" s="54" t="s">
        <v>7259</v>
      </c>
      <c r="X890" s="84" t="str">
        <f t="shared" si="90"/>
        <v>Key-COD-CT-890</v>
      </c>
      <c r="Y890" s="84" t="s">
        <v>5466</v>
      </c>
      <c r="Z890" s="84" t="s">
        <v>692</v>
      </c>
      <c r="AA890" s="84" t="s">
        <v>7164</v>
      </c>
      <c r="AB890" s="84" t="s">
        <v>692</v>
      </c>
      <c r="AC890" s="84" t="s">
        <v>692</v>
      </c>
      <c r="AD890" s="54" t="s">
        <v>692</v>
      </c>
    </row>
    <row r="891" spans="1:30" ht="6.6" customHeight="1" x14ac:dyDescent="0.25">
      <c r="A891" s="85">
        <v>891</v>
      </c>
      <c r="B891" s="80" t="s">
        <v>5419</v>
      </c>
      <c r="C891" s="91" t="s">
        <v>5465</v>
      </c>
      <c r="D891" s="80" t="s">
        <v>3979</v>
      </c>
      <c r="E891" s="62" t="s">
        <v>3980</v>
      </c>
      <c r="F891" s="28" t="s">
        <v>3984</v>
      </c>
      <c r="G891" s="46" t="s">
        <v>692</v>
      </c>
      <c r="H891" s="46" t="s">
        <v>692</v>
      </c>
      <c r="I891" s="46" t="s">
        <v>692</v>
      </c>
      <c r="J891" s="46" t="s">
        <v>692</v>
      </c>
      <c r="K891" s="46" t="s">
        <v>692</v>
      </c>
      <c r="L891" s="63" t="str">
        <f t="shared" si="94"/>
        <v>De.Transportes</v>
      </c>
      <c r="M891" s="90" t="str">
        <f t="shared" si="95"/>
        <v>Ferroviários</v>
      </c>
      <c r="N891" s="90" t="str">
        <f t="shared" si="96"/>
        <v>Trens</v>
      </c>
      <c r="O891" s="55" t="str">
        <f t="shared" si="97"/>
        <v>Vagão.Carga</v>
      </c>
      <c r="P891" s="58" t="s">
        <v>3985</v>
      </c>
      <c r="Q891" s="55" t="s">
        <v>3986</v>
      </c>
      <c r="R891" s="55" t="s">
        <v>6861</v>
      </c>
      <c r="S891" s="55" t="s">
        <v>692</v>
      </c>
      <c r="T891" s="55" t="str">
        <f t="shared" si="82"/>
        <v>De Transportes</v>
      </c>
      <c r="U891" s="55" t="str">
        <f t="shared" si="82"/>
        <v>Ferroviários</v>
      </c>
      <c r="V891" s="55" t="str">
        <f t="shared" si="82"/>
        <v>Trens</v>
      </c>
      <c r="W891" s="54" t="s">
        <v>7259</v>
      </c>
      <c r="X891" s="84" t="str">
        <f t="shared" si="90"/>
        <v>Key-COD-CT-891</v>
      </c>
      <c r="Y891" s="84" t="s">
        <v>5466</v>
      </c>
      <c r="Z891" s="84" t="s">
        <v>692</v>
      </c>
      <c r="AA891" s="84" t="s">
        <v>7164</v>
      </c>
      <c r="AB891" s="84" t="s">
        <v>692</v>
      </c>
      <c r="AC891" s="84" t="s">
        <v>692</v>
      </c>
      <c r="AD891" s="54" t="s">
        <v>692</v>
      </c>
    </row>
    <row r="892" spans="1:30" ht="6.6" customHeight="1" x14ac:dyDescent="0.25">
      <c r="A892" s="85">
        <v>892</v>
      </c>
      <c r="B892" s="80" t="s">
        <v>5419</v>
      </c>
      <c r="C892" s="91" t="s">
        <v>5465</v>
      </c>
      <c r="D892" s="80" t="s">
        <v>3979</v>
      </c>
      <c r="E892" s="62" t="s">
        <v>3980</v>
      </c>
      <c r="F892" s="28" t="s">
        <v>3987</v>
      </c>
      <c r="G892" s="46" t="s">
        <v>692</v>
      </c>
      <c r="H892" s="46" t="s">
        <v>692</v>
      </c>
      <c r="I892" s="46" t="s">
        <v>692</v>
      </c>
      <c r="J892" s="46" t="s">
        <v>692</v>
      </c>
      <c r="K892" s="46" t="s">
        <v>692</v>
      </c>
      <c r="L892" s="63" t="str">
        <f t="shared" si="94"/>
        <v>De.Transportes</v>
      </c>
      <c r="M892" s="90" t="str">
        <f t="shared" si="95"/>
        <v>Ferroviários</v>
      </c>
      <c r="N892" s="90" t="str">
        <f t="shared" si="96"/>
        <v>Trens</v>
      </c>
      <c r="O892" s="55" t="str">
        <f t="shared" si="97"/>
        <v>Vagão.Passageiro</v>
      </c>
      <c r="P892" s="58" t="s">
        <v>3988</v>
      </c>
      <c r="Q892" s="55" t="s">
        <v>3989</v>
      </c>
      <c r="R892" s="55" t="s">
        <v>6862</v>
      </c>
      <c r="S892" s="55" t="s">
        <v>692</v>
      </c>
      <c r="T892" s="55" t="str">
        <f t="shared" si="82"/>
        <v>De Transportes</v>
      </c>
      <c r="U892" s="55" t="str">
        <f t="shared" si="82"/>
        <v>Ferroviários</v>
      </c>
      <c r="V892" s="55" t="str">
        <f t="shared" si="82"/>
        <v>Trens</v>
      </c>
      <c r="W892" s="54" t="s">
        <v>7259</v>
      </c>
      <c r="X892" s="84" t="str">
        <f t="shared" si="90"/>
        <v>Key-COD-CT-892</v>
      </c>
      <c r="Y892" s="84" t="s">
        <v>5466</v>
      </c>
      <c r="Z892" s="84" t="s">
        <v>692</v>
      </c>
      <c r="AA892" s="84" t="s">
        <v>7164</v>
      </c>
      <c r="AB892" s="84" t="s">
        <v>692</v>
      </c>
      <c r="AC892" s="84" t="s">
        <v>692</v>
      </c>
      <c r="AD892" s="54" t="s">
        <v>692</v>
      </c>
    </row>
    <row r="893" spans="1:30" ht="6.6" customHeight="1" x14ac:dyDescent="0.25">
      <c r="A893" s="85">
        <v>893</v>
      </c>
      <c r="B893" s="80" t="s">
        <v>5419</v>
      </c>
      <c r="C893" s="91" t="s">
        <v>5465</v>
      </c>
      <c r="D893" s="80" t="s">
        <v>3979</v>
      </c>
      <c r="E893" s="62" t="s">
        <v>3980</v>
      </c>
      <c r="F893" s="28" t="s">
        <v>3990</v>
      </c>
      <c r="G893" s="46" t="s">
        <v>692</v>
      </c>
      <c r="H893" s="46" t="s">
        <v>692</v>
      </c>
      <c r="I893" s="46" t="s">
        <v>692</v>
      </c>
      <c r="J893" s="46" t="s">
        <v>692</v>
      </c>
      <c r="K893" s="46" t="s">
        <v>692</v>
      </c>
      <c r="L893" s="63" t="str">
        <f t="shared" si="94"/>
        <v>De.Transportes</v>
      </c>
      <c r="M893" s="90" t="str">
        <f t="shared" si="95"/>
        <v>Ferroviários</v>
      </c>
      <c r="N893" s="90" t="str">
        <f t="shared" si="96"/>
        <v>Trens</v>
      </c>
      <c r="O893" s="55" t="str">
        <f t="shared" si="97"/>
        <v>Vagão.Dormitório</v>
      </c>
      <c r="P893" s="58" t="s">
        <v>3991</v>
      </c>
      <c r="Q893" s="55" t="s">
        <v>3992</v>
      </c>
      <c r="R893" s="55" t="s">
        <v>6863</v>
      </c>
      <c r="S893" s="55" t="s">
        <v>692</v>
      </c>
      <c r="T893" s="55" t="str">
        <f t="shared" si="82"/>
        <v>De Transportes</v>
      </c>
      <c r="U893" s="55" t="str">
        <f t="shared" si="82"/>
        <v>Ferroviários</v>
      </c>
      <c r="V893" s="55" t="str">
        <f t="shared" si="82"/>
        <v>Trens</v>
      </c>
      <c r="W893" s="54" t="s">
        <v>7259</v>
      </c>
      <c r="X893" s="84" t="str">
        <f t="shared" si="90"/>
        <v>Key-COD-CT-893</v>
      </c>
      <c r="Y893" s="84" t="s">
        <v>5466</v>
      </c>
      <c r="Z893" s="84" t="s">
        <v>692</v>
      </c>
      <c r="AA893" s="84" t="s">
        <v>7164</v>
      </c>
      <c r="AB893" s="84" t="s">
        <v>692</v>
      </c>
      <c r="AC893" s="84" t="s">
        <v>692</v>
      </c>
      <c r="AD893" s="54" t="s">
        <v>692</v>
      </c>
    </row>
    <row r="894" spans="1:30" ht="6.6" customHeight="1" x14ac:dyDescent="0.25">
      <c r="A894" s="85">
        <v>894</v>
      </c>
      <c r="B894" s="80" t="s">
        <v>5419</v>
      </c>
      <c r="C894" s="91" t="s">
        <v>5465</v>
      </c>
      <c r="D894" s="80" t="s">
        <v>3979</v>
      </c>
      <c r="E894" s="62" t="s">
        <v>3980</v>
      </c>
      <c r="F894" s="28" t="s">
        <v>3993</v>
      </c>
      <c r="G894" s="46" t="s">
        <v>692</v>
      </c>
      <c r="H894" s="46" t="s">
        <v>692</v>
      </c>
      <c r="I894" s="46" t="s">
        <v>692</v>
      </c>
      <c r="J894" s="46" t="s">
        <v>692</v>
      </c>
      <c r="K894" s="46" t="s">
        <v>692</v>
      </c>
      <c r="L894" s="63" t="str">
        <f t="shared" si="94"/>
        <v>De.Transportes</v>
      </c>
      <c r="M894" s="90" t="str">
        <f t="shared" si="95"/>
        <v>Ferroviários</v>
      </c>
      <c r="N894" s="90" t="str">
        <f t="shared" si="96"/>
        <v>Trens</v>
      </c>
      <c r="O894" s="55" t="str">
        <f t="shared" si="97"/>
        <v>Vagão.Metro</v>
      </c>
      <c r="P894" s="58" t="s">
        <v>3994</v>
      </c>
      <c r="Q894" s="55" t="s">
        <v>3995</v>
      </c>
      <c r="R894" s="55" t="s">
        <v>6864</v>
      </c>
      <c r="S894" s="55" t="s">
        <v>692</v>
      </c>
      <c r="T894" s="55" t="str">
        <f t="shared" si="82"/>
        <v>De Transportes</v>
      </c>
      <c r="U894" s="55" t="str">
        <f t="shared" si="82"/>
        <v>Ferroviários</v>
      </c>
      <c r="V894" s="55" t="str">
        <f t="shared" si="82"/>
        <v>Trens</v>
      </c>
      <c r="W894" s="54" t="s">
        <v>7259</v>
      </c>
      <c r="X894" s="84" t="str">
        <f t="shared" si="90"/>
        <v>Key-COD-CT-894</v>
      </c>
      <c r="Y894" s="84" t="s">
        <v>5466</v>
      </c>
      <c r="Z894" s="84" t="s">
        <v>692</v>
      </c>
      <c r="AA894" s="84" t="s">
        <v>7164</v>
      </c>
      <c r="AB894" s="84" t="s">
        <v>692</v>
      </c>
      <c r="AC894" s="84" t="s">
        <v>692</v>
      </c>
      <c r="AD894" s="54" t="s">
        <v>692</v>
      </c>
    </row>
    <row r="895" spans="1:30" ht="6.6" customHeight="1" x14ac:dyDescent="0.25">
      <c r="A895" s="85">
        <v>895</v>
      </c>
      <c r="B895" s="80" t="s">
        <v>5419</v>
      </c>
      <c r="C895" s="91" t="s">
        <v>5465</v>
      </c>
      <c r="D895" s="80" t="s">
        <v>3979</v>
      </c>
      <c r="E895" s="62" t="s">
        <v>3980</v>
      </c>
      <c r="F895" s="28" t="s">
        <v>3996</v>
      </c>
      <c r="G895" s="46" t="s">
        <v>692</v>
      </c>
      <c r="H895" s="46" t="s">
        <v>692</v>
      </c>
      <c r="I895" s="46" t="s">
        <v>692</v>
      </c>
      <c r="J895" s="46" t="s">
        <v>692</v>
      </c>
      <c r="K895" s="46" t="s">
        <v>692</v>
      </c>
      <c r="L895" s="63" t="str">
        <f t="shared" si="94"/>
        <v>De.Transportes</v>
      </c>
      <c r="M895" s="90" t="str">
        <f t="shared" si="95"/>
        <v>Ferroviários</v>
      </c>
      <c r="N895" s="90" t="str">
        <f t="shared" si="96"/>
        <v>Trens</v>
      </c>
      <c r="O895" s="55" t="str">
        <f t="shared" si="97"/>
        <v>Vagão.Monotrilho</v>
      </c>
      <c r="P895" s="58" t="s">
        <v>3994</v>
      </c>
      <c r="Q895" s="55" t="s">
        <v>3995</v>
      </c>
      <c r="R895" s="55" t="s">
        <v>6864</v>
      </c>
      <c r="S895" s="55" t="s">
        <v>692</v>
      </c>
      <c r="T895" s="55" t="str">
        <f t="shared" si="82"/>
        <v>De Transportes</v>
      </c>
      <c r="U895" s="55" t="str">
        <f t="shared" si="82"/>
        <v>Ferroviários</v>
      </c>
      <c r="V895" s="55" t="str">
        <f t="shared" si="82"/>
        <v>Trens</v>
      </c>
      <c r="W895" s="54" t="s">
        <v>7259</v>
      </c>
      <c r="X895" s="84" t="str">
        <f t="shared" si="90"/>
        <v>Key-COD-CT-895</v>
      </c>
      <c r="Y895" s="84" t="s">
        <v>5466</v>
      </c>
      <c r="Z895" s="84" t="s">
        <v>692</v>
      </c>
      <c r="AA895" s="84" t="s">
        <v>7164</v>
      </c>
      <c r="AB895" s="84" t="s">
        <v>692</v>
      </c>
      <c r="AC895" s="84" t="s">
        <v>692</v>
      </c>
      <c r="AD895" s="54" t="s">
        <v>692</v>
      </c>
    </row>
    <row r="896" spans="1:30" ht="6.6" customHeight="1" x14ac:dyDescent="0.25">
      <c r="A896" s="85">
        <v>896</v>
      </c>
      <c r="B896" s="80" t="s">
        <v>5419</v>
      </c>
      <c r="C896" s="91" t="s">
        <v>5465</v>
      </c>
      <c r="D896" s="80" t="s">
        <v>3979</v>
      </c>
      <c r="E896" s="62" t="s">
        <v>3980</v>
      </c>
      <c r="F896" s="28" t="s">
        <v>3997</v>
      </c>
      <c r="G896" s="46" t="s">
        <v>692</v>
      </c>
      <c r="H896" s="46" t="s">
        <v>692</v>
      </c>
      <c r="I896" s="46" t="s">
        <v>692</v>
      </c>
      <c r="J896" s="46" t="s">
        <v>692</v>
      </c>
      <c r="K896" s="46" t="s">
        <v>692</v>
      </c>
      <c r="L896" s="63" t="str">
        <f t="shared" si="94"/>
        <v>De.Transportes</v>
      </c>
      <c r="M896" s="90" t="str">
        <f t="shared" si="95"/>
        <v>Ferroviários</v>
      </c>
      <c r="N896" s="90" t="str">
        <f t="shared" si="96"/>
        <v>Trens</v>
      </c>
      <c r="O896" s="55" t="str">
        <f t="shared" si="97"/>
        <v>Vagão.VLT</v>
      </c>
      <c r="P896" s="58" t="s">
        <v>3998</v>
      </c>
      <c r="Q896" s="58" t="s">
        <v>3999</v>
      </c>
      <c r="R896" s="55" t="s">
        <v>6865</v>
      </c>
      <c r="S896" s="55" t="s">
        <v>692</v>
      </c>
      <c r="T896" s="55" t="str">
        <f t="shared" si="82"/>
        <v>De Transportes</v>
      </c>
      <c r="U896" s="55" t="str">
        <f t="shared" si="82"/>
        <v>Ferroviários</v>
      </c>
      <c r="V896" s="55" t="str">
        <f t="shared" si="82"/>
        <v>Trens</v>
      </c>
      <c r="W896" s="54" t="s">
        <v>7259</v>
      </c>
      <c r="X896" s="84" t="str">
        <f t="shared" si="90"/>
        <v>Key-COD-CT-896</v>
      </c>
      <c r="Y896" s="84" t="s">
        <v>5466</v>
      </c>
      <c r="Z896" s="84" t="s">
        <v>692</v>
      </c>
      <c r="AA896" s="84" t="s">
        <v>7164</v>
      </c>
      <c r="AB896" s="84" t="s">
        <v>692</v>
      </c>
      <c r="AC896" s="84" t="s">
        <v>692</v>
      </c>
      <c r="AD896" s="54" t="s">
        <v>692</v>
      </c>
    </row>
    <row r="897" spans="1:30" ht="6.6" customHeight="1" x14ac:dyDescent="0.25">
      <c r="A897" s="85">
        <v>897</v>
      </c>
      <c r="B897" s="80" t="s">
        <v>5419</v>
      </c>
      <c r="C897" s="91" t="s">
        <v>5465</v>
      </c>
      <c r="D897" s="80" t="s">
        <v>3979</v>
      </c>
      <c r="E897" s="62" t="s">
        <v>3980</v>
      </c>
      <c r="F897" s="28" t="s">
        <v>4000</v>
      </c>
      <c r="G897" s="46" t="s">
        <v>692</v>
      </c>
      <c r="H897" s="46" t="s">
        <v>692</v>
      </c>
      <c r="I897" s="46" t="s">
        <v>692</v>
      </c>
      <c r="J897" s="46" t="s">
        <v>692</v>
      </c>
      <c r="K897" s="46" t="s">
        <v>692</v>
      </c>
      <c r="L897" s="63" t="str">
        <f t="shared" si="94"/>
        <v>De.Transportes</v>
      </c>
      <c r="M897" s="90" t="str">
        <f t="shared" si="95"/>
        <v>Ferroviários</v>
      </c>
      <c r="N897" s="90" t="str">
        <f t="shared" si="96"/>
        <v>Trens</v>
      </c>
      <c r="O897" s="55" t="str">
        <f t="shared" si="97"/>
        <v>Trem.de.Alta.Velocidade</v>
      </c>
      <c r="P897" s="58" t="s">
        <v>4001</v>
      </c>
      <c r="Q897" s="58" t="s">
        <v>4002</v>
      </c>
      <c r="R897" s="55" t="s">
        <v>6866</v>
      </c>
      <c r="S897" s="55" t="s">
        <v>692</v>
      </c>
      <c r="T897" s="55" t="str">
        <f t="shared" si="82"/>
        <v>De Transportes</v>
      </c>
      <c r="U897" s="55" t="str">
        <f t="shared" si="82"/>
        <v>Ferroviários</v>
      </c>
      <c r="V897" s="55" t="str">
        <f t="shared" si="82"/>
        <v>Trens</v>
      </c>
      <c r="W897" s="54" t="s">
        <v>7259</v>
      </c>
      <c r="X897" s="84" t="str">
        <f t="shared" si="90"/>
        <v>Key-COD-CT-897</v>
      </c>
      <c r="Y897" s="84" t="s">
        <v>5466</v>
      </c>
      <c r="Z897" s="84" t="s">
        <v>692</v>
      </c>
      <c r="AA897" s="84" t="s">
        <v>7164</v>
      </c>
      <c r="AB897" s="84" t="s">
        <v>692</v>
      </c>
      <c r="AC897" s="84" t="s">
        <v>692</v>
      </c>
      <c r="AD897" s="54" t="s">
        <v>692</v>
      </c>
    </row>
    <row r="898" spans="1:30" ht="6.6" customHeight="1" x14ac:dyDescent="0.25">
      <c r="A898" s="85">
        <v>898</v>
      </c>
      <c r="B898" s="80" t="s">
        <v>5419</v>
      </c>
      <c r="C898" s="91" t="s">
        <v>5465</v>
      </c>
      <c r="D898" s="80" t="s">
        <v>3979</v>
      </c>
      <c r="E898" s="62" t="s">
        <v>3980</v>
      </c>
      <c r="F898" s="28" t="s">
        <v>4003</v>
      </c>
      <c r="G898" s="46" t="s">
        <v>692</v>
      </c>
      <c r="H898" s="46" t="s">
        <v>692</v>
      </c>
      <c r="I898" s="46" t="s">
        <v>692</v>
      </c>
      <c r="J898" s="46" t="s">
        <v>692</v>
      </c>
      <c r="K898" s="46" t="s">
        <v>692</v>
      </c>
      <c r="L898" s="63" t="str">
        <f t="shared" si="94"/>
        <v>De.Transportes</v>
      </c>
      <c r="M898" s="90" t="str">
        <f t="shared" si="95"/>
        <v>Ferroviários</v>
      </c>
      <c r="N898" s="90" t="str">
        <f t="shared" si="96"/>
        <v>Trens</v>
      </c>
      <c r="O898" s="55" t="str">
        <f t="shared" si="97"/>
        <v>Trem.Bala</v>
      </c>
      <c r="P898" s="58" t="s">
        <v>4001</v>
      </c>
      <c r="Q898" s="58" t="s">
        <v>4002</v>
      </c>
      <c r="R898" s="55" t="s">
        <v>6866</v>
      </c>
      <c r="S898" s="55" t="s">
        <v>692</v>
      </c>
      <c r="T898" s="55" t="str">
        <f t="shared" si="82"/>
        <v>De Transportes</v>
      </c>
      <c r="U898" s="55" t="str">
        <f t="shared" si="82"/>
        <v>Ferroviários</v>
      </c>
      <c r="V898" s="55" t="str">
        <f t="shared" si="82"/>
        <v>Trens</v>
      </c>
      <c r="W898" s="54" t="s">
        <v>7259</v>
      </c>
      <c r="X898" s="84" t="str">
        <f t="shared" si="90"/>
        <v>Key-COD-CT-898</v>
      </c>
      <c r="Y898" s="84" t="s">
        <v>5466</v>
      </c>
      <c r="Z898" s="84" t="s">
        <v>692</v>
      </c>
      <c r="AA898" s="84" t="s">
        <v>7164</v>
      </c>
      <c r="AB898" s="84" t="s">
        <v>692</v>
      </c>
      <c r="AC898" s="84" t="s">
        <v>692</v>
      </c>
      <c r="AD898" s="54" t="s">
        <v>692</v>
      </c>
    </row>
    <row r="899" spans="1:30" ht="6.6" customHeight="1" x14ac:dyDescent="0.25">
      <c r="A899" s="85">
        <v>899</v>
      </c>
      <c r="B899" s="80" t="s">
        <v>5419</v>
      </c>
      <c r="C899" s="91" t="s">
        <v>5465</v>
      </c>
      <c r="D899" s="80" t="s">
        <v>3979</v>
      </c>
      <c r="E899" s="62" t="s">
        <v>3980</v>
      </c>
      <c r="F899" s="28" t="s">
        <v>4004</v>
      </c>
      <c r="G899" s="46" t="s">
        <v>692</v>
      </c>
      <c r="H899" s="46" t="s">
        <v>692</v>
      </c>
      <c r="I899" s="46" t="s">
        <v>692</v>
      </c>
      <c r="J899" s="46" t="s">
        <v>692</v>
      </c>
      <c r="K899" s="46" t="s">
        <v>692</v>
      </c>
      <c r="L899" s="63" t="str">
        <f t="shared" si="94"/>
        <v>De.Transportes</v>
      </c>
      <c r="M899" s="90" t="str">
        <f t="shared" si="95"/>
        <v>Ferroviários</v>
      </c>
      <c r="N899" s="90" t="str">
        <f t="shared" si="96"/>
        <v>Trens</v>
      </c>
      <c r="O899" s="55" t="str">
        <f t="shared" si="97"/>
        <v>MagLev</v>
      </c>
      <c r="P899" s="58" t="s">
        <v>4005</v>
      </c>
      <c r="Q899" s="58" t="s">
        <v>4006</v>
      </c>
      <c r="R899" s="55" t="s">
        <v>6867</v>
      </c>
      <c r="S899" s="55" t="s">
        <v>692</v>
      </c>
      <c r="T899" s="55" t="str">
        <f t="shared" si="82"/>
        <v>De Transportes</v>
      </c>
      <c r="U899" s="55" t="str">
        <f t="shared" si="82"/>
        <v>Ferroviários</v>
      </c>
      <c r="V899" s="55" t="str">
        <f t="shared" si="82"/>
        <v>Trens</v>
      </c>
      <c r="W899" s="54" t="s">
        <v>7259</v>
      </c>
      <c r="X899" s="84" t="str">
        <f t="shared" ref="X899:X962" si="98">CONCATENATE("Key-COD-CT-",A899)</f>
        <v>Key-COD-CT-899</v>
      </c>
      <c r="Y899" s="84" t="s">
        <v>5466</v>
      </c>
      <c r="Z899" s="84" t="s">
        <v>692</v>
      </c>
      <c r="AA899" s="84" t="s">
        <v>7165</v>
      </c>
      <c r="AB899" s="84" t="s">
        <v>692</v>
      </c>
      <c r="AC899" s="84" t="s">
        <v>692</v>
      </c>
      <c r="AD899" s="54" t="s">
        <v>692</v>
      </c>
    </row>
    <row r="900" spans="1:30" ht="6.6" customHeight="1" x14ac:dyDescent="0.25">
      <c r="A900" s="85">
        <v>900</v>
      </c>
      <c r="B900" s="80" t="s">
        <v>5419</v>
      </c>
      <c r="C900" s="91" t="s">
        <v>5465</v>
      </c>
      <c r="D900" s="80" t="s">
        <v>4007</v>
      </c>
      <c r="E900" s="62" t="s">
        <v>4008</v>
      </c>
      <c r="F900" s="28" t="s">
        <v>4009</v>
      </c>
      <c r="G900" s="46" t="s">
        <v>692</v>
      </c>
      <c r="H900" s="46" t="s">
        <v>692</v>
      </c>
      <c r="I900" s="46" t="s">
        <v>692</v>
      </c>
      <c r="J900" s="46" t="s">
        <v>692</v>
      </c>
      <c r="K900" s="46" t="s">
        <v>692</v>
      </c>
      <c r="L900" s="63" t="str">
        <f t="shared" si="94"/>
        <v>De.Transportes</v>
      </c>
      <c r="M900" s="90" t="str">
        <f t="shared" si="95"/>
        <v>Terrestres</v>
      </c>
      <c r="N900" s="90" t="str">
        <f t="shared" si="96"/>
        <v>Veículos Maquinária</v>
      </c>
      <c r="O900" s="55" t="str">
        <f t="shared" si="97"/>
        <v>Trator</v>
      </c>
      <c r="P900" s="58" t="s">
        <v>4010</v>
      </c>
      <c r="Q900" s="63" t="s">
        <v>4011</v>
      </c>
      <c r="R900" s="55" t="s">
        <v>6868</v>
      </c>
      <c r="S900" s="55" t="s">
        <v>692</v>
      </c>
      <c r="T900" s="55" t="str">
        <f t="shared" si="82"/>
        <v>De Transportes</v>
      </c>
      <c r="U900" s="55" t="str">
        <f t="shared" si="82"/>
        <v>Terrestres</v>
      </c>
      <c r="V900" s="55" t="str">
        <f t="shared" si="82"/>
        <v>Veículos Maquinária</v>
      </c>
      <c r="W900" s="54" t="s">
        <v>7259</v>
      </c>
      <c r="X900" s="84" t="str">
        <f t="shared" si="98"/>
        <v>Key-COD-CT-900</v>
      </c>
      <c r="Y900" s="84" t="s">
        <v>5466</v>
      </c>
      <c r="Z900" s="84" t="s">
        <v>692</v>
      </c>
      <c r="AA900" s="84" t="s">
        <v>7165</v>
      </c>
      <c r="AB900" s="84" t="s">
        <v>692</v>
      </c>
      <c r="AC900" s="84" t="s">
        <v>692</v>
      </c>
      <c r="AD900" s="54" t="s">
        <v>692</v>
      </c>
    </row>
    <row r="901" spans="1:30" ht="6.6" customHeight="1" x14ac:dyDescent="0.25">
      <c r="A901" s="85">
        <v>901</v>
      </c>
      <c r="B901" s="80" t="s">
        <v>5419</v>
      </c>
      <c r="C901" s="91" t="s">
        <v>5465</v>
      </c>
      <c r="D901" s="80" t="s">
        <v>4007</v>
      </c>
      <c r="E901" s="62" t="s">
        <v>4008</v>
      </c>
      <c r="F901" s="28" t="s">
        <v>4012</v>
      </c>
      <c r="G901" s="46" t="s">
        <v>692</v>
      </c>
      <c r="H901" s="46" t="s">
        <v>692</v>
      </c>
      <c r="I901" s="46" t="s">
        <v>692</v>
      </c>
      <c r="J901" s="46" t="s">
        <v>692</v>
      </c>
      <c r="K901" s="46" t="s">
        <v>692</v>
      </c>
      <c r="L901" s="63" t="str">
        <f t="shared" si="94"/>
        <v>De.Transportes</v>
      </c>
      <c r="M901" s="90" t="str">
        <f t="shared" si="95"/>
        <v>Terrestres</v>
      </c>
      <c r="N901" s="90" t="str">
        <f t="shared" si="96"/>
        <v>Veículos Maquinária</v>
      </c>
      <c r="O901" s="55" t="str">
        <f t="shared" si="97"/>
        <v xml:space="preserve">Escavadeira.Hidráulica </v>
      </c>
      <c r="P901" s="58" t="s">
        <v>4013</v>
      </c>
      <c r="Q901" s="63" t="s">
        <v>4014</v>
      </c>
      <c r="R901" s="55" t="s">
        <v>6869</v>
      </c>
      <c r="S901" s="55" t="s">
        <v>692</v>
      </c>
      <c r="T901" s="55" t="str">
        <f t="shared" si="82"/>
        <v>De Transportes</v>
      </c>
      <c r="U901" s="55" t="str">
        <f t="shared" ref="T901:V916" si="99">SUBSTITUTE(D901, ".", " ")</f>
        <v>Terrestres</v>
      </c>
      <c r="V901" s="55" t="str">
        <f t="shared" si="99"/>
        <v>Veículos Maquinária</v>
      </c>
      <c r="W901" s="54" t="s">
        <v>7259</v>
      </c>
      <c r="X901" s="84" t="str">
        <f t="shared" si="98"/>
        <v>Key-COD-CT-901</v>
      </c>
      <c r="Y901" s="84" t="s">
        <v>5466</v>
      </c>
      <c r="Z901" s="84" t="s">
        <v>692</v>
      </c>
      <c r="AA901" s="84" t="s">
        <v>7165</v>
      </c>
      <c r="AB901" s="84" t="s">
        <v>692</v>
      </c>
      <c r="AC901" s="84" t="s">
        <v>692</v>
      </c>
      <c r="AD901" s="54" t="s">
        <v>692</v>
      </c>
    </row>
    <row r="902" spans="1:30" ht="6.6" customHeight="1" x14ac:dyDescent="0.25">
      <c r="A902" s="85">
        <v>902</v>
      </c>
      <c r="B902" s="80" t="s">
        <v>5419</v>
      </c>
      <c r="C902" s="91" t="s">
        <v>5465</v>
      </c>
      <c r="D902" s="80" t="s">
        <v>4007</v>
      </c>
      <c r="E902" s="62" t="s">
        <v>4008</v>
      </c>
      <c r="F902" s="28" t="s">
        <v>4015</v>
      </c>
      <c r="G902" s="46" t="s">
        <v>692</v>
      </c>
      <c r="H902" s="46" t="s">
        <v>692</v>
      </c>
      <c r="I902" s="46" t="s">
        <v>692</v>
      </c>
      <c r="J902" s="46" t="s">
        <v>692</v>
      </c>
      <c r="K902" s="46" t="s">
        <v>692</v>
      </c>
      <c r="L902" s="63" t="str">
        <f t="shared" si="94"/>
        <v>De.Transportes</v>
      </c>
      <c r="M902" s="90" t="str">
        <f t="shared" si="95"/>
        <v>Terrestres</v>
      </c>
      <c r="N902" s="90" t="str">
        <f t="shared" si="96"/>
        <v>Veículos Maquinária</v>
      </c>
      <c r="O902" s="55" t="str">
        <f t="shared" si="97"/>
        <v>Retroescavadeira</v>
      </c>
      <c r="P902" s="58" t="s">
        <v>4016</v>
      </c>
      <c r="Q902" s="63" t="s">
        <v>4017</v>
      </c>
      <c r="R902" s="55" t="s">
        <v>6870</v>
      </c>
      <c r="S902" s="55" t="s">
        <v>692</v>
      </c>
      <c r="T902" s="55" t="str">
        <f t="shared" si="99"/>
        <v>De Transportes</v>
      </c>
      <c r="U902" s="55" t="str">
        <f t="shared" si="99"/>
        <v>Terrestres</v>
      </c>
      <c r="V902" s="55" t="str">
        <f t="shared" si="99"/>
        <v>Veículos Maquinária</v>
      </c>
      <c r="W902" s="54" t="s">
        <v>7259</v>
      </c>
      <c r="X902" s="84" t="str">
        <f t="shared" si="98"/>
        <v>Key-COD-CT-902</v>
      </c>
      <c r="Y902" s="84" t="s">
        <v>5466</v>
      </c>
      <c r="Z902" s="84" t="s">
        <v>692</v>
      </c>
      <c r="AA902" s="84" t="s">
        <v>7165</v>
      </c>
      <c r="AB902" s="84" t="s">
        <v>692</v>
      </c>
      <c r="AC902" s="84" t="s">
        <v>692</v>
      </c>
      <c r="AD902" s="54" t="s">
        <v>692</v>
      </c>
    </row>
    <row r="903" spans="1:30" ht="6.6" customHeight="1" x14ac:dyDescent="0.25">
      <c r="A903" s="85">
        <v>903</v>
      </c>
      <c r="B903" s="80" t="s">
        <v>5419</v>
      </c>
      <c r="C903" s="91" t="s">
        <v>5465</v>
      </c>
      <c r="D903" s="80" t="s">
        <v>4007</v>
      </c>
      <c r="E903" s="62" t="s">
        <v>4008</v>
      </c>
      <c r="F903" s="28" t="s">
        <v>4018</v>
      </c>
      <c r="G903" s="46" t="s">
        <v>692</v>
      </c>
      <c r="H903" s="46" t="s">
        <v>692</v>
      </c>
      <c r="I903" s="46" t="s">
        <v>692</v>
      </c>
      <c r="J903" s="46" t="s">
        <v>692</v>
      </c>
      <c r="K903" s="46" t="s">
        <v>692</v>
      </c>
      <c r="L903" s="63" t="str">
        <f t="shared" si="94"/>
        <v>De.Transportes</v>
      </c>
      <c r="M903" s="90" t="str">
        <f t="shared" si="95"/>
        <v>Terrestres</v>
      </c>
      <c r="N903" s="90" t="str">
        <f t="shared" si="96"/>
        <v>Veículos Maquinária</v>
      </c>
      <c r="O903" s="55" t="str">
        <f t="shared" si="97"/>
        <v>Motoniveladora</v>
      </c>
      <c r="P903" s="58" t="s">
        <v>4019</v>
      </c>
      <c r="Q903" s="63" t="s">
        <v>4020</v>
      </c>
      <c r="R903" s="55" t="s">
        <v>6871</v>
      </c>
      <c r="S903" s="55" t="s">
        <v>692</v>
      </c>
      <c r="T903" s="55" t="str">
        <f t="shared" si="99"/>
        <v>De Transportes</v>
      </c>
      <c r="U903" s="55" t="str">
        <f t="shared" si="99"/>
        <v>Terrestres</v>
      </c>
      <c r="V903" s="55" t="str">
        <f t="shared" si="99"/>
        <v>Veículos Maquinária</v>
      </c>
      <c r="W903" s="54" t="s">
        <v>7259</v>
      </c>
      <c r="X903" s="84" t="str">
        <f t="shared" si="98"/>
        <v>Key-COD-CT-903</v>
      </c>
      <c r="Y903" s="84" t="s">
        <v>5466</v>
      </c>
      <c r="Z903" s="84" t="s">
        <v>692</v>
      </c>
      <c r="AA903" s="84" t="s">
        <v>7165</v>
      </c>
      <c r="AB903" s="84" t="s">
        <v>692</v>
      </c>
      <c r="AC903" s="84" t="s">
        <v>692</v>
      </c>
      <c r="AD903" s="54" t="s">
        <v>692</v>
      </c>
    </row>
    <row r="904" spans="1:30" ht="6.6" customHeight="1" x14ac:dyDescent="0.25">
      <c r="A904" s="85">
        <v>904</v>
      </c>
      <c r="B904" s="80" t="s">
        <v>5419</v>
      </c>
      <c r="C904" s="91" t="s">
        <v>5465</v>
      </c>
      <c r="D904" s="80" t="s">
        <v>4007</v>
      </c>
      <c r="E904" s="62" t="s">
        <v>4008</v>
      </c>
      <c r="F904" s="28" t="s">
        <v>4021</v>
      </c>
      <c r="G904" s="46" t="s">
        <v>692</v>
      </c>
      <c r="H904" s="46" t="s">
        <v>692</v>
      </c>
      <c r="I904" s="46" t="s">
        <v>692</v>
      </c>
      <c r="J904" s="46" t="s">
        <v>692</v>
      </c>
      <c r="K904" s="46" t="s">
        <v>692</v>
      </c>
      <c r="L904" s="63" t="str">
        <f t="shared" si="94"/>
        <v>De.Transportes</v>
      </c>
      <c r="M904" s="90" t="str">
        <f t="shared" si="95"/>
        <v>Terrestres</v>
      </c>
      <c r="N904" s="90" t="str">
        <f t="shared" si="96"/>
        <v>Veículos Maquinária</v>
      </c>
      <c r="O904" s="55" t="str">
        <f t="shared" si="97"/>
        <v>Empilhadeira</v>
      </c>
      <c r="P904" s="58" t="s">
        <v>4022</v>
      </c>
      <c r="Q904" s="63" t="s">
        <v>4023</v>
      </c>
      <c r="R904" s="55" t="s">
        <v>6872</v>
      </c>
      <c r="S904" s="55" t="s">
        <v>692</v>
      </c>
      <c r="T904" s="55" t="str">
        <f t="shared" si="99"/>
        <v>De Transportes</v>
      </c>
      <c r="U904" s="55" t="str">
        <f t="shared" si="99"/>
        <v>Terrestres</v>
      </c>
      <c r="V904" s="55" t="str">
        <f t="shared" si="99"/>
        <v>Veículos Maquinária</v>
      </c>
      <c r="W904" s="54" t="s">
        <v>7259</v>
      </c>
      <c r="X904" s="84" t="str">
        <f t="shared" si="98"/>
        <v>Key-COD-CT-904</v>
      </c>
      <c r="Y904" s="84" t="s">
        <v>5466</v>
      </c>
      <c r="Z904" s="84" t="s">
        <v>692</v>
      </c>
      <c r="AA904" s="84" t="s">
        <v>7165</v>
      </c>
      <c r="AB904" s="84" t="s">
        <v>692</v>
      </c>
      <c r="AC904" s="84" t="s">
        <v>692</v>
      </c>
      <c r="AD904" s="54" t="s">
        <v>692</v>
      </c>
    </row>
    <row r="905" spans="1:30" ht="6.6" customHeight="1" x14ac:dyDescent="0.25">
      <c r="A905" s="85">
        <v>905</v>
      </c>
      <c r="B905" s="80" t="s">
        <v>5419</v>
      </c>
      <c r="C905" s="91" t="s">
        <v>5465</v>
      </c>
      <c r="D905" s="80" t="s">
        <v>4007</v>
      </c>
      <c r="E905" s="62" t="s">
        <v>4008</v>
      </c>
      <c r="F905" s="28" t="s">
        <v>4024</v>
      </c>
      <c r="G905" s="46" t="s">
        <v>692</v>
      </c>
      <c r="H905" s="46" t="s">
        <v>692</v>
      </c>
      <c r="I905" s="46" t="s">
        <v>692</v>
      </c>
      <c r="J905" s="46" t="s">
        <v>692</v>
      </c>
      <c r="K905" s="46" t="s">
        <v>692</v>
      </c>
      <c r="L905" s="63" t="str">
        <f t="shared" si="94"/>
        <v>De.Transportes</v>
      </c>
      <c r="M905" s="90" t="str">
        <f t="shared" si="95"/>
        <v>Terrestres</v>
      </c>
      <c r="N905" s="90" t="str">
        <f t="shared" si="96"/>
        <v>Veículos Maquinária</v>
      </c>
      <c r="O905" s="55" t="str">
        <f t="shared" si="97"/>
        <v>Munk</v>
      </c>
      <c r="P905" s="58" t="s">
        <v>4025</v>
      </c>
      <c r="Q905" s="63" t="s">
        <v>4026</v>
      </c>
      <c r="R905" s="55" t="s">
        <v>6873</v>
      </c>
      <c r="S905" s="55" t="s">
        <v>692</v>
      </c>
      <c r="T905" s="55" t="str">
        <f t="shared" si="99"/>
        <v>De Transportes</v>
      </c>
      <c r="U905" s="55" t="str">
        <f t="shared" si="99"/>
        <v>Terrestres</v>
      </c>
      <c r="V905" s="55" t="str">
        <f t="shared" si="99"/>
        <v>Veículos Maquinária</v>
      </c>
      <c r="W905" s="54" t="s">
        <v>7259</v>
      </c>
      <c r="X905" s="84" t="str">
        <f t="shared" si="98"/>
        <v>Key-COD-CT-905</v>
      </c>
      <c r="Y905" s="84" t="s">
        <v>5466</v>
      </c>
      <c r="Z905" s="84" t="s">
        <v>692</v>
      </c>
      <c r="AA905" s="84" t="s">
        <v>7165</v>
      </c>
      <c r="AB905" s="84" t="s">
        <v>692</v>
      </c>
      <c r="AC905" s="84" t="s">
        <v>692</v>
      </c>
      <c r="AD905" s="54" t="s">
        <v>692</v>
      </c>
    </row>
    <row r="906" spans="1:30" ht="6.6" customHeight="1" x14ac:dyDescent="0.25">
      <c r="A906" s="85">
        <v>906</v>
      </c>
      <c r="B906" s="80" t="s">
        <v>5419</v>
      </c>
      <c r="C906" s="91" t="s">
        <v>5465</v>
      </c>
      <c r="D906" s="80" t="s">
        <v>4007</v>
      </c>
      <c r="E906" s="64" t="s">
        <v>4027</v>
      </c>
      <c r="F906" s="28" t="s">
        <v>4028</v>
      </c>
      <c r="G906" s="46" t="s">
        <v>692</v>
      </c>
      <c r="H906" s="46" t="s">
        <v>692</v>
      </c>
      <c r="I906" s="46" t="s">
        <v>692</v>
      </c>
      <c r="J906" s="46" t="s">
        <v>692</v>
      </c>
      <c r="K906" s="46" t="s">
        <v>692</v>
      </c>
      <c r="L906" s="63" t="str">
        <f t="shared" si="94"/>
        <v>De.Transportes</v>
      </c>
      <c r="M906" s="90" t="str">
        <f t="shared" si="95"/>
        <v>Terrestres</v>
      </c>
      <c r="N906" s="90" t="str">
        <f t="shared" si="96"/>
        <v>Guindastes</v>
      </c>
      <c r="O906" s="55" t="str">
        <f t="shared" si="97"/>
        <v>Guindaste.Telescópico</v>
      </c>
      <c r="P906" s="58" t="s">
        <v>4029</v>
      </c>
      <c r="Q906" s="63" t="s">
        <v>4030</v>
      </c>
      <c r="R906" s="55" t="s">
        <v>6874</v>
      </c>
      <c r="S906" s="55" t="s">
        <v>692</v>
      </c>
      <c r="T906" s="55" t="str">
        <f t="shared" si="99"/>
        <v>De Transportes</v>
      </c>
      <c r="U906" s="55" t="str">
        <f t="shared" si="99"/>
        <v>Terrestres</v>
      </c>
      <c r="V906" s="55" t="str">
        <f t="shared" si="99"/>
        <v>Guindastes</v>
      </c>
      <c r="W906" s="54" t="s">
        <v>7259</v>
      </c>
      <c r="X906" s="84" t="str">
        <f t="shared" si="98"/>
        <v>Key-COD-CT-906</v>
      </c>
      <c r="Y906" s="84" t="s">
        <v>5466</v>
      </c>
      <c r="Z906" s="84" t="s">
        <v>692</v>
      </c>
      <c r="AA906" s="84" t="s">
        <v>7235</v>
      </c>
      <c r="AB906" s="84" t="s">
        <v>692</v>
      </c>
      <c r="AC906" s="84" t="s">
        <v>692</v>
      </c>
      <c r="AD906" s="54" t="s">
        <v>692</v>
      </c>
    </row>
    <row r="907" spans="1:30" ht="6.6" customHeight="1" x14ac:dyDescent="0.25">
      <c r="A907" s="85">
        <v>907</v>
      </c>
      <c r="B907" s="80" t="s">
        <v>5419</v>
      </c>
      <c r="C907" s="91" t="s">
        <v>5465</v>
      </c>
      <c r="D907" s="80" t="s">
        <v>4007</v>
      </c>
      <c r="E907" s="64" t="s">
        <v>4027</v>
      </c>
      <c r="F907" s="89" t="s">
        <v>4031</v>
      </c>
      <c r="G907" s="92" t="s">
        <v>692</v>
      </c>
      <c r="H907" s="92" t="s">
        <v>692</v>
      </c>
      <c r="I907" s="92" t="s">
        <v>692</v>
      </c>
      <c r="J907" s="92" t="s">
        <v>692</v>
      </c>
      <c r="K907" s="92" t="s">
        <v>692</v>
      </c>
      <c r="L907" s="63" t="str">
        <f t="shared" si="94"/>
        <v>De.Transportes</v>
      </c>
      <c r="M907" s="90" t="str">
        <f t="shared" si="95"/>
        <v>Terrestres</v>
      </c>
      <c r="N907" s="90" t="str">
        <f t="shared" si="96"/>
        <v>Guindastes</v>
      </c>
      <c r="O907" s="55" t="str">
        <f t="shared" si="97"/>
        <v>Guindaste.Móvel</v>
      </c>
      <c r="P907" s="55" t="s">
        <v>4032</v>
      </c>
      <c r="Q907" s="63" t="s">
        <v>4033</v>
      </c>
      <c r="R907" s="55" t="s">
        <v>6875</v>
      </c>
      <c r="S907" s="55" t="s">
        <v>692</v>
      </c>
      <c r="T907" s="55" t="str">
        <f t="shared" si="99"/>
        <v>De Transportes</v>
      </c>
      <c r="U907" s="55" t="str">
        <f t="shared" si="99"/>
        <v>Terrestres</v>
      </c>
      <c r="V907" s="55" t="str">
        <f t="shared" si="99"/>
        <v>Guindastes</v>
      </c>
      <c r="W907" s="54" t="s">
        <v>7259</v>
      </c>
      <c r="X907" s="84" t="str">
        <f t="shared" si="98"/>
        <v>Key-COD-CT-907</v>
      </c>
      <c r="Y907" s="84" t="s">
        <v>5459</v>
      </c>
      <c r="Z907" s="84" t="s">
        <v>692</v>
      </c>
      <c r="AA907" s="84" t="s">
        <v>7235</v>
      </c>
      <c r="AB907" s="84" t="s">
        <v>692</v>
      </c>
      <c r="AC907" s="84" t="s">
        <v>692</v>
      </c>
      <c r="AD907" s="54" t="s">
        <v>692</v>
      </c>
    </row>
    <row r="908" spans="1:30" ht="6.6" customHeight="1" x14ac:dyDescent="0.25">
      <c r="A908" s="85">
        <v>908</v>
      </c>
      <c r="B908" s="80" t="s">
        <v>5419</v>
      </c>
      <c r="C908" s="91" t="s">
        <v>5465</v>
      </c>
      <c r="D908" s="80" t="s">
        <v>4007</v>
      </c>
      <c r="E908" s="64" t="s">
        <v>4027</v>
      </c>
      <c r="F908" s="89" t="s">
        <v>4034</v>
      </c>
      <c r="G908" s="92" t="s">
        <v>692</v>
      </c>
      <c r="H908" s="92" t="s">
        <v>692</v>
      </c>
      <c r="I908" s="92" t="s">
        <v>692</v>
      </c>
      <c r="J908" s="92" t="s">
        <v>692</v>
      </c>
      <c r="K908" s="92" t="s">
        <v>692</v>
      </c>
      <c r="L908" s="63" t="str">
        <f t="shared" si="94"/>
        <v>De.Transportes</v>
      </c>
      <c r="M908" s="90" t="str">
        <f t="shared" si="95"/>
        <v>Terrestres</v>
      </c>
      <c r="N908" s="90" t="str">
        <f t="shared" si="96"/>
        <v>Guindastes</v>
      </c>
      <c r="O908" s="55" t="str">
        <f t="shared" si="97"/>
        <v>Guindaste.Torre</v>
      </c>
      <c r="P908" s="55" t="s">
        <v>4035</v>
      </c>
      <c r="Q908" s="63" t="s">
        <v>4036</v>
      </c>
      <c r="R908" s="55" t="s">
        <v>6876</v>
      </c>
      <c r="S908" s="55" t="s">
        <v>692</v>
      </c>
      <c r="T908" s="55" t="str">
        <f t="shared" si="99"/>
        <v>De Transportes</v>
      </c>
      <c r="U908" s="55" t="str">
        <f t="shared" si="99"/>
        <v>Terrestres</v>
      </c>
      <c r="V908" s="55" t="str">
        <f t="shared" si="99"/>
        <v>Guindastes</v>
      </c>
      <c r="W908" s="54" t="s">
        <v>7259</v>
      </c>
      <c r="X908" s="84" t="str">
        <f t="shared" si="98"/>
        <v>Key-COD-CT-908</v>
      </c>
      <c r="Y908" s="84" t="s">
        <v>5459</v>
      </c>
      <c r="Z908" s="84" t="s">
        <v>692</v>
      </c>
      <c r="AA908" s="84" t="s">
        <v>7235</v>
      </c>
      <c r="AB908" s="84" t="s">
        <v>692</v>
      </c>
      <c r="AC908" s="84" t="s">
        <v>692</v>
      </c>
      <c r="AD908" s="54" t="s">
        <v>692</v>
      </c>
    </row>
    <row r="909" spans="1:30" ht="6.6" customHeight="1" x14ac:dyDescent="0.25">
      <c r="A909" s="85">
        <v>909</v>
      </c>
      <c r="B909" s="80" t="s">
        <v>5419</v>
      </c>
      <c r="C909" s="91" t="s">
        <v>5465</v>
      </c>
      <c r="D909" s="80" t="s">
        <v>4007</v>
      </c>
      <c r="E909" s="64" t="s">
        <v>4027</v>
      </c>
      <c r="F909" s="89" t="s">
        <v>4037</v>
      </c>
      <c r="G909" s="92" t="s">
        <v>692</v>
      </c>
      <c r="H909" s="92" t="s">
        <v>692</v>
      </c>
      <c r="I909" s="92" t="s">
        <v>692</v>
      </c>
      <c r="J909" s="92" t="s">
        <v>692</v>
      </c>
      <c r="K909" s="92" t="s">
        <v>692</v>
      </c>
      <c r="L909" s="63" t="str">
        <f t="shared" si="94"/>
        <v>De.Transportes</v>
      </c>
      <c r="M909" s="90" t="str">
        <f t="shared" si="95"/>
        <v>Terrestres</v>
      </c>
      <c r="N909" s="90" t="str">
        <f t="shared" si="96"/>
        <v>Guindastes</v>
      </c>
      <c r="O909" s="55" t="str">
        <f t="shared" si="97"/>
        <v>Guindaste.Lança</v>
      </c>
      <c r="P909" s="55" t="s">
        <v>4038</v>
      </c>
      <c r="Q909" s="63" t="s">
        <v>4039</v>
      </c>
      <c r="R909" s="55" t="s">
        <v>6877</v>
      </c>
      <c r="S909" s="55" t="s">
        <v>692</v>
      </c>
      <c r="T909" s="55" t="str">
        <f t="shared" si="99"/>
        <v>De Transportes</v>
      </c>
      <c r="U909" s="55" t="str">
        <f t="shared" si="99"/>
        <v>Terrestres</v>
      </c>
      <c r="V909" s="55" t="str">
        <f t="shared" si="99"/>
        <v>Guindastes</v>
      </c>
      <c r="W909" s="54" t="s">
        <v>7259</v>
      </c>
      <c r="X909" s="84" t="str">
        <f t="shared" si="98"/>
        <v>Key-COD-CT-909</v>
      </c>
      <c r="Y909" s="84" t="s">
        <v>5459</v>
      </c>
      <c r="Z909" s="84" t="s">
        <v>692</v>
      </c>
      <c r="AA909" s="84" t="s">
        <v>7235</v>
      </c>
      <c r="AB909" s="84" t="s">
        <v>692</v>
      </c>
      <c r="AC909" s="84" t="s">
        <v>692</v>
      </c>
      <c r="AD909" s="54" t="s">
        <v>692</v>
      </c>
    </row>
    <row r="910" spans="1:30" ht="6.6" customHeight="1" x14ac:dyDescent="0.25">
      <c r="A910" s="85">
        <v>910</v>
      </c>
      <c r="B910" s="80" t="s">
        <v>5419</v>
      </c>
      <c r="C910" s="91" t="s">
        <v>5465</v>
      </c>
      <c r="D910" s="80" t="s">
        <v>4007</v>
      </c>
      <c r="E910" s="64" t="s">
        <v>4027</v>
      </c>
      <c r="F910" s="89" t="s">
        <v>4040</v>
      </c>
      <c r="G910" s="92" t="s">
        <v>692</v>
      </c>
      <c r="H910" s="92" t="s">
        <v>692</v>
      </c>
      <c r="I910" s="92" t="s">
        <v>692</v>
      </c>
      <c r="J910" s="92" t="s">
        <v>692</v>
      </c>
      <c r="K910" s="92" t="s">
        <v>692</v>
      </c>
      <c r="L910" s="63" t="str">
        <f t="shared" si="94"/>
        <v>De.Transportes</v>
      </c>
      <c r="M910" s="90" t="str">
        <f t="shared" si="95"/>
        <v>Terrestres</v>
      </c>
      <c r="N910" s="90" t="str">
        <f t="shared" si="96"/>
        <v>Guindastes</v>
      </c>
      <c r="O910" s="55" t="str">
        <f t="shared" si="97"/>
        <v>Guindaste.Ponte</v>
      </c>
      <c r="P910" s="55" t="s">
        <v>4041</v>
      </c>
      <c r="Q910" s="63" t="s">
        <v>4042</v>
      </c>
      <c r="R910" s="55" t="s">
        <v>6878</v>
      </c>
      <c r="S910" s="55" t="s">
        <v>692</v>
      </c>
      <c r="T910" s="55" t="str">
        <f t="shared" si="99"/>
        <v>De Transportes</v>
      </c>
      <c r="U910" s="55" t="str">
        <f t="shared" si="99"/>
        <v>Terrestres</v>
      </c>
      <c r="V910" s="55" t="str">
        <f t="shared" si="99"/>
        <v>Guindastes</v>
      </c>
      <c r="W910" s="54" t="s">
        <v>7259</v>
      </c>
      <c r="X910" s="84" t="str">
        <f t="shared" si="98"/>
        <v>Key-COD-CT-910</v>
      </c>
      <c r="Y910" s="84" t="s">
        <v>5459</v>
      </c>
      <c r="Z910" s="84" t="s">
        <v>692</v>
      </c>
      <c r="AA910" s="84" t="s">
        <v>7166</v>
      </c>
      <c r="AB910" s="84" t="s">
        <v>692</v>
      </c>
      <c r="AC910" s="84" t="s">
        <v>692</v>
      </c>
      <c r="AD910" s="54" t="s">
        <v>692</v>
      </c>
    </row>
    <row r="911" spans="1:30" ht="6.6" customHeight="1" x14ac:dyDescent="0.25">
      <c r="A911" s="85">
        <v>911</v>
      </c>
      <c r="B911" s="80" t="s">
        <v>5419</v>
      </c>
      <c r="C911" s="91" t="s">
        <v>5465</v>
      </c>
      <c r="D911" s="80" t="s">
        <v>4007</v>
      </c>
      <c r="E911" s="62" t="s">
        <v>4043</v>
      </c>
      <c r="F911" s="28" t="s">
        <v>4044</v>
      </c>
      <c r="G911" s="46" t="s">
        <v>692</v>
      </c>
      <c r="H911" s="46" t="s">
        <v>692</v>
      </c>
      <c r="I911" s="46" t="s">
        <v>692</v>
      </c>
      <c r="J911" s="46" t="s">
        <v>692</v>
      </c>
      <c r="K911" s="46" t="s">
        <v>692</v>
      </c>
      <c r="L911" s="63" t="str">
        <f t="shared" si="94"/>
        <v>De.Transportes</v>
      </c>
      <c r="M911" s="90" t="str">
        <f t="shared" si="95"/>
        <v>Terrestres</v>
      </c>
      <c r="N911" s="90" t="str">
        <f t="shared" si="96"/>
        <v>Veículos Pesados</v>
      </c>
      <c r="O911" s="55" t="str">
        <f t="shared" si="97"/>
        <v>Caminhão.Baú</v>
      </c>
      <c r="P911" s="58" t="s">
        <v>4045</v>
      </c>
      <c r="Q911" s="63" t="s">
        <v>4046</v>
      </c>
      <c r="R911" s="55" t="s">
        <v>6879</v>
      </c>
      <c r="S911" s="55" t="s">
        <v>692</v>
      </c>
      <c r="T911" s="55" t="str">
        <f t="shared" si="99"/>
        <v>De Transportes</v>
      </c>
      <c r="U911" s="55" t="str">
        <f t="shared" si="99"/>
        <v>Terrestres</v>
      </c>
      <c r="V911" s="55" t="str">
        <f t="shared" si="99"/>
        <v>Veículos Pesados</v>
      </c>
      <c r="W911" s="54" t="s">
        <v>7259</v>
      </c>
      <c r="X911" s="84" t="str">
        <f t="shared" si="98"/>
        <v>Key-COD-CT-911</v>
      </c>
      <c r="Y911" s="84" t="s">
        <v>5466</v>
      </c>
      <c r="Z911" s="84" t="s">
        <v>692</v>
      </c>
      <c r="AA911" s="84" t="s">
        <v>7166</v>
      </c>
      <c r="AB911" s="84" t="s">
        <v>692</v>
      </c>
      <c r="AC911" s="84" t="s">
        <v>692</v>
      </c>
      <c r="AD911" s="54" t="s">
        <v>692</v>
      </c>
    </row>
    <row r="912" spans="1:30" ht="6.6" customHeight="1" x14ac:dyDescent="0.25">
      <c r="A912" s="85">
        <v>912</v>
      </c>
      <c r="B912" s="80" t="s">
        <v>5419</v>
      </c>
      <c r="C912" s="91" t="s">
        <v>5465</v>
      </c>
      <c r="D912" s="80" t="s">
        <v>4007</v>
      </c>
      <c r="E912" s="62" t="s">
        <v>4043</v>
      </c>
      <c r="F912" s="28" t="s">
        <v>4047</v>
      </c>
      <c r="G912" s="46" t="s">
        <v>692</v>
      </c>
      <c r="H912" s="46" t="s">
        <v>692</v>
      </c>
      <c r="I912" s="46" t="s">
        <v>692</v>
      </c>
      <c r="J912" s="46" t="s">
        <v>692</v>
      </c>
      <c r="K912" s="46" t="s">
        <v>692</v>
      </c>
      <c r="L912" s="63" t="str">
        <f t="shared" si="94"/>
        <v>De.Transportes</v>
      </c>
      <c r="M912" s="90" t="str">
        <f t="shared" si="95"/>
        <v>Terrestres</v>
      </c>
      <c r="N912" s="90" t="str">
        <f t="shared" si="96"/>
        <v>Veículos Pesados</v>
      </c>
      <c r="O912" s="55" t="str">
        <f t="shared" si="97"/>
        <v>Caminhão.Tanque</v>
      </c>
      <c r="P912" s="58" t="s">
        <v>4048</v>
      </c>
      <c r="Q912" s="63" t="s">
        <v>4049</v>
      </c>
      <c r="R912" s="55" t="s">
        <v>6880</v>
      </c>
      <c r="S912" s="55" t="s">
        <v>692</v>
      </c>
      <c r="T912" s="55" t="str">
        <f t="shared" si="99"/>
        <v>De Transportes</v>
      </c>
      <c r="U912" s="55" t="str">
        <f t="shared" si="99"/>
        <v>Terrestres</v>
      </c>
      <c r="V912" s="55" t="str">
        <f t="shared" si="99"/>
        <v>Veículos Pesados</v>
      </c>
      <c r="W912" s="54" t="s">
        <v>7259</v>
      </c>
      <c r="X912" s="84" t="str">
        <f t="shared" si="98"/>
        <v>Key-COD-CT-912</v>
      </c>
      <c r="Y912" s="84" t="s">
        <v>5466</v>
      </c>
      <c r="Z912" s="84" t="s">
        <v>692</v>
      </c>
      <c r="AA912" s="84" t="s">
        <v>7166</v>
      </c>
      <c r="AB912" s="84" t="s">
        <v>692</v>
      </c>
      <c r="AC912" s="84" t="s">
        <v>692</v>
      </c>
      <c r="AD912" s="54" t="s">
        <v>692</v>
      </c>
    </row>
    <row r="913" spans="1:30" ht="6.6" customHeight="1" x14ac:dyDescent="0.25">
      <c r="A913" s="85">
        <v>913</v>
      </c>
      <c r="B913" s="80" t="s">
        <v>5419</v>
      </c>
      <c r="C913" s="91" t="s">
        <v>5465</v>
      </c>
      <c r="D913" s="80" t="s">
        <v>4007</v>
      </c>
      <c r="E913" s="62" t="s">
        <v>4043</v>
      </c>
      <c r="F913" s="28" t="s">
        <v>4050</v>
      </c>
      <c r="G913" s="46" t="s">
        <v>692</v>
      </c>
      <c r="H913" s="46" t="s">
        <v>692</v>
      </c>
      <c r="I913" s="46" t="s">
        <v>692</v>
      </c>
      <c r="J913" s="46" t="s">
        <v>692</v>
      </c>
      <c r="K913" s="46" t="s">
        <v>692</v>
      </c>
      <c r="L913" s="63" t="str">
        <f t="shared" si="94"/>
        <v>De.Transportes</v>
      </c>
      <c r="M913" s="90" t="str">
        <f t="shared" si="95"/>
        <v>Terrestres</v>
      </c>
      <c r="N913" s="90" t="str">
        <f t="shared" si="96"/>
        <v>Veículos Pesados</v>
      </c>
      <c r="O913" s="55" t="str">
        <f t="shared" si="97"/>
        <v>Caminhão.Caçamba</v>
      </c>
      <c r="P913" s="58" t="s">
        <v>4051</v>
      </c>
      <c r="Q913" s="63" t="s">
        <v>4052</v>
      </c>
      <c r="R913" s="55" t="s">
        <v>6881</v>
      </c>
      <c r="S913" s="55" t="s">
        <v>692</v>
      </c>
      <c r="T913" s="55" t="str">
        <f t="shared" si="99"/>
        <v>De Transportes</v>
      </c>
      <c r="U913" s="55" t="str">
        <f t="shared" si="99"/>
        <v>Terrestres</v>
      </c>
      <c r="V913" s="55" t="str">
        <f t="shared" si="99"/>
        <v>Veículos Pesados</v>
      </c>
      <c r="W913" s="54" t="s">
        <v>7259</v>
      </c>
      <c r="X913" s="84" t="str">
        <f t="shared" si="98"/>
        <v>Key-COD-CT-913</v>
      </c>
      <c r="Y913" s="84" t="s">
        <v>5466</v>
      </c>
      <c r="Z913" s="84" t="s">
        <v>692</v>
      </c>
      <c r="AA913" s="84" t="s">
        <v>7166</v>
      </c>
      <c r="AB913" s="84" t="s">
        <v>692</v>
      </c>
      <c r="AC913" s="84" t="s">
        <v>692</v>
      </c>
      <c r="AD913" s="54" t="s">
        <v>692</v>
      </c>
    </row>
    <row r="914" spans="1:30" ht="6.6" customHeight="1" x14ac:dyDescent="0.25">
      <c r="A914" s="85">
        <v>914</v>
      </c>
      <c r="B914" s="80" t="s">
        <v>5419</v>
      </c>
      <c r="C914" s="91" t="s">
        <v>5465</v>
      </c>
      <c r="D914" s="80" t="s">
        <v>4007</v>
      </c>
      <c r="E914" s="62" t="s">
        <v>4043</v>
      </c>
      <c r="F914" s="28" t="s">
        <v>4053</v>
      </c>
      <c r="G914" s="46" t="s">
        <v>692</v>
      </c>
      <c r="H914" s="46" t="s">
        <v>692</v>
      </c>
      <c r="I914" s="46" t="s">
        <v>692</v>
      </c>
      <c r="J914" s="46" t="s">
        <v>692</v>
      </c>
      <c r="K914" s="46" t="s">
        <v>692</v>
      </c>
      <c r="L914" s="63" t="str">
        <f t="shared" si="94"/>
        <v>De.Transportes</v>
      </c>
      <c r="M914" s="90" t="str">
        <f t="shared" si="95"/>
        <v>Terrestres</v>
      </c>
      <c r="N914" s="90" t="str">
        <f t="shared" si="96"/>
        <v>Veículos Pesados</v>
      </c>
      <c r="O914" s="55" t="str">
        <f t="shared" si="97"/>
        <v>Caminhão.BiTrem</v>
      </c>
      <c r="P914" s="58" t="s">
        <v>4054</v>
      </c>
      <c r="Q914" s="63" t="s">
        <v>4055</v>
      </c>
      <c r="R914" s="55" t="s">
        <v>6882</v>
      </c>
      <c r="S914" s="55" t="s">
        <v>692</v>
      </c>
      <c r="T914" s="55" t="str">
        <f t="shared" si="99"/>
        <v>De Transportes</v>
      </c>
      <c r="U914" s="55" t="str">
        <f t="shared" si="99"/>
        <v>Terrestres</v>
      </c>
      <c r="V914" s="55" t="str">
        <f t="shared" si="99"/>
        <v>Veículos Pesados</v>
      </c>
      <c r="W914" s="54" t="s">
        <v>7259</v>
      </c>
      <c r="X914" s="84" t="str">
        <f t="shared" si="98"/>
        <v>Key-COD-CT-914</v>
      </c>
      <c r="Y914" s="84" t="s">
        <v>5466</v>
      </c>
      <c r="Z914" s="84" t="s">
        <v>692</v>
      </c>
      <c r="AA914" s="84" t="s">
        <v>7166</v>
      </c>
      <c r="AB914" s="84" t="s">
        <v>692</v>
      </c>
      <c r="AC914" s="84" t="s">
        <v>692</v>
      </c>
      <c r="AD914" s="54" t="s">
        <v>692</v>
      </c>
    </row>
    <row r="915" spans="1:30" ht="6.6" customHeight="1" x14ac:dyDescent="0.25">
      <c r="A915" s="85">
        <v>915</v>
      </c>
      <c r="B915" s="80" t="s">
        <v>5419</v>
      </c>
      <c r="C915" s="91" t="s">
        <v>5465</v>
      </c>
      <c r="D915" s="80" t="s">
        <v>4007</v>
      </c>
      <c r="E915" s="62" t="s">
        <v>4043</v>
      </c>
      <c r="F915" s="28" t="s">
        <v>4056</v>
      </c>
      <c r="G915" s="46" t="s">
        <v>692</v>
      </c>
      <c r="H915" s="46" t="s">
        <v>692</v>
      </c>
      <c r="I915" s="46" t="s">
        <v>692</v>
      </c>
      <c r="J915" s="46" t="s">
        <v>692</v>
      </c>
      <c r="K915" s="46" t="s">
        <v>692</v>
      </c>
      <c r="L915" s="63" t="str">
        <f t="shared" si="94"/>
        <v>De.Transportes</v>
      </c>
      <c r="M915" s="90" t="str">
        <f t="shared" si="95"/>
        <v>Terrestres</v>
      </c>
      <c r="N915" s="90" t="str">
        <f t="shared" si="96"/>
        <v>Veículos Pesados</v>
      </c>
      <c r="O915" s="55" t="str">
        <f t="shared" si="97"/>
        <v>Caminhão.Carroceria</v>
      </c>
      <c r="P915" s="58" t="s">
        <v>4057</v>
      </c>
      <c r="Q915" s="63" t="s">
        <v>4058</v>
      </c>
      <c r="R915" s="55" t="s">
        <v>6883</v>
      </c>
      <c r="S915" s="55" t="s">
        <v>692</v>
      </c>
      <c r="T915" s="55" t="str">
        <f t="shared" si="99"/>
        <v>De Transportes</v>
      </c>
      <c r="U915" s="55" t="str">
        <f t="shared" si="99"/>
        <v>Terrestres</v>
      </c>
      <c r="V915" s="55" t="str">
        <f t="shared" si="99"/>
        <v>Veículos Pesados</v>
      </c>
      <c r="W915" s="54" t="s">
        <v>7259</v>
      </c>
      <c r="X915" s="84" t="str">
        <f t="shared" si="98"/>
        <v>Key-COD-CT-915</v>
      </c>
      <c r="Y915" s="84" t="s">
        <v>5466</v>
      </c>
      <c r="Z915" s="84" t="s">
        <v>692</v>
      </c>
      <c r="AA915" s="84" t="s">
        <v>7166</v>
      </c>
      <c r="AB915" s="84" t="s">
        <v>692</v>
      </c>
      <c r="AC915" s="84" t="s">
        <v>692</v>
      </c>
      <c r="AD915" s="54" t="s">
        <v>692</v>
      </c>
    </row>
    <row r="916" spans="1:30" ht="6.6" customHeight="1" x14ac:dyDescent="0.25">
      <c r="A916" s="85">
        <v>916</v>
      </c>
      <c r="B916" s="80" t="s">
        <v>5419</v>
      </c>
      <c r="C916" s="91" t="s">
        <v>5465</v>
      </c>
      <c r="D916" s="80" t="s">
        <v>4007</v>
      </c>
      <c r="E916" s="62" t="s">
        <v>4043</v>
      </c>
      <c r="F916" s="28" t="s">
        <v>4059</v>
      </c>
      <c r="G916" s="46" t="s">
        <v>692</v>
      </c>
      <c r="H916" s="46" t="s">
        <v>692</v>
      </c>
      <c r="I916" s="46" t="s">
        <v>692</v>
      </c>
      <c r="J916" s="46" t="s">
        <v>692</v>
      </c>
      <c r="K916" s="46" t="s">
        <v>692</v>
      </c>
      <c r="L916" s="63" t="str">
        <f t="shared" si="94"/>
        <v>De.Transportes</v>
      </c>
      <c r="M916" s="90" t="str">
        <f t="shared" si="95"/>
        <v>Terrestres</v>
      </c>
      <c r="N916" s="90" t="str">
        <f t="shared" si="96"/>
        <v>Veículos Pesados</v>
      </c>
      <c r="O916" s="55" t="str">
        <f t="shared" si="97"/>
        <v>Caminhão.Graneleiro</v>
      </c>
      <c r="P916" s="58" t="s">
        <v>4060</v>
      </c>
      <c r="Q916" s="63" t="s">
        <v>4061</v>
      </c>
      <c r="R916" s="55" t="s">
        <v>6884</v>
      </c>
      <c r="S916" s="55" t="s">
        <v>692</v>
      </c>
      <c r="T916" s="55" t="str">
        <f t="shared" si="99"/>
        <v>De Transportes</v>
      </c>
      <c r="U916" s="55" t="str">
        <f t="shared" si="99"/>
        <v>Terrestres</v>
      </c>
      <c r="V916" s="55" t="str">
        <f t="shared" si="99"/>
        <v>Veículos Pesados</v>
      </c>
      <c r="W916" s="54" t="s">
        <v>7259</v>
      </c>
      <c r="X916" s="84" t="str">
        <f t="shared" si="98"/>
        <v>Key-COD-CT-916</v>
      </c>
      <c r="Y916" s="84" t="s">
        <v>5466</v>
      </c>
      <c r="Z916" s="84" t="s">
        <v>692</v>
      </c>
      <c r="AA916" s="84" t="s">
        <v>7166</v>
      </c>
      <c r="AB916" s="84" t="s">
        <v>692</v>
      </c>
      <c r="AC916" s="84" t="s">
        <v>692</v>
      </c>
      <c r="AD916" s="54" t="s">
        <v>692</v>
      </c>
    </row>
    <row r="917" spans="1:30" ht="6.6" customHeight="1" x14ac:dyDescent="0.25">
      <c r="A917" s="85">
        <v>917</v>
      </c>
      <c r="B917" s="80" t="s">
        <v>5419</v>
      </c>
      <c r="C917" s="91" t="s">
        <v>5465</v>
      </c>
      <c r="D917" s="80" t="s">
        <v>4007</v>
      </c>
      <c r="E917" s="62" t="s">
        <v>4043</v>
      </c>
      <c r="F917" s="28" t="s">
        <v>4062</v>
      </c>
      <c r="G917" s="46" t="s">
        <v>692</v>
      </c>
      <c r="H917" s="46" t="s">
        <v>692</v>
      </c>
      <c r="I917" s="46" t="s">
        <v>692</v>
      </c>
      <c r="J917" s="46" t="s">
        <v>692</v>
      </c>
      <c r="K917" s="46" t="s">
        <v>692</v>
      </c>
      <c r="L917" s="63" t="str">
        <f t="shared" si="94"/>
        <v>De.Transportes</v>
      </c>
      <c r="M917" s="90" t="str">
        <f t="shared" si="95"/>
        <v>Terrestres</v>
      </c>
      <c r="N917" s="90" t="str">
        <f t="shared" si="96"/>
        <v>Veículos Pesados</v>
      </c>
      <c r="O917" s="55" t="str">
        <f t="shared" si="97"/>
        <v>Caminhão.Frigorífico</v>
      </c>
      <c r="P917" s="58" t="s">
        <v>4063</v>
      </c>
      <c r="Q917" s="63" t="s">
        <v>4064</v>
      </c>
      <c r="R917" s="55" t="s">
        <v>6885</v>
      </c>
      <c r="S917" s="55" t="s">
        <v>692</v>
      </c>
      <c r="T917" s="55" t="str">
        <f t="shared" ref="T917:V932" si="100">SUBSTITUTE(C917, ".", " ")</f>
        <v>De Transportes</v>
      </c>
      <c r="U917" s="55" t="str">
        <f t="shared" si="100"/>
        <v>Terrestres</v>
      </c>
      <c r="V917" s="55" t="str">
        <f t="shared" si="100"/>
        <v>Veículos Pesados</v>
      </c>
      <c r="W917" s="54" t="s">
        <v>7259</v>
      </c>
      <c r="X917" s="84" t="str">
        <f t="shared" si="98"/>
        <v>Key-COD-CT-917</v>
      </c>
      <c r="Y917" s="84" t="s">
        <v>5466</v>
      </c>
      <c r="Z917" s="84" t="s">
        <v>692</v>
      </c>
      <c r="AA917" s="84" t="s">
        <v>7166</v>
      </c>
      <c r="AB917" s="84" t="s">
        <v>692</v>
      </c>
      <c r="AC917" s="84" t="s">
        <v>692</v>
      </c>
      <c r="AD917" s="54" t="s">
        <v>692</v>
      </c>
    </row>
    <row r="918" spans="1:30" ht="6.6" customHeight="1" x14ac:dyDescent="0.25">
      <c r="A918" s="85">
        <v>918</v>
      </c>
      <c r="B918" s="80" t="s">
        <v>5419</v>
      </c>
      <c r="C918" s="91" t="s">
        <v>5465</v>
      </c>
      <c r="D918" s="80" t="s">
        <v>4007</v>
      </c>
      <c r="E918" s="62" t="s">
        <v>4043</v>
      </c>
      <c r="F918" s="28" t="s">
        <v>4065</v>
      </c>
      <c r="G918" s="46" t="s">
        <v>692</v>
      </c>
      <c r="H918" s="46" t="s">
        <v>692</v>
      </c>
      <c r="I918" s="46" t="s">
        <v>692</v>
      </c>
      <c r="J918" s="46" t="s">
        <v>692</v>
      </c>
      <c r="K918" s="46" t="s">
        <v>692</v>
      </c>
      <c r="L918" s="63" t="str">
        <f t="shared" si="94"/>
        <v>De.Transportes</v>
      </c>
      <c r="M918" s="90" t="str">
        <f t="shared" si="95"/>
        <v>Terrestres</v>
      </c>
      <c r="N918" s="90" t="str">
        <f t="shared" si="96"/>
        <v>Veículos Pesados</v>
      </c>
      <c r="O918" s="55" t="str">
        <f t="shared" si="97"/>
        <v>Caminhão.Trator</v>
      </c>
      <c r="P918" s="58" t="s">
        <v>4066</v>
      </c>
      <c r="Q918" s="63" t="s">
        <v>4067</v>
      </c>
      <c r="R918" s="55" t="s">
        <v>6886</v>
      </c>
      <c r="S918" s="55" t="s">
        <v>692</v>
      </c>
      <c r="T918" s="55" t="str">
        <f t="shared" si="100"/>
        <v>De Transportes</v>
      </c>
      <c r="U918" s="55" t="str">
        <f t="shared" si="100"/>
        <v>Terrestres</v>
      </c>
      <c r="V918" s="55" t="str">
        <f t="shared" si="100"/>
        <v>Veículos Pesados</v>
      </c>
      <c r="W918" s="54" t="s">
        <v>7259</v>
      </c>
      <c r="X918" s="84" t="str">
        <f t="shared" si="98"/>
        <v>Key-COD-CT-918</v>
      </c>
      <c r="Y918" s="84" t="s">
        <v>5466</v>
      </c>
      <c r="Z918" s="84" t="s">
        <v>692</v>
      </c>
      <c r="AA918" s="84" t="s">
        <v>7166</v>
      </c>
      <c r="AB918" s="84" t="s">
        <v>692</v>
      </c>
      <c r="AC918" s="84" t="s">
        <v>692</v>
      </c>
      <c r="AD918" s="54" t="s">
        <v>692</v>
      </c>
    </row>
    <row r="919" spans="1:30" ht="6.6" customHeight="1" x14ac:dyDescent="0.25">
      <c r="A919" s="85">
        <v>919</v>
      </c>
      <c r="B919" s="80" t="s">
        <v>5419</v>
      </c>
      <c r="C919" s="91" t="s">
        <v>5465</v>
      </c>
      <c r="D919" s="80" t="s">
        <v>4007</v>
      </c>
      <c r="E919" s="62" t="s">
        <v>4043</v>
      </c>
      <c r="F919" s="28" t="s">
        <v>4068</v>
      </c>
      <c r="G919" s="46" t="s">
        <v>692</v>
      </c>
      <c r="H919" s="46" t="s">
        <v>692</v>
      </c>
      <c r="I919" s="46" t="s">
        <v>692</v>
      </c>
      <c r="J919" s="46" t="s">
        <v>692</v>
      </c>
      <c r="K919" s="46" t="s">
        <v>692</v>
      </c>
      <c r="L919" s="63" t="str">
        <f t="shared" si="94"/>
        <v>De.Transportes</v>
      </c>
      <c r="M919" s="90" t="str">
        <f t="shared" si="95"/>
        <v>Terrestres</v>
      </c>
      <c r="N919" s="90" t="str">
        <f t="shared" si="96"/>
        <v>Veículos Pesados</v>
      </c>
      <c r="O919" s="55" t="str">
        <f t="shared" si="97"/>
        <v>Ônibus</v>
      </c>
      <c r="P919" s="58" t="s">
        <v>4069</v>
      </c>
      <c r="Q919" s="63" t="s">
        <v>4070</v>
      </c>
      <c r="R919" s="55" t="s">
        <v>6887</v>
      </c>
      <c r="S919" s="55" t="s">
        <v>692</v>
      </c>
      <c r="T919" s="55" t="str">
        <f t="shared" si="100"/>
        <v>De Transportes</v>
      </c>
      <c r="U919" s="55" t="str">
        <f t="shared" si="100"/>
        <v>Terrestres</v>
      </c>
      <c r="V919" s="55" t="str">
        <f t="shared" si="100"/>
        <v>Veículos Pesados</v>
      </c>
      <c r="W919" s="54" t="s">
        <v>7259</v>
      </c>
      <c r="X919" s="84" t="str">
        <f t="shared" si="98"/>
        <v>Key-COD-CT-919</v>
      </c>
      <c r="Y919" s="84" t="s">
        <v>5466</v>
      </c>
      <c r="Z919" s="84" t="s">
        <v>692</v>
      </c>
      <c r="AA919" s="84" t="s">
        <v>7166</v>
      </c>
      <c r="AB919" s="84" t="s">
        <v>692</v>
      </c>
      <c r="AC919" s="84" t="s">
        <v>692</v>
      </c>
      <c r="AD919" s="54" t="s">
        <v>692</v>
      </c>
    </row>
    <row r="920" spans="1:30" ht="6.6" customHeight="1" x14ac:dyDescent="0.25">
      <c r="A920" s="85">
        <v>920</v>
      </c>
      <c r="B920" s="80" t="s">
        <v>5419</v>
      </c>
      <c r="C920" s="91" t="s">
        <v>5465</v>
      </c>
      <c r="D920" s="80" t="s">
        <v>4007</v>
      </c>
      <c r="E920" s="62" t="s">
        <v>4043</v>
      </c>
      <c r="F920" s="28" t="s">
        <v>4071</v>
      </c>
      <c r="G920" s="46" t="s">
        <v>692</v>
      </c>
      <c r="H920" s="46" t="s">
        <v>692</v>
      </c>
      <c r="I920" s="46" t="s">
        <v>692</v>
      </c>
      <c r="J920" s="46" t="s">
        <v>692</v>
      </c>
      <c r="K920" s="46" t="s">
        <v>692</v>
      </c>
      <c r="L920" s="63" t="str">
        <f t="shared" si="94"/>
        <v>De.Transportes</v>
      </c>
      <c r="M920" s="90" t="str">
        <f t="shared" si="95"/>
        <v>Terrestres</v>
      </c>
      <c r="N920" s="90" t="str">
        <f t="shared" si="96"/>
        <v>Veículos Pesados</v>
      </c>
      <c r="O920" s="55" t="str">
        <f t="shared" si="97"/>
        <v>Ônibus.BRT</v>
      </c>
      <c r="P920" s="58" t="s">
        <v>4072</v>
      </c>
      <c r="Q920" s="63" t="s">
        <v>4073</v>
      </c>
      <c r="R920" s="55" t="s">
        <v>6888</v>
      </c>
      <c r="S920" s="55" t="s">
        <v>692</v>
      </c>
      <c r="T920" s="55" t="str">
        <f t="shared" si="100"/>
        <v>De Transportes</v>
      </c>
      <c r="U920" s="55" t="str">
        <f t="shared" si="100"/>
        <v>Terrestres</v>
      </c>
      <c r="V920" s="55" t="str">
        <f t="shared" si="100"/>
        <v>Veículos Pesados</v>
      </c>
      <c r="W920" s="54" t="s">
        <v>7259</v>
      </c>
      <c r="X920" s="84" t="str">
        <f t="shared" si="98"/>
        <v>Key-COD-CT-920</v>
      </c>
      <c r="Y920" s="84" t="s">
        <v>5466</v>
      </c>
      <c r="Z920" s="84" t="s">
        <v>692</v>
      </c>
      <c r="AA920" s="84" t="s">
        <v>7166</v>
      </c>
      <c r="AB920" s="84" t="s">
        <v>692</v>
      </c>
      <c r="AC920" s="84" t="s">
        <v>692</v>
      </c>
      <c r="AD920" s="54" t="s">
        <v>692</v>
      </c>
    </row>
    <row r="921" spans="1:30" ht="6.6" customHeight="1" x14ac:dyDescent="0.25">
      <c r="A921" s="85">
        <v>921</v>
      </c>
      <c r="B921" s="80" t="s">
        <v>5419</v>
      </c>
      <c r="C921" s="91" t="s">
        <v>5465</v>
      </c>
      <c r="D921" s="80" t="s">
        <v>4007</v>
      </c>
      <c r="E921" s="62" t="s">
        <v>4043</v>
      </c>
      <c r="F921" s="28" t="s">
        <v>4074</v>
      </c>
      <c r="G921" s="46" t="s">
        <v>692</v>
      </c>
      <c r="H921" s="46" t="s">
        <v>692</v>
      </c>
      <c r="I921" s="46" t="s">
        <v>692</v>
      </c>
      <c r="J921" s="46" t="s">
        <v>692</v>
      </c>
      <c r="K921" s="46" t="s">
        <v>692</v>
      </c>
      <c r="L921" s="63" t="str">
        <f t="shared" si="94"/>
        <v>De.Transportes</v>
      </c>
      <c r="M921" s="90" t="str">
        <f t="shared" si="95"/>
        <v>Terrestres</v>
      </c>
      <c r="N921" s="90" t="str">
        <f t="shared" si="96"/>
        <v>Veículos Pesados</v>
      </c>
      <c r="O921" s="55" t="str">
        <f t="shared" si="97"/>
        <v>Microônibus</v>
      </c>
      <c r="P921" s="58" t="s">
        <v>4075</v>
      </c>
      <c r="Q921" s="63" t="s">
        <v>4076</v>
      </c>
      <c r="R921" s="55" t="s">
        <v>6889</v>
      </c>
      <c r="S921" s="55" t="s">
        <v>692</v>
      </c>
      <c r="T921" s="55" t="str">
        <f t="shared" si="100"/>
        <v>De Transportes</v>
      </c>
      <c r="U921" s="55" t="str">
        <f t="shared" si="100"/>
        <v>Terrestres</v>
      </c>
      <c r="V921" s="55" t="str">
        <f t="shared" si="100"/>
        <v>Veículos Pesados</v>
      </c>
      <c r="W921" s="54" t="s">
        <v>7259</v>
      </c>
      <c r="X921" s="84" t="str">
        <f t="shared" si="98"/>
        <v>Key-COD-CT-921</v>
      </c>
      <c r="Y921" s="84" t="s">
        <v>5466</v>
      </c>
      <c r="Z921" s="84" t="s">
        <v>692</v>
      </c>
      <c r="AA921" s="84" t="s">
        <v>7166</v>
      </c>
      <c r="AB921" s="84" t="s">
        <v>692</v>
      </c>
      <c r="AC921" s="84" t="s">
        <v>692</v>
      </c>
      <c r="AD921" s="54" t="s">
        <v>692</v>
      </c>
    </row>
    <row r="922" spans="1:30" ht="6.6" customHeight="1" x14ac:dyDescent="0.25">
      <c r="A922" s="85">
        <v>922</v>
      </c>
      <c r="B922" s="80" t="s">
        <v>5419</v>
      </c>
      <c r="C922" s="91" t="s">
        <v>5465</v>
      </c>
      <c r="D922" s="80" t="s">
        <v>4007</v>
      </c>
      <c r="E922" s="62" t="s">
        <v>4043</v>
      </c>
      <c r="F922" s="28" t="s">
        <v>4077</v>
      </c>
      <c r="G922" s="46" t="s">
        <v>692</v>
      </c>
      <c r="H922" s="46" t="s">
        <v>692</v>
      </c>
      <c r="I922" s="46" t="s">
        <v>692</v>
      </c>
      <c r="J922" s="46" t="s">
        <v>692</v>
      </c>
      <c r="K922" s="46" t="s">
        <v>692</v>
      </c>
      <c r="L922" s="63" t="str">
        <f t="shared" si="94"/>
        <v>De.Transportes</v>
      </c>
      <c r="M922" s="90" t="str">
        <f t="shared" si="95"/>
        <v>Terrestres</v>
      </c>
      <c r="N922" s="90" t="str">
        <f t="shared" si="96"/>
        <v>Veículos Pesados</v>
      </c>
      <c r="O922" s="55" t="str">
        <f t="shared" si="97"/>
        <v>Reboque</v>
      </c>
      <c r="P922" s="58" t="s">
        <v>4078</v>
      </c>
      <c r="Q922" s="63" t="s">
        <v>4079</v>
      </c>
      <c r="R922" s="55" t="s">
        <v>6890</v>
      </c>
      <c r="S922" s="55" t="s">
        <v>692</v>
      </c>
      <c r="T922" s="55" t="str">
        <f t="shared" si="100"/>
        <v>De Transportes</v>
      </c>
      <c r="U922" s="55" t="str">
        <f t="shared" si="100"/>
        <v>Terrestres</v>
      </c>
      <c r="V922" s="55" t="str">
        <f t="shared" si="100"/>
        <v>Veículos Pesados</v>
      </c>
      <c r="W922" s="54" t="s">
        <v>7259</v>
      </c>
      <c r="X922" s="84" t="str">
        <f t="shared" si="98"/>
        <v>Key-COD-CT-922</v>
      </c>
      <c r="Y922" s="84" t="s">
        <v>5466</v>
      </c>
      <c r="Z922" s="84" t="s">
        <v>692</v>
      </c>
      <c r="AA922" s="84" t="s">
        <v>7166</v>
      </c>
      <c r="AB922" s="84" t="s">
        <v>692</v>
      </c>
      <c r="AC922" s="84" t="s">
        <v>692</v>
      </c>
      <c r="AD922" s="54" t="s">
        <v>692</v>
      </c>
    </row>
    <row r="923" spans="1:30" ht="6.6" customHeight="1" x14ac:dyDescent="0.25">
      <c r="A923" s="85">
        <v>923</v>
      </c>
      <c r="B923" s="80" t="s">
        <v>5419</v>
      </c>
      <c r="C923" s="91" t="s">
        <v>5465</v>
      </c>
      <c r="D923" s="80" t="s">
        <v>4007</v>
      </c>
      <c r="E923" s="62" t="s">
        <v>4043</v>
      </c>
      <c r="F923" s="28" t="s">
        <v>4080</v>
      </c>
      <c r="G923" s="46" t="s">
        <v>692</v>
      </c>
      <c r="H923" s="46" t="s">
        <v>692</v>
      </c>
      <c r="I923" s="46" t="s">
        <v>692</v>
      </c>
      <c r="J923" s="46" t="s">
        <v>692</v>
      </c>
      <c r="K923" s="46" t="s">
        <v>692</v>
      </c>
      <c r="L923" s="63" t="str">
        <f t="shared" si="94"/>
        <v>De.Transportes</v>
      </c>
      <c r="M923" s="90" t="str">
        <f t="shared" si="95"/>
        <v>Terrestres</v>
      </c>
      <c r="N923" s="90" t="str">
        <f t="shared" si="96"/>
        <v>Veículos Pesados</v>
      </c>
      <c r="O923" s="55" t="str">
        <f t="shared" si="97"/>
        <v>Semirreboque</v>
      </c>
      <c r="P923" s="58" t="s">
        <v>4078</v>
      </c>
      <c r="Q923" s="63" t="s">
        <v>4079</v>
      </c>
      <c r="R923" s="55" t="s">
        <v>6890</v>
      </c>
      <c r="S923" s="55" t="s">
        <v>692</v>
      </c>
      <c r="T923" s="55" t="str">
        <f t="shared" si="100"/>
        <v>De Transportes</v>
      </c>
      <c r="U923" s="55" t="str">
        <f t="shared" si="100"/>
        <v>Terrestres</v>
      </c>
      <c r="V923" s="55" t="str">
        <f t="shared" si="100"/>
        <v>Veículos Pesados</v>
      </c>
      <c r="W923" s="54" t="s">
        <v>7259</v>
      </c>
      <c r="X923" s="84" t="str">
        <f t="shared" si="98"/>
        <v>Key-COD-CT-923</v>
      </c>
      <c r="Y923" s="84" t="s">
        <v>5466</v>
      </c>
      <c r="Z923" s="84" t="s">
        <v>692</v>
      </c>
      <c r="AA923" s="84" t="s">
        <v>7167</v>
      </c>
      <c r="AB923" s="84" t="s">
        <v>692</v>
      </c>
      <c r="AC923" s="84" t="s">
        <v>692</v>
      </c>
      <c r="AD923" s="54" t="s">
        <v>692</v>
      </c>
    </row>
    <row r="924" spans="1:30" ht="6.6" customHeight="1" x14ac:dyDescent="0.25">
      <c r="A924" s="85">
        <v>924</v>
      </c>
      <c r="B924" s="80" t="s">
        <v>5419</v>
      </c>
      <c r="C924" s="91" t="s">
        <v>5465</v>
      </c>
      <c r="D924" s="80" t="s">
        <v>4007</v>
      </c>
      <c r="E924" s="62" t="s">
        <v>4043</v>
      </c>
      <c r="F924" s="28" t="s">
        <v>4081</v>
      </c>
      <c r="G924" s="46" t="s">
        <v>692</v>
      </c>
      <c r="H924" s="46" t="s">
        <v>692</v>
      </c>
      <c r="I924" s="46" t="s">
        <v>692</v>
      </c>
      <c r="J924" s="46" t="s">
        <v>692</v>
      </c>
      <c r="K924" s="46" t="s">
        <v>692</v>
      </c>
      <c r="L924" s="63" t="str">
        <f t="shared" si="94"/>
        <v>De.Transportes</v>
      </c>
      <c r="M924" s="90" t="str">
        <f t="shared" si="95"/>
        <v>Terrestres</v>
      </c>
      <c r="N924" s="90" t="str">
        <f t="shared" si="96"/>
        <v>Veículos Pesados</v>
      </c>
      <c r="O924" s="55" t="str">
        <f t="shared" si="97"/>
        <v>Veículo.Misto</v>
      </c>
      <c r="P924" s="58" t="s">
        <v>4082</v>
      </c>
      <c r="Q924" s="63" t="s">
        <v>4083</v>
      </c>
      <c r="R924" s="55" t="s">
        <v>6891</v>
      </c>
      <c r="S924" s="55" t="s">
        <v>692</v>
      </c>
      <c r="T924" s="55" t="str">
        <f t="shared" si="100"/>
        <v>De Transportes</v>
      </c>
      <c r="U924" s="55" t="str">
        <f t="shared" si="100"/>
        <v>Terrestres</v>
      </c>
      <c r="V924" s="55" t="str">
        <f t="shared" si="100"/>
        <v>Veículos Pesados</v>
      </c>
      <c r="W924" s="54" t="s">
        <v>7259</v>
      </c>
      <c r="X924" s="84" t="str">
        <f t="shared" si="98"/>
        <v>Key-COD-CT-924</v>
      </c>
      <c r="Y924" s="84" t="s">
        <v>5466</v>
      </c>
      <c r="Z924" s="84" t="s">
        <v>692</v>
      </c>
      <c r="AA924" s="84" t="s">
        <v>7167</v>
      </c>
      <c r="AB924" s="84" t="s">
        <v>692</v>
      </c>
      <c r="AC924" s="84" t="s">
        <v>692</v>
      </c>
      <c r="AD924" s="54" t="s">
        <v>692</v>
      </c>
    </row>
    <row r="925" spans="1:30" ht="6.6" customHeight="1" x14ac:dyDescent="0.25">
      <c r="A925" s="85">
        <v>925</v>
      </c>
      <c r="B925" s="80" t="s">
        <v>5419</v>
      </c>
      <c r="C925" s="91" t="s">
        <v>5465</v>
      </c>
      <c r="D925" s="80" t="s">
        <v>4007</v>
      </c>
      <c r="E925" s="62" t="s">
        <v>4043</v>
      </c>
      <c r="F925" s="28" t="s">
        <v>4084</v>
      </c>
      <c r="G925" s="46" t="s">
        <v>692</v>
      </c>
      <c r="H925" s="46" t="s">
        <v>692</v>
      </c>
      <c r="I925" s="46" t="s">
        <v>692</v>
      </c>
      <c r="J925" s="46" t="s">
        <v>692</v>
      </c>
      <c r="K925" s="46" t="s">
        <v>692</v>
      </c>
      <c r="L925" s="63" t="str">
        <f t="shared" si="94"/>
        <v>De.Transportes</v>
      </c>
      <c r="M925" s="90" t="str">
        <f t="shared" si="95"/>
        <v>Terrestres</v>
      </c>
      <c r="N925" s="90" t="str">
        <f t="shared" si="96"/>
        <v>Veículos Pesados</v>
      </c>
      <c r="O925" s="55" t="str">
        <f t="shared" si="97"/>
        <v>Veículo.Especial</v>
      </c>
      <c r="P925" s="58" t="s">
        <v>4085</v>
      </c>
      <c r="Q925" s="63" t="s">
        <v>4086</v>
      </c>
      <c r="R925" s="55" t="s">
        <v>6892</v>
      </c>
      <c r="S925" s="55" t="s">
        <v>692</v>
      </c>
      <c r="T925" s="55" t="str">
        <f t="shared" si="100"/>
        <v>De Transportes</v>
      </c>
      <c r="U925" s="55" t="str">
        <f t="shared" si="100"/>
        <v>Terrestres</v>
      </c>
      <c r="V925" s="55" t="str">
        <f t="shared" si="100"/>
        <v>Veículos Pesados</v>
      </c>
      <c r="W925" s="54" t="s">
        <v>7259</v>
      </c>
      <c r="X925" s="84" t="str">
        <f t="shared" si="98"/>
        <v>Key-COD-CT-925</v>
      </c>
      <c r="Y925" s="84" t="s">
        <v>5466</v>
      </c>
      <c r="Z925" s="84" t="s">
        <v>692</v>
      </c>
      <c r="AA925" s="84" t="s">
        <v>7167</v>
      </c>
      <c r="AB925" s="84" t="s">
        <v>692</v>
      </c>
      <c r="AC925" s="84" t="s">
        <v>692</v>
      </c>
      <c r="AD925" s="54" t="s">
        <v>692</v>
      </c>
    </row>
    <row r="926" spans="1:30" ht="6.6" customHeight="1" x14ac:dyDescent="0.25">
      <c r="A926" s="85">
        <v>926</v>
      </c>
      <c r="B926" s="80" t="s">
        <v>5419</v>
      </c>
      <c r="C926" s="91" t="s">
        <v>5465</v>
      </c>
      <c r="D926" s="80" t="s">
        <v>4007</v>
      </c>
      <c r="E926" s="62" t="s">
        <v>4087</v>
      </c>
      <c r="F926" s="28" t="s">
        <v>4088</v>
      </c>
      <c r="G926" s="46" t="s">
        <v>692</v>
      </c>
      <c r="H926" s="46" t="s">
        <v>692</v>
      </c>
      <c r="I926" s="46" t="s">
        <v>692</v>
      </c>
      <c r="J926" s="46" t="s">
        <v>692</v>
      </c>
      <c r="K926" s="46" t="s">
        <v>692</v>
      </c>
      <c r="L926" s="63" t="str">
        <f t="shared" si="94"/>
        <v>De.Transportes</v>
      </c>
      <c r="M926" s="90" t="str">
        <f t="shared" si="95"/>
        <v>Terrestres</v>
      </c>
      <c r="N926" s="90" t="str">
        <f t="shared" si="96"/>
        <v>Veículos Leves</v>
      </c>
      <c r="O926" s="55" t="str">
        <f t="shared" si="97"/>
        <v>Camioneta</v>
      </c>
      <c r="P926" s="58" t="s">
        <v>4089</v>
      </c>
      <c r="Q926" s="63" t="s">
        <v>4090</v>
      </c>
      <c r="R926" s="55" t="s">
        <v>6893</v>
      </c>
      <c r="S926" s="55" t="s">
        <v>692</v>
      </c>
      <c r="T926" s="55" t="str">
        <f t="shared" si="100"/>
        <v>De Transportes</v>
      </c>
      <c r="U926" s="55" t="str">
        <f t="shared" si="100"/>
        <v>Terrestres</v>
      </c>
      <c r="V926" s="55" t="str">
        <f t="shared" si="100"/>
        <v>Veículos Leves</v>
      </c>
      <c r="W926" s="54" t="s">
        <v>7259</v>
      </c>
      <c r="X926" s="84" t="str">
        <f t="shared" si="98"/>
        <v>Key-COD-CT-926</v>
      </c>
      <c r="Y926" s="84" t="s">
        <v>5466</v>
      </c>
      <c r="Z926" s="84" t="s">
        <v>692</v>
      </c>
      <c r="AA926" s="84" t="s">
        <v>7167</v>
      </c>
      <c r="AB926" s="84" t="s">
        <v>692</v>
      </c>
      <c r="AC926" s="84" t="s">
        <v>692</v>
      </c>
      <c r="AD926" s="54" t="s">
        <v>692</v>
      </c>
    </row>
    <row r="927" spans="1:30" ht="6.6" customHeight="1" x14ac:dyDescent="0.25">
      <c r="A927" s="85">
        <v>927</v>
      </c>
      <c r="B927" s="80" t="s">
        <v>5419</v>
      </c>
      <c r="C927" s="91" t="s">
        <v>5465</v>
      </c>
      <c r="D927" s="80" t="s">
        <v>4007</v>
      </c>
      <c r="E927" s="62" t="s">
        <v>4087</v>
      </c>
      <c r="F927" s="28" t="s">
        <v>4091</v>
      </c>
      <c r="G927" s="46" t="s">
        <v>692</v>
      </c>
      <c r="H927" s="46" t="s">
        <v>692</v>
      </c>
      <c r="I927" s="46" t="s">
        <v>692</v>
      </c>
      <c r="J927" s="46" t="s">
        <v>692</v>
      </c>
      <c r="K927" s="46" t="s">
        <v>692</v>
      </c>
      <c r="L927" s="63" t="str">
        <f t="shared" si="94"/>
        <v>De.Transportes</v>
      </c>
      <c r="M927" s="90" t="str">
        <f t="shared" si="95"/>
        <v>Terrestres</v>
      </c>
      <c r="N927" s="90" t="str">
        <f t="shared" si="96"/>
        <v>Veículos Leves</v>
      </c>
      <c r="O927" s="55" t="str">
        <f t="shared" si="97"/>
        <v>Caminhonete</v>
      </c>
      <c r="P927" s="58" t="s">
        <v>4092</v>
      </c>
      <c r="Q927" s="63" t="s">
        <v>4093</v>
      </c>
      <c r="R927" s="55" t="s">
        <v>6894</v>
      </c>
      <c r="S927" s="55" t="s">
        <v>692</v>
      </c>
      <c r="T927" s="55" t="str">
        <f t="shared" si="100"/>
        <v>De Transportes</v>
      </c>
      <c r="U927" s="55" t="str">
        <f t="shared" si="100"/>
        <v>Terrestres</v>
      </c>
      <c r="V927" s="55" t="str">
        <f t="shared" si="100"/>
        <v>Veículos Leves</v>
      </c>
      <c r="W927" s="54" t="s">
        <v>7259</v>
      </c>
      <c r="X927" s="84" t="str">
        <f t="shared" si="98"/>
        <v>Key-COD-CT-927</v>
      </c>
      <c r="Y927" s="84" t="s">
        <v>5466</v>
      </c>
      <c r="Z927" s="84" t="s">
        <v>692</v>
      </c>
      <c r="AA927" s="84" t="s">
        <v>7167</v>
      </c>
      <c r="AB927" s="84" t="s">
        <v>692</v>
      </c>
      <c r="AC927" s="84" t="s">
        <v>692</v>
      </c>
      <c r="AD927" s="54" t="s">
        <v>692</v>
      </c>
    </row>
    <row r="928" spans="1:30" ht="6.6" customHeight="1" x14ac:dyDescent="0.25">
      <c r="A928" s="85">
        <v>928</v>
      </c>
      <c r="B928" s="80" t="s">
        <v>5419</v>
      </c>
      <c r="C928" s="91" t="s">
        <v>5465</v>
      </c>
      <c r="D928" s="80" t="s">
        <v>4007</v>
      </c>
      <c r="E928" s="62" t="s">
        <v>4087</v>
      </c>
      <c r="F928" s="28" t="s">
        <v>4094</v>
      </c>
      <c r="G928" s="46" t="s">
        <v>692</v>
      </c>
      <c r="H928" s="46" t="s">
        <v>692</v>
      </c>
      <c r="I928" s="46" t="s">
        <v>692</v>
      </c>
      <c r="J928" s="46" t="s">
        <v>692</v>
      </c>
      <c r="K928" s="46" t="s">
        <v>692</v>
      </c>
      <c r="L928" s="63" t="str">
        <f t="shared" si="94"/>
        <v>De.Transportes</v>
      </c>
      <c r="M928" s="90" t="str">
        <f t="shared" si="95"/>
        <v>Terrestres</v>
      </c>
      <c r="N928" s="90" t="str">
        <f t="shared" si="96"/>
        <v>Veículos Leves</v>
      </c>
      <c r="O928" s="55" t="str">
        <f t="shared" si="97"/>
        <v>Automóvel</v>
      </c>
      <c r="P928" s="58" t="s">
        <v>4095</v>
      </c>
      <c r="Q928" s="63" t="s">
        <v>4096</v>
      </c>
      <c r="R928" s="55" t="s">
        <v>6895</v>
      </c>
      <c r="S928" s="55" t="s">
        <v>692</v>
      </c>
      <c r="T928" s="55" t="str">
        <f t="shared" si="100"/>
        <v>De Transportes</v>
      </c>
      <c r="U928" s="55" t="str">
        <f t="shared" si="100"/>
        <v>Terrestres</v>
      </c>
      <c r="V928" s="55" t="str">
        <f t="shared" si="100"/>
        <v>Veículos Leves</v>
      </c>
      <c r="W928" s="54" t="s">
        <v>7259</v>
      </c>
      <c r="X928" s="84" t="str">
        <f t="shared" si="98"/>
        <v>Key-COD-CT-928</v>
      </c>
      <c r="Y928" s="84" t="s">
        <v>5466</v>
      </c>
      <c r="Z928" s="84" t="s">
        <v>692</v>
      </c>
      <c r="AA928" s="84" t="s">
        <v>7167</v>
      </c>
      <c r="AB928" s="84" t="s">
        <v>692</v>
      </c>
      <c r="AC928" s="84" t="s">
        <v>692</v>
      </c>
      <c r="AD928" s="54" t="s">
        <v>692</v>
      </c>
    </row>
    <row r="929" spans="1:30" ht="6.6" customHeight="1" x14ac:dyDescent="0.25">
      <c r="A929" s="85">
        <v>929</v>
      </c>
      <c r="B929" s="80" t="s">
        <v>5419</v>
      </c>
      <c r="C929" s="91" t="s">
        <v>5465</v>
      </c>
      <c r="D929" s="80" t="s">
        <v>4007</v>
      </c>
      <c r="E929" s="62" t="s">
        <v>4087</v>
      </c>
      <c r="F929" s="28" t="s">
        <v>4097</v>
      </c>
      <c r="G929" s="46" t="s">
        <v>692</v>
      </c>
      <c r="H929" s="46" t="s">
        <v>692</v>
      </c>
      <c r="I929" s="46" t="s">
        <v>692</v>
      </c>
      <c r="J929" s="46" t="s">
        <v>692</v>
      </c>
      <c r="K929" s="46" t="s">
        <v>692</v>
      </c>
      <c r="L929" s="63" t="str">
        <f t="shared" si="94"/>
        <v>De.Transportes</v>
      </c>
      <c r="M929" s="90" t="str">
        <f t="shared" si="95"/>
        <v>Terrestres</v>
      </c>
      <c r="N929" s="90" t="str">
        <f t="shared" si="96"/>
        <v>Veículos Leves</v>
      </c>
      <c r="O929" s="55" t="str">
        <f t="shared" si="97"/>
        <v>Motocicleta</v>
      </c>
      <c r="P929" s="58" t="s">
        <v>4098</v>
      </c>
      <c r="Q929" s="63" t="s">
        <v>4099</v>
      </c>
      <c r="R929" s="55" t="s">
        <v>6896</v>
      </c>
      <c r="S929" s="55" t="s">
        <v>692</v>
      </c>
      <c r="T929" s="55" t="str">
        <f t="shared" si="100"/>
        <v>De Transportes</v>
      </c>
      <c r="U929" s="55" t="str">
        <f t="shared" si="100"/>
        <v>Terrestres</v>
      </c>
      <c r="V929" s="55" t="str">
        <f t="shared" si="100"/>
        <v>Veículos Leves</v>
      </c>
      <c r="W929" s="54" t="s">
        <v>7259</v>
      </c>
      <c r="X929" s="84" t="str">
        <f t="shared" si="98"/>
        <v>Key-COD-CT-929</v>
      </c>
      <c r="Y929" s="84" t="s">
        <v>5466</v>
      </c>
      <c r="Z929" s="84" t="s">
        <v>692</v>
      </c>
      <c r="AA929" s="84" t="s">
        <v>7167</v>
      </c>
      <c r="AB929" s="84" t="s">
        <v>692</v>
      </c>
      <c r="AC929" s="84" t="s">
        <v>692</v>
      </c>
      <c r="AD929" s="54" t="s">
        <v>692</v>
      </c>
    </row>
    <row r="930" spans="1:30" ht="6.6" customHeight="1" x14ac:dyDescent="0.25">
      <c r="A930" s="85">
        <v>930</v>
      </c>
      <c r="B930" s="80" t="s">
        <v>5419</v>
      </c>
      <c r="C930" s="91" t="s">
        <v>5465</v>
      </c>
      <c r="D930" s="80" t="s">
        <v>4007</v>
      </c>
      <c r="E930" s="62" t="s">
        <v>4087</v>
      </c>
      <c r="F930" s="28" t="s">
        <v>4100</v>
      </c>
      <c r="G930" s="46" t="s">
        <v>692</v>
      </c>
      <c r="H930" s="46" t="s">
        <v>692</v>
      </c>
      <c r="I930" s="46" t="s">
        <v>692</v>
      </c>
      <c r="J930" s="46" t="s">
        <v>692</v>
      </c>
      <c r="K930" s="46" t="s">
        <v>692</v>
      </c>
      <c r="L930" s="63" t="str">
        <f t="shared" si="94"/>
        <v>De.Transportes</v>
      </c>
      <c r="M930" s="90" t="str">
        <f t="shared" si="95"/>
        <v>Terrestres</v>
      </c>
      <c r="N930" s="90" t="str">
        <f t="shared" si="96"/>
        <v>Veículos Leves</v>
      </c>
      <c r="O930" s="55" t="str">
        <f t="shared" si="97"/>
        <v>Motoneta</v>
      </c>
      <c r="P930" s="58" t="s">
        <v>4098</v>
      </c>
      <c r="Q930" s="63" t="s">
        <v>4099</v>
      </c>
      <c r="R930" s="55" t="s">
        <v>6896</v>
      </c>
      <c r="S930" s="55" t="s">
        <v>692</v>
      </c>
      <c r="T930" s="55" t="str">
        <f t="shared" si="100"/>
        <v>De Transportes</v>
      </c>
      <c r="U930" s="55" t="str">
        <f t="shared" si="100"/>
        <v>Terrestres</v>
      </c>
      <c r="V930" s="55" t="str">
        <f t="shared" si="100"/>
        <v>Veículos Leves</v>
      </c>
      <c r="W930" s="54" t="s">
        <v>7259</v>
      </c>
      <c r="X930" s="84" t="str">
        <f t="shared" si="98"/>
        <v>Key-COD-CT-930</v>
      </c>
      <c r="Y930" s="84" t="s">
        <v>5466</v>
      </c>
      <c r="Z930" s="84" t="s">
        <v>692</v>
      </c>
      <c r="AA930" s="84" t="s">
        <v>7167</v>
      </c>
      <c r="AB930" s="84" t="s">
        <v>692</v>
      </c>
      <c r="AC930" s="84" t="s">
        <v>692</v>
      </c>
      <c r="AD930" s="54" t="s">
        <v>692</v>
      </c>
    </row>
    <row r="931" spans="1:30" ht="6.6" customHeight="1" x14ac:dyDescent="0.25">
      <c r="A931" s="85">
        <v>931</v>
      </c>
      <c r="B931" s="80" t="s">
        <v>5419</v>
      </c>
      <c r="C931" s="91" t="s">
        <v>5465</v>
      </c>
      <c r="D931" s="80" t="s">
        <v>4007</v>
      </c>
      <c r="E931" s="62" t="s">
        <v>4087</v>
      </c>
      <c r="F931" s="28" t="s">
        <v>4101</v>
      </c>
      <c r="G931" s="46" t="s">
        <v>692</v>
      </c>
      <c r="H931" s="46" t="s">
        <v>692</v>
      </c>
      <c r="I931" s="46" t="s">
        <v>692</v>
      </c>
      <c r="J931" s="46" t="s">
        <v>692</v>
      </c>
      <c r="K931" s="46" t="s">
        <v>692</v>
      </c>
      <c r="L931" s="63" t="str">
        <f t="shared" si="94"/>
        <v>De.Transportes</v>
      </c>
      <c r="M931" s="90" t="str">
        <f t="shared" si="95"/>
        <v>Terrestres</v>
      </c>
      <c r="N931" s="90" t="str">
        <f t="shared" si="96"/>
        <v>Veículos Leves</v>
      </c>
      <c r="O931" s="55" t="str">
        <f t="shared" si="97"/>
        <v>Quadriciclo</v>
      </c>
      <c r="P931" s="58" t="s">
        <v>4102</v>
      </c>
      <c r="Q931" s="63" t="s">
        <v>4103</v>
      </c>
      <c r="R931" s="55" t="s">
        <v>6897</v>
      </c>
      <c r="S931" s="55" t="s">
        <v>692</v>
      </c>
      <c r="T931" s="55" t="str">
        <f t="shared" si="100"/>
        <v>De Transportes</v>
      </c>
      <c r="U931" s="55" t="str">
        <f t="shared" si="100"/>
        <v>Terrestres</v>
      </c>
      <c r="V931" s="55" t="str">
        <f t="shared" si="100"/>
        <v>Veículos Leves</v>
      </c>
      <c r="W931" s="54" t="s">
        <v>7259</v>
      </c>
      <c r="X931" s="84" t="str">
        <f t="shared" si="98"/>
        <v>Key-COD-CT-931</v>
      </c>
      <c r="Y931" s="84" t="s">
        <v>5466</v>
      </c>
      <c r="Z931" s="84" t="s">
        <v>692</v>
      </c>
      <c r="AA931" s="84" t="s">
        <v>7167</v>
      </c>
      <c r="AB931" s="84" t="s">
        <v>692</v>
      </c>
      <c r="AC931" s="84" t="s">
        <v>692</v>
      </c>
      <c r="AD931" s="54" t="s">
        <v>692</v>
      </c>
    </row>
    <row r="932" spans="1:30" ht="6.6" customHeight="1" x14ac:dyDescent="0.25">
      <c r="A932" s="85">
        <v>932</v>
      </c>
      <c r="B932" s="80" t="s">
        <v>5419</v>
      </c>
      <c r="C932" s="91" t="s">
        <v>5465</v>
      </c>
      <c r="D932" s="80" t="s">
        <v>4007</v>
      </c>
      <c r="E932" s="62" t="s">
        <v>4087</v>
      </c>
      <c r="F932" s="28" t="s">
        <v>4104</v>
      </c>
      <c r="G932" s="46" t="s">
        <v>692</v>
      </c>
      <c r="H932" s="46" t="s">
        <v>692</v>
      </c>
      <c r="I932" s="46" t="s">
        <v>692</v>
      </c>
      <c r="J932" s="46" t="s">
        <v>692</v>
      </c>
      <c r="K932" s="46" t="s">
        <v>692</v>
      </c>
      <c r="L932" s="63" t="str">
        <f t="shared" si="94"/>
        <v>De.Transportes</v>
      </c>
      <c r="M932" s="90" t="str">
        <f t="shared" si="95"/>
        <v>Terrestres</v>
      </c>
      <c r="N932" s="90" t="str">
        <f t="shared" si="96"/>
        <v>Veículos Leves</v>
      </c>
      <c r="O932" s="55" t="str">
        <f t="shared" si="97"/>
        <v>Triciclo</v>
      </c>
      <c r="P932" s="58" t="s">
        <v>4105</v>
      </c>
      <c r="Q932" s="63" t="s">
        <v>4106</v>
      </c>
      <c r="R932" s="55" t="s">
        <v>6898</v>
      </c>
      <c r="S932" s="55" t="s">
        <v>692</v>
      </c>
      <c r="T932" s="55" t="str">
        <f t="shared" si="100"/>
        <v>De Transportes</v>
      </c>
      <c r="U932" s="55" t="str">
        <f t="shared" si="100"/>
        <v>Terrestres</v>
      </c>
      <c r="V932" s="55" t="str">
        <f t="shared" si="100"/>
        <v>Veículos Leves</v>
      </c>
      <c r="W932" s="54" t="s">
        <v>7259</v>
      </c>
      <c r="X932" s="84" t="str">
        <f t="shared" si="98"/>
        <v>Key-COD-CT-932</v>
      </c>
      <c r="Y932" s="84" t="s">
        <v>5466</v>
      </c>
      <c r="Z932" s="84" t="s">
        <v>692</v>
      </c>
      <c r="AA932" s="84" t="s">
        <v>7167</v>
      </c>
      <c r="AB932" s="84" t="s">
        <v>692</v>
      </c>
      <c r="AC932" s="84" t="s">
        <v>692</v>
      </c>
      <c r="AD932" s="54" t="s">
        <v>692</v>
      </c>
    </row>
    <row r="933" spans="1:30" ht="6.6" customHeight="1" x14ac:dyDescent="0.25">
      <c r="A933" s="85">
        <v>933</v>
      </c>
      <c r="B933" s="80" t="s">
        <v>5419</v>
      </c>
      <c r="C933" s="91" t="s">
        <v>5465</v>
      </c>
      <c r="D933" s="80" t="s">
        <v>4007</v>
      </c>
      <c r="E933" s="62" t="s">
        <v>4087</v>
      </c>
      <c r="F933" s="28" t="s">
        <v>4107</v>
      </c>
      <c r="G933" s="46" t="s">
        <v>692</v>
      </c>
      <c r="H933" s="46" t="s">
        <v>692</v>
      </c>
      <c r="I933" s="46" t="s">
        <v>692</v>
      </c>
      <c r="J933" s="46" t="s">
        <v>692</v>
      </c>
      <c r="K933" s="46" t="s">
        <v>692</v>
      </c>
      <c r="L933" s="63" t="str">
        <f t="shared" si="94"/>
        <v>De.Transportes</v>
      </c>
      <c r="M933" s="90" t="str">
        <f t="shared" si="95"/>
        <v>Terrestres</v>
      </c>
      <c r="N933" s="90" t="str">
        <f t="shared" si="96"/>
        <v>Veículos Leves</v>
      </c>
      <c r="O933" s="55" t="str">
        <f t="shared" si="97"/>
        <v>Bicicleta</v>
      </c>
      <c r="P933" s="58" t="s">
        <v>4108</v>
      </c>
      <c r="Q933" s="63" t="s">
        <v>4109</v>
      </c>
      <c r="R933" s="55" t="s">
        <v>6899</v>
      </c>
      <c r="S933" s="55" t="s">
        <v>692</v>
      </c>
      <c r="T933" s="55" t="str">
        <f t="shared" ref="T933:V1017" si="101">SUBSTITUTE(C933, ".", " ")</f>
        <v>De Transportes</v>
      </c>
      <c r="U933" s="55" t="str">
        <f t="shared" si="101"/>
        <v>Terrestres</v>
      </c>
      <c r="V933" s="55" t="str">
        <f t="shared" si="101"/>
        <v>Veículos Leves</v>
      </c>
      <c r="W933" s="54" t="s">
        <v>7259</v>
      </c>
      <c r="X933" s="84" t="str">
        <f t="shared" si="98"/>
        <v>Key-COD-CT-933</v>
      </c>
      <c r="Y933" s="84" t="s">
        <v>5466</v>
      </c>
      <c r="Z933" s="84" t="s">
        <v>692</v>
      </c>
      <c r="AA933" s="84" t="s">
        <v>7168</v>
      </c>
      <c r="AB933" s="84" t="s">
        <v>692</v>
      </c>
      <c r="AC933" s="84" t="s">
        <v>692</v>
      </c>
      <c r="AD933" s="54" t="s">
        <v>692</v>
      </c>
    </row>
    <row r="934" spans="1:30" ht="6.6" customHeight="1" x14ac:dyDescent="0.25">
      <c r="A934" s="85">
        <v>934</v>
      </c>
      <c r="B934" s="80" t="s">
        <v>5419</v>
      </c>
      <c r="C934" s="91" t="s">
        <v>5465</v>
      </c>
      <c r="D934" s="80" t="s">
        <v>4110</v>
      </c>
      <c r="E934" s="62" t="s">
        <v>4111</v>
      </c>
      <c r="F934" s="28" t="s">
        <v>4112</v>
      </c>
      <c r="G934" s="46" t="s">
        <v>692</v>
      </c>
      <c r="H934" s="46" t="s">
        <v>692</v>
      </c>
      <c r="I934" s="46" t="s">
        <v>692</v>
      </c>
      <c r="J934" s="46" t="s">
        <v>692</v>
      </c>
      <c r="K934" s="46" t="s">
        <v>692</v>
      </c>
      <c r="L934" s="63" t="str">
        <f t="shared" si="94"/>
        <v>De.Transportes</v>
      </c>
      <c r="M934" s="90" t="str">
        <f t="shared" si="95"/>
        <v>Aquáticos</v>
      </c>
      <c r="N934" s="90" t="str">
        <f t="shared" si="96"/>
        <v>Navios</v>
      </c>
      <c r="O934" s="55" t="str">
        <f t="shared" si="97"/>
        <v>Petroleiro</v>
      </c>
      <c r="P934" s="58" t="s">
        <v>4113</v>
      </c>
      <c r="Q934" s="63" t="s">
        <v>4114</v>
      </c>
      <c r="R934" s="55" t="s">
        <v>6900</v>
      </c>
      <c r="S934" s="55" t="s">
        <v>692</v>
      </c>
      <c r="T934" s="55" t="str">
        <f t="shared" si="101"/>
        <v>De Transportes</v>
      </c>
      <c r="U934" s="55" t="str">
        <f t="shared" si="101"/>
        <v>Aquáticos</v>
      </c>
      <c r="V934" s="55" t="str">
        <f t="shared" si="101"/>
        <v>Navios</v>
      </c>
      <c r="W934" s="54" t="s">
        <v>7259</v>
      </c>
      <c r="X934" s="84" t="str">
        <f t="shared" si="98"/>
        <v>Key-COD-CT-934</v>
      </c>
      <c r="Y934" s="84" t="s">
        <v>5466</v>
      </c>
      <c r="Z934" s="84" t="s">
        <v>692</v>
      </c>
      <c r="AA934" s="84" t="s">
        <v>7168</v>
      </c>
      <c r="AB934" s="84" t="s">
        <v>692</v>
      </c>
      <c r="AC934" s="84" t="s">
        <v>692</v>
      </c>
      <c r="AD934" s="54" t="s">
        <v>692</v>
      </c>
    </row>
    <row r="935" spans="1:30" ht="6.6" customHeight="1" x14ac:dyDescent="0.25">
      <c r="A935" s="85">
        <v>935</v>
      </c>
      <c r="B935" s="80" t="s">
        <v>5419</v>
      </c>
      <c r="C935" s="91" t="s">
        <v>5465</v>
      </c>
      <c r="D935" s="80" t="s">
        <v>4110</v>
      </c>
      <c r="E935" s="62" t="s">
        <v>4111</v>
      </c>
      <c r="F935" s="28" t="s">
        <v>4115</v>
      </c>
      <c r="G935" s="46" t="s">
        <v>692</v>
      </c>
      <c r="H935" s="46" t="s">
        <v>692</v>
      </c>
      <c r="I935" s="46" t="s">
        <v>692</v>
      </c>
      <c r="J935" s="46" t="s">
        <v>692</v>
      </c>
      <c r="K935" s="46" t="s">
        <v>692</v>
      </c>
      <c r="L935" s="63" t="str">
        <f t="shared" si="94"/>
        <v>De.Transportes</v>
      </c>
      <c r="M935" s="90" t="str">
        <f t="shared" si="95"/>
        <v>Aquáticos</v>
      </c>
      <c r="N935" s="90" t="str">
        <f t="shared" si="96"/>
        <v>Navios</v>
      </c>
      <c r="O935" s="55" t="str">
        <f t="shared" si="97"/>
        <v>Cargueiro</v>
      </c>
      <c r="P935" s="58" t="s">
        <v>4116</v>
      </c>
      <c r="Q935" s="63" t="s">
        <v>4117</v>
      </c>
      <c r="R935" s="55" t="s">
        <v>6901</v>
      </c>
      <c r="S935" s="55" t="s">
        <v>692</v>
      </c>
      <c r="T935" s="55" t="str">
        <f t="shared" si="101"/>
        <v>De Transportes</v>
      </c>
      <c r="U935" s="55" t="str">
        <f t="shared" si="101"/>
        <v>Aquáticos</v>
      </c>
      <c r="V935" s="55" t="str">
        <f t="shared" si="101"/>
        <v>Navios</v>
      </c>
      <c r="W935" s="54" t="s">
        <v>7259</v>
      </c>
      <c r="X935" s="84" t="str">
        <f t="shared" si="98"/>
        <v>Key-COD-CT-935</v>
      </c>
      <c r="Y935" s="84" t="s">
        <v>5466</v>
      </c>
      <c r="Z935" s="84" t="s">
        <v>692</v>
      </c>
      <c r="AA935" s="84" t="s">
        <v>7168</v>
      </c>
      <c r="AB935" s="84" t="s">
        <v>692</v>
      </c>
      <c r="AC935" s="84" t="s">
        <v>692</v>
      </c>
      <c r="AD935" s="54" t="s">
        <v>692</v>
      </c>
    </row>
    <row r="936" spans="1:30" ht="6.6" customHeight="1" x14ac:dyDescent="0.25">
      <c r="A936" s="85">
        <v>936</v>
      </c>
      <c r="B936" s="80" t="s">
        <v>5419</v>
      </c>
      <c r="C936" s="91" t="s">
        <v>5465</v>
      </c>
      <c r="D936" s="80" t="s">
        <v>4110</v>
      </c>
      <c r="E936" s="62" t="s">
        <v>4111</v>
      </c>
      <c r="F936" s="28" t="s">
        <v>4118</v>
      </c>
      <c r="G936" s="46" t="s">
        <v>692</v>
      </c>
      <c r="H936" s="46" t="s">
        <v>692</v>
      </c>
      <c r="I936" s="46" t="s">
        <v>692</v>
      </c>
      <c r="J936" s="46" t="s">
        <v>692</v>
      </c>
      <c r="K936" s="46" t="s">
        <v>692</v>
      </c>
      <c r="L936" s="63" t="str">
        <f t="shared" si="94"/>
        <v>De.Transportes</v>
      </c>
      <c r="M936" s="90" t="str">
        <f t="shared" si="95"/>
        <v>Aquáticos</v>
      </c>
      <c r="N936" s="90" t="str">
        <f t="shared" si="96"/>
        <v>Navios</v>
      </c>
      <c r="O936" s="55" t="str">
        <f t="shared" si="97"/>
        <v>Handysize</v>
      </c>
      <c r="P936" s="58" t="s">
        <v>4119</v>
      </c>
      <c r="Q936" s="63" t="s">
        <v>4120</v>
      </c>
      <c r="R936" s="55" t="s">
        <v>6902</v>
      </c>
      <c r="S936" s="55" t="s">
        <v>692</v>
      </c>
      <c r="T936" s="55" t="str">
        <f t="shared" si="101"/>
        <v>De Transportes</v>
      </c>
      <c r="U936" s="55" t="str">
        <f t="shared" si="101"/>
        <v>Aquáticos</v>
      </c>
      <c r="V936" s="55" t="str">
        <f t="shared" si="101"/>
        <v>Navios</v>
      </c>
      <c r="W936" s="54" t="s">
        <v>7259</v>
      </c>
      <c r="X936" s="84" t="str">
        <f t="shared" si="98"/>
        <v>Key-COD-CT-936</v>
      </c>
      <c r="Y936" s="84" t="s">
        <v>5466</v>
      </c>
      <c r="Z936" s="84" t="s">
        <v>692</v>
      </c>
      <c r="AA936" s="84" t="s">
        <v>7168</v>
      </c>
      <c r="AB936" s="84" t="s">
        <v>692</v>
      </c>
      <c r="AC936" s="84" t="s">
        <v>692</v>
      </c>
      <c r="AD936" s="54" t="s">
        <v>692</v>
      </c>
    </row>
    <row r="937" spans="1:30" ht="6.6" customHeight="1" x14ac:dyDescent="0.25">
      <c r="A937" s="85">
        <v>937</v>
      </c>
      <c r="B937" s="80" t="s">
        <v>5419</v>
      </c>
      <c r="C937" s="91" t="s">
        <v>5465</v>
      </c>
      <c r="D937" s="80" t="s">
        <v>4110</v>
      </c>
      <c r="E937" s="62" t="s">
        <v>4111</v>
      </c>
      <c r="F937" s="28" t="s">
        <v>4121</v>
      </c>
      <c r="G937" s="46" t="s">
        <v>692</v>
      </c>
      <c r="H937" s="46" t="s">
        <v>692</v>
      </c>
      <c r="I937" s="46" t="s">
        <v>692</v>
      </c>
      <c r="J937" s="46" t="s">
        <v>692</v>
      </c>
      <c r="K937" s="46" t="s">
        <v>692</v>
      </c>
      <c r="L937" s="63" t="str">
        <f t="shared" si="94"/>
        <v>De.Transportes</v>
      </c>
      <c r="M937" s="90" t="str">
        <f t="shared" si="95"/>
        <v>Aquáticos</v>
      </c>
      <c r="N937" s="90" t="str">
        <f t="shared" si="96"/>
        <v>Navios</v>
      </c>
      <c r="O937" s="55" t="str">
        <f t="shared" si="97"/>
        <v>Handymax</v>
      </c>
      <c r="P937" s="58" t="s">
        <v>4122</v>
      </c>
      <c r="Q937" s="63" t="s">
        <v>4123</v>
      </c>
      <c r="R937" s="55" t="s">
        <v>6903</v>
      </c>
      <c r="S937" s="55" t="s">
        <v>692</v>
      </c>
      <c r="T937" s="55" t="str">
        <f t="shared" si="101"/>
        <v>De Transportes</v>
      </c>
      <c r="U937" s="55" t="str">
        <f t="shared" si="101"/>
        <v>Aquáticos</v>
      </c>
      <c r="V937" s="55" t="str">
        <f t="shared" si="101"/>
        <v>Navios</v>
      </c>
      <c r="W937" s="54" t="s">
        <v>7259</v>
      </c>
      <c r="X937" s="84" t="str">
        <f t="shared" si="98"/>
        <v>Key-COD-CT-937</v>
      </c>
      <c r="Y937" s="84" t="s">
        <v>5466</v>
      </c>
      <c r="Z937" s="84" t="s">
        <v>692</v>
      </c>
      <c r="AA937" s="84" t="s">
        <v>7168</v>
      </c>
      <c r="AB937" s="84" t="s">
        <v>692</v>
      </c>
      <c r="AC937" s="84" t="s">
        <v>692</v>
      </c>
      <c r="AD937" s="54" t="s">
        <v>692</v>
      </c>
    </row>
    <row r="938" spans="1:30" ht="6.6" customHeight="1" x14ac:dyDescent="0.25">
      <c r="A938" s="85">
        <v>938</v>
      </c>
      <c r="B938" s="80" t="s">
        <v>5419</v>
      </c>
      <c r="C938" s="91" t="s">
        <v>5465</v>
      </c>
      <c r="D938" s="80" t="s">
        <v>4110</v>
      </c>
      <c r="E938" s="62" t="s">
        <v>4111</v>
      </c>
      <c r="F938" s="28" t="s">
        <v>4124</v>
      </c>
      <c r="G938" s="46" t="s">
        <v>692</v>
      </c>
      <c r="H938" s="46" t="s">
        <v>692</v>
      </c>
      <c r="I938" s="46" t="s">
        <v>692</v>
      </c>
      <c r="J938" s="46" t="s">
        <v>692</v>
      </c>
      <c r="K938" s="46" t="s">
        <v>692</v>
      </c>
      <c r="L938" s="63" t="str">
        <f t="shared" si="94"/>
        <v>De.Transportes</v>
      </c>
      <c r="M938" s="90" t="str">
        <f t="shared" si="95"/>
        <v>Aquáticos</v>
      </c>
      <c r="N938" s="90" t="str">
        <f t="shared" si="96"/>
        <v>Navios</v>
      </c>
      <c r="O938" s="55" t="str">
        <f t="shared" si="97"/>
        <v>Supramax</v>
      </c>
      <c r="P938" s="58" t="s">
        <v>4125</v>
      </c>
      <c r="Q938" s="63" t="s">
        <v>4126</v>
      </c>
      <c r="R938" s="55" t="s">
        <v>6904</v>
      </c>
      <c r="S938" s="55" t="s">
        <v>692</v>
      </c>
      <c r="T938" s="55" t="str">
        <f t="shared" si="101"/>
        <v>De Transportes</v>
      </c>
      <c r="U938" s="55" t="str">
        <f t="shared" si="101"/>
        <v>Aquáticos</v>
      </c>
      <c r="V938" s="55" t="str">
        <f t="shared" si="101"/>
        <v>Navios</v>
      </c>
      <c r="W938" s="54" t="s">
        <v>7259</v>
      </c>
      <c r="X938" s="84" t="str">
        <f t="shared" si="98"/>
        <v>Key-COD-CT-938</v>
      </c>
      <c r="Y938" s="84" t="s">
        <v>5466</v>
      </c>
      <c r="Z938" s="84" t="s">
        <v>692</v>
      </c>
      <c r="AA938" s="84" t="s">
        <v>7168</v>
      </c>
      <c r="AB938" s="84" t="s">
        <v>692</v>
      </c>
      <c r="AC938" s="84" t="s">
        <v>692</v>
      </c>
      <c r="AD938" s="54" t="s">
        <v>692</v>
      </c>
    </row>
    <row r="939" spans="1:30" ht="6.6" customHeight="1" x14ac:dyDescent="0.25">
      <c r="A939" s="85">
        <v>939</v>
      </c>
      <c r="B939" s="80" t="s">
        <v>5419</v>
      </c>
      <c r="C939" s="91" t="s">
        <v>5465</v>
      </c>
      <c r="D939" s="80" t="s">
        <v>4110</v>
      </c>
      <c r="E939" s="62" t="s">
        <v>4111</v>
      </c>
      <c r="F939" s="28" t="s">
        <v>4127</v>
      </c>
      <c r="G939" s="46" t="s">
        <v>692</v>
      </c>
      <c r="H939" s="46" t="s">
        <v>692</v>
      </c>
      <c r="I939" s="46" t="s">
        <v>692</v>
      </c>
      <c r="J939" s="46" t="s">
        <v>692</v>
      </c>
      <c r="K939" s="46" t="s">
        <v>692</v>
      </c>
      <c r="L939" s="63" t="str">
        <f t="shared" si="94"/>
        <v>De.Transportes</v>
      </c>
      <c r="M939" s="90" t="str">
        <f t="shared" si="95"/>
        <v>Aquáticos</v>
      </c>
      <c r="N939" s="90" t="str">
        <f t="shared" si="96"/>
        <v>Navios</v>
      </c>
      <c r="O939" s="55" t="str">
        <f t="shared" si="97"/>
        <v>Panamax</v>
      </c>
      <c r="P939" s="58" t="s">
        <v>4128</v>
      </c>
      <c r="Q939" s="63" t="s">
        <v>4129</v>
      </c>
      <c r="R939" s="55" t="s">
        <v>6905</v>
      </c>
      <c r="S939" s="55" t="s">
        <v>692</v>
      </c>
      <c r="T939" s="55" t="str">
        <f t="shared" si="101"/>
        <v>De Transportes</v>
      </c>
      <c r="U939" s="55" t="str">
        <f t="shared" si="101"/>
        <v>Aquáticos</v>
      </c>
      <c r="V939" s="55" t="str">
        <f t="shared" si="101"/>
        <v>Navios</v>
      </c>
      <c r="W939" s="54" t="s">
        <v>7259</v>
      </c>
      <c r="X939" s="84" t="str">
        <f t="shared" si="98"/>
        <v>Key-COD-CT-939</v>
      </c>
      <c r="Y939" s="84" t="s">
        <v>5466</v>
      </c>
      <c r="Z939" s="84" t="s">
        <v>692</v>
      </c>
      <c r="AA939" s="84" t="s">
        <v>7168</v>
      </c>
      <c r="AB939" s="84" t="s">
        <v>692</v>
      </c>
      <c r="AC939" s="84" t="s">
        <v>692</v>
      </c>
      <c r="AD939" s="54" t="s">
        <v>692</v>
      </c>
    </row>
    <row r="940" spans="1:30" ht="6.6" customHeight="1" x14ac:dyDescent="0.25">
      <c r="A940" s="85">
        <v>940</v>
      </c>
      <c r="B940" s="80" t="s">
        <v>5419</v>
      </c>
      <c r="C940" s="91" t="s">
        <v>5465</v>
      </c>
      <c r="D940" s="80" t="s">
        <v>4110</v>
      </c>
      <c r="E940" s="62" t="s">
        <v>4111</v>
      </c>
      <c r="F940" s="28" t="s">
        <v>4130</v>
      </c>
      <c r="G940" s="46" t="s">
        <v>692</v>
      </c>
      <c r="H940" s="46" t="s">
        <v>692</v>
      </c>
      <c r="I940" s="46" t="s">
        <v>692</v>
      </c>
      <c r="J940" s="46" t="s">
        <v>692</v>
      </c>
      <c r="K940" s="46" t="s">
        <v>692</v>
      </c>
      <c r="L940" s="63" t="str">
        <f t="shared" si="94"/>
        <v>De.Transportes</v>
      </c>
      <c r="M940" s="90" t="str">
        <f t="shared" si="95"/>
        <v>Aquáticos</v>
      </c>
      <c r="N940" s="90" t="str">
        <f t="shared" si="96"/>
        <v>Navios</v>
      </c>
      <c r="O940" s="55" t="str">
        <f t="shared" si="97"/>
        <v>Neopanamax</v>
      </c>
      <c r="P940" s="58" t="s">
        <v>4131</v>
      </c>
      <c r="Q940" s="63" t="s">
        <v>4132</v>
      </c>
      <c r="R940" s="55" t="s">
        <v>6906</v>
      </c>
      <c r="S940" s="55" t="s">
        <v>692</v>
      </c>
      <c r="T940" s="55" t="str">
        <f t="shared" si="101"/>
        <v>De Transportes</v>
      </c>
      <c r="U940" s="55" t="str">
        <f t="shared" si="101"/>
        <v>Aquáticos</v>
      </c>
      <c r="V940" s="55" t="str">
        <f t="shared" si="101"/>
        <v>Navios</v>
      </c>
      <c r="W940" s="54" t="s">
        <v>7259</v>
      </c>
      <c r="X940" s="84" t="str">
        <f t="shared" si="98"/>
        <v>Key-COD-CT-940</v>
      </c>
      <c r="Y940" s="84" t="s">
        <v>5466</v>
      </c>
      <c r="Z940" s="84" t="s">
        <v>692</v>
      </c>
      <c r="AA940" s="84" t="s">
        <v>7168</v>
      </c>
      <c r="AB940" s="84" t="s">
        <v>692</v>
      </c>
      <c r="AC940" s="84" t="s">
        <v>692</v>
      </c>
      <c r="AD940" s="54" t="s">
        <v>692</v>
      </c>
    </row>
    <row r="941" spans="1:30" ht="6.6" customHeight="1" x14ac:dyDescent="0.25">
      <c r="A941" s="85">
        <v>941</v>
      </c>
      <c r="B941" s="80" t="s">
        <v>5419</v>
      </c>
      <c r="C941" s="91" t="s">
        <v>5465</v>
      </c>
      <c r="D941" s="80" t="s">
        <v>4110</v>
      </c>
      <c r="E941" s="62" t="s">
        <v>4111</v>
      </c>
      <c r="F941" s="28" t="s">
        <v>4133</v>
      </c>
      <c r="G941" s="46" t="s">
        <v>692</v>
      </c>
      <c r="H941" s="46" t="s">
        <v>692</v>
      </c>
      <c r="I941" s="46" t="s">
        <v>692</v>
      </c>
      <c r="J941" s="46" t="s">
        <v>692</v>
      </c>
      <c r="K941" s="46" t="s">
        <v>692</v>
      </c>
      <c r="L941" s="63" t="str">
        <f t="shared" si="94"/>
        <v>De.Transportes</v>
      </c>
      <c r="M941" s="90" t="str">
        <f t="shared" si="95"/>
        <v>Aquáticos</v>
      </c>
      <c r="N941" s="90" t="str">
        <f t="shared" si="96"/>
        <v>Navios</v>
      </c>
      <c r="O941" s="55" t="str">
        <f t="shared" si="97"/>
        <v>Aframax</v>
      </c>
      <c r="P941" s="58" t="s">
        <v>4134</v>
      </c>
      <c r="Q941" s="63" t="s">
        <v>4135</v>
      </c>
      <c r="R941" s="55" t="s">
        <v>6907</v>
      </c>
      <c r="S941" s="55" t="s">
        <v>692</v>
      </c>
      <c r="T941" s="55" t="str">
        <f t="shared" si="101"/>
        <v>De Transportes</v>
      </c>
      <c r="U941" s="55" t="str">
        <f t="shared" si="101"/>
        <v>Aquáticos</v>
      </c>
      <c r="V941" s="55" t="str">
        <f t="shared" si="101"/>
        <v>Navios</v>
      </c>
      <c r="W941" s="54" t="s">
        <v>7259</v>
      </c>
      <c r="X941" s="84" t="str">
        <f t="shared" si="98"/>
        <v>Key-COD-CT-941</v>
      </c>
      <c r="Y941" s="84" t="s">
        <v>5466</v>
      </c>
      <c r="Z941" s="84" t="s">
        <v>692</v>
      </c>
      <c r="AA941" s="84" t="s">
        <v>7168</v>
      </c>
      <c r="AB941" s="84" t="s">
        <v>692</v>
      </c>
      <c r="AC941" s="84" t="s">
        <v>692</v>
      </c>
      <c r="AD941" s="54" t="s">
        <v>692</v>
      </c>
    </row>
    <row r="942" spans="1:30" ht="6.6" customHeight="1" x14ac:dyDescent="0.25">
      <c r="A942" s="85">
        <v>942</v>
      </c>
      <c r="B942" s="80" t="s">
        <v>5419</v>
      </c>
      <c r="C942" s="91" t="s">
        <v>5465</v>
      </c>
      <c r="D942" s="80" t="s">
        <v>4110</v>
      </c>
      <c r="E942" s="62" t="s">
        <v>4111</v>
      </c>
      <c r="F942" s="28" t="s">
        <v>4136</v>
      </c>
      <c r="G942" s="46" t="s">
        <v>692</v>
      </c>
      <c r="H942" s="46" t="s">
        <v>692</v>
      </c>
      <c r="I942" s="46" t="s">
        <v>692</v>
      </c>
      <c r="J942" s="46" t="s">
        <v>692</v>
      </c>
      <c r="K942" s="46" t="s">
        <v>692</v>
      </c>
      <c r="L942" s="63" t="str">
        <f t="shared" si="94"/>
        <v>De.Transportes</v>
      </c>
      <c r="M942" s="90" t="str">
        <f t="shared" si="95"/>
        <v>Aquáticos</v>
      </c>
      <c r="N942" s="90" t="str">
        <f t="shared" si="96"/>
        <v>Navios</v>
      </c>
      <c r="O942" s="55" t="str">
        <f t="shared" si="97"/>
        <v>Suezmax</v>
      </c>
      <c r="P942" s="58" t="s">
        <v>4137</v>
      </c>
      <c r="Q942" s="63" t="s">
        <v>4138</v>
      </c>
      <c r="R942" s="55" t="s">
        <v>6908</v>
      </c>
      <c r="S942" s="55" t="s">
        <v>692</v>
      </c>
      <c r="T942" s="55" t="str">
        <f t="shared" si="101"/>
        <v>De Transportes</v>
      </c>
      <c r="U942" s="55" t="str">
        <f t="shared" si="101"/>
        <v>Aquáticos</v>
      </c>
      <c r="V942" s="55" t="str">
        <f t="shared" si="101"/>
        <v>Navios</v>
      </c>
      <c r="W942" s="54" t="s">
        <v>7259</v>
      </c>
      <c r="X942" s="84" t="str">
        <f t="shared" si="98"/>
        <v>Key-COD-CT-942</v>
      </c>
      <c r="Y942" s="84" t="s">
        <v>5466</v>
      </c>
      <c r="Z942" s="84" t="s">
        <v>692</v>
      </c>
      <c r="AA942" s="84" t="s">
        <v>7168</v>
      </c>
      <c r="AB942" s="84" t="s">
        <v>692</v>
      </c>
      <c r="AC942" s="84" t="s">
        <v>692</v>
      </c>
      <c r="AD942" s="54" t="s">
        <v>692</v>
      </c>
    </row>
    <row r="943" spans="1:30" ht="6.6" customHeight="1" x14ac:dyDescent="0.25">
      <c r="A943" s="85">
        <v>943</v>
      </c>
      <c r="B943" s="80" t="s">
        <v>5419</v>
      </c>
      <c r="C943" s="91" t="s">
        <v>5465</v>
      </c>
      <c r="D943" s="80" t="s">
        <v>4110</v>
      </c>
      <c r="E943" s="62" t="s">
        <v>4111</v>
      </c>
      <c r="F943" s="28" t="s">
        <v>4139</v>
      </c>
      <c r="G943" s="46" t="s">
        <v>692</v>
      </c>
      <c r="H943" s="46" t="s">
        <v>692</v>
      </c>
      <c r="I943" s="46" t="s">
        <v>692</v>
      </c>
      <c r="J943" s="46" t="s">
        <v>692</v>
      </c>
      <c r="K943" s="46" t="s">
        <v>692</v>
      </c>
      <c r="L943" s="63" t="str">
        <f t="shared" si="94"/>
        <v>De.Transportes</v>
      </c>
      <c r="M943" s="90" t="str">
        <f t="shared" si="95"/>
        <v>Aquáticos</v>
      </c>
      <c r="N943" s="90" t="str">
        <f t="shared" si="96"/>
        <v>Navios</v>
      </c>
      <c r="O943" s="55" t="str">
        <f t="shared" si="97"/>
        <v>Capesize</v>
      </c>
      <c r="P943" s="58" t="s">
        <v>4140</v>
      </c>
      <c r="Q943" s="63" t="s">
        <v>4141</v>
      </c>
      <c r="R943" s="55" t="s">
        <v>6909</v>
      </c>
      <c r="S943" s="55" t="s">
        <v>692</v>
      </c>
      <c r="T943" s="55" t="str">
        <f t="shared" si="101"/>
        <v>De Transportes</v>
      </c>
      <c r="U943" s="55" t="str">
        <f t="shared" si="101"/>
        <v>Aquáticos</v>
      </c>
      <c r="V943" s="55" t="str">
        <f t="shared" si="101"/>
        <v>Navios</v>
      </c>
      <c r="W943" s="54" t="s">
        <v>7259</v>
      </c>
      <c r="X943" s="84" t="str">
        <f t="shared" si="98"/>
        <v>Key-COD-CT-943</v>
      </c>
      <c r="Y943" s="84" t="s">
        <v>5466</v>
      </c>
      <c r="Z943" s="84" t="s">
        <v>692</v>
      </c>
      <c r="AA943" s="84" t="s">
        <v>7168</v>
      </c>
      <c r="AB943" s="84" t="s">
        <v>692</v>
      </c>
      <c r="AC943" s="84" t="s">
        <v>692</v>
      </c>
      <c r="AD943" s="54" t="s">
        <v>692</v>
      </c>
    </row>
    <row r="944" spans="1:30" ht="6.6" customHeight="1" x14ac:dyDescent="0.25">
      <c r="A944" s="85">
        <v>944</v>
      </c>
      <c r="B944" s="80" t="s">
        <v>5419</v>
      </c>
      <c r="C944" s="91" t="s">
        <v>5465</v>
      </c>
      <c r="D944" s="80" t="s">
        <v>4110</v>
      </c>
      <c r="E944" s="62" t="s">
        <v>4111</v>
      </c>
      <c r="F944" s="28" t="s">
        <v>4142</v>
      </c>
      <c r="G944" s="46" t="s">
        <v>692</v>
      </c>
      <c r="H944" s="46" t="s">
        <v>692</v>
      </c>
      <c r="I944" s="46" t="s">
        <v>692</v>
      </c>
      <c r="J944" s="46" t="s">
        <v>692</v>
      </c>
      <c r="K944" s="46" t="s">
        <v>692</v>
      </c>
      <c r="L944" s="63" t="str">
        <f t="shared" si="94"/>
        <v>De.Transportes</v>
      </c>
      <c r="M944" s="90" t="str">
        <f t="shared" si="95"/>
        <v>Aquáticos</v>
      </c>
      <c r="N944" s="90" t="str">
        <f t="shared" si="96"/>
        <v>Navios</v>
      </c>
      <c r="O944" s="55" t="str">
        <f t="shared" si="97"/>
        <v>Superpetroleiro</v>
      </c>
      <c r="P944" s="58" t="s">
        <v>4143</v>
      </c>
      <c r="Q944" s="63" t="s">
        <v>4144</v>
      </c>
      <c r="R944" s="55" t="s">
        <v>6910</v>
      </c>
      <c r="S944" s="55" t="s">
        <v>692</v>
      </c>
      <c r="T944" s="55" t="str">
        <f t="shared" si="101"/>
        <v>De Transportes</v>
      </c>
      <c r="U944" s="55" t="str">
        <f t="shared" si="101"/>
        <v>Aquáticos</v>
      </c>
      <c r="V944" s="55" t="str">
        <f t="shared" si="101"/>
        <v>Navios</v>
      </c>
      <c r="W944" s="54" t="s">
        <v>7259</v>
      </c>
      <c r="X944" s="84" t="str">
        <f t="shared" si="98"/>
        <v>Key-COD-CT-944</v>
      </c>
      <c r="Y944" s="84" t="s">
        <v>5466</v>
      </c>
      <c r="Z944" s="84" t="s">
        <v>692</v>
      </c>
      <c r="AA944" s="84" t="s">
        <v>7168</v>
      </c>
      <c r="AB944" s="84" t="s">
        <v>692</v>
      </c>
      <c r="AC944" s="84" t="s">
        <v>692</v>
      </c>
      <c r="AD944" s="54" t="s">
        <v>692</v>
      </c>
    </row>
    <row r="945" spans="1:30" ht="6.6" customHeight="1" x14ac:dyDescent="0.25">
      <c r="A945" s="85">
        <v>945</v>
      </c>
      <c r="B945" s="80" t="s">
        <v>5419</v>
      </c>
      <c r="C945" s="91" t="s">
        <v>5465</v>
      </c>
      <c r="D945" s="80" t="s">
        <v>4110</v>
      </c>
      <c r="E945" s="62" t="s">
        <v>4111</v>
      </c>
      <c r="F945" s="28" t="s">
        <v>4145</v>
      </c>
      <c r="G945" s="46" t="s">
        <v>692</v>
      </c>
      <c r="H945" s="46" t="s">
        <v>692</v>
      </c>
      <c r="I945" s="46" t="s">
        <v>692</v>
      </c>
      <c r="J945" s="46" t="s">
        <v>692</v>
      </c>
      <c r="K945" s="46" t="s">
        <v>692</v>
      </c>
      <c r="L945" s="63" t="str">
        <f t="shared" si="94"/>
        <v>De.Transportes</v>
      </c>
      <c r="M945" s="90" t="str">
        <f t="shared" si="95"/>
        <v>Aquáticos</v>
      </c>
      <c r="N945" s="90" t="str">
        <f t="shared" si="96"/>
        <v>Navios</v>
      </c>
      <c r="O945" s="55" t="str">
        <f t="shared" si="97"/>
        <v>Ultrapetroleiro</v>
      </c>
      <c r="P945" s="58" t="s">
        <v>4146</v>
      </c>
      <c r="Q945" s="63" t="s">
        <v>4147</v>
      </c>
      <c r="R945" s="55" t="s">
        <v>6911</v>
      </c>
      <c r="S945" s="55" t="s">
        <v>692</v>
      </c>
      <c r="T945" s="55" t="str">
        <f t="shared" si="101"/>
        <v>De Transportes</v>
      </c>
      <c r="U945" s="55" t="str">
        <f t="shared" si="101"/>
        <v>Aquáticos</v>
      </c>
      <c r="V945" s="55" t="str">
        <f t="shared" si="101"/>
        <v>Navios</v>
      </c>
      <c r="W945" s="54" t="s">
        <v>7259</v>
      </c>
      <c r="X945" s="84" t="str">
        <f t="shared" si="98"/>
        <v>Key-COD-CT-945</v>
      </c>
      <c r="Y945" s="84" t="s">
        <v>5466</v>
      </c>
      <c r="Z945" s="84" t="s">
        <v>692</v>
      </c>
      <c r="AA945" s="84" t="s">
        <v>7168</v>
      </c>
      <c r="AB945" s="84" t="s">
        <v>692</v>
      </c>
      <c r="AC945" s="84" t="s">
        <v>692</v>
      </c>
      <c r="AD945" s="54" t="s">
        <v>692</v>
      </c>
    </row>
    <row r="946" spans="1:30" ht="6.6" customHeight="1" x14ac:dyDescent="0.25">
      <c r="A946" s="85">
        <v>946</v>
      </c>
      <c r="B946" s="80" t="s">
        <v>5419</v>
      </c>
      <c r="C946" s="91" t="s">
        <v>5465</v>
      </c>
      <c r="D946" s="80" t="s">
        <v>4110</v>
      </c>
      <c r="E946" s="62" t="s">
        <v>4111</v>
      </c>
      <c r="F946" s="28" t="s">
        <v>4148</v>
      </c>
      <c r="G946" s="46" t="s">
        <v>692</v>
      </c>
      <c r="H946" s="46" t="s">
        <v>692</v>
      </c>
      <c r="I946" s="46" t="s">
        <v>692</v>
      </c>
      <c r="J946" s="46" t="s">
        <v>692</v>
      </c>
      <c r="K946" s="46" t="s">
        <v>692</v>
      </c>
      <c r="L946" s="63" t="str">
        <f t="shared" si="94"/>
        <v>De.Transportes</v>
      </c>
      <c r="M946" s="90" t="str">
        <f t="shared" si="95"/>
        <v>Aquáticos</v>
      </c>
      <c r="N946" s="90" t="str">
        <f t="shared" si="96"/>
        <v>Navios</v>
      </c>
      <c r="O946" s="55" t="str">
        <f t="shared" si="97"/>
        <v>Chinamax</v>
      </c>
      <c r="P946" s="58" t="s">
        <v>4149</v>
      </c>
      <c r="Q946" s="63" t="s">
        <v>4150</v>
      </c>
      <c r="R946" s="55" t="s">
        <v>6912</v>
      </c>
      <c r="S946" s="55" t="s">
        <v>692</v>
      </c>
      <c r="T946" s="55" t="str">
        <f t="shared" si="101"/>
        <v>De Transportes</v>
      </c>
      <c r="U946" s="55" t="str">
        <f t="shared" si="101"/>
        <v>Aquáticos</v>
      </c>
      <c r="V946" s="55" t="str">
        <f t="shared" si="101"/>
        <v>Navios</v>
      </c>
      <c r="W946" s="54" t="s">
        <v>7259</v>
      </c>
      <c r="X946" s="84" t="str">
        <f t="shared" si="98"/>
        <v>Key-COD-CT-946</v>
      </c>
      <c r="Y946" s="84" t="s">
        <v>5466</v>
      </c>
      <c r="Z946" s="84" t="s">
        <v>692</v>
      </c>
      <c r="AA946" s="84" t="s">
        <v>7168</v>
      </c>
      <c r="AB946" s="84" t="s">
        <v>692</v>
      </c>
      <c r="AC946" s="84" t="s">
        <v>692</v>
      </c>
      <c r="AD946" s="54" t="s">
        <v>692</v>
      </c>
    </row>
    <row r="947" spans="1:30" ht="6.6" customHeight="1" x14ac:dyDescent="0.25">
      <c r="A947" s="85">
        <v>947</v>
      </c>
      <c r="B947" s="80" t="s">
        <v>5419</v>
      </c>
      <c r="C947" s="91" t="s">
        <v>5465</v>
      </c>
      <c r="D947" s="80" t="s">
        <v>4110</v>
      </c>
      <c r="E947" s="62" t="s">
        <v>4111</v>
      </c>
      <c r="F947" s="28" t="s">
        <v>4151</v>
      </c>
      <c r="G947" s="46" t="s">
        <v>692</v>
      </c>
      <c r="H947" s="46" t="s">
        <v>692</v>
      </c>
      <c r="I947" s="46" t="s">
        <v>692</v>
      </c>
      <c r="J947" s="46" t="s">
        <v>692</v>
      </c>
      <c r="K947" s="46" t="s">
        <v>692</v>
      </c>
      <c r="L947" s="63" t="str">
        <f t="shared" si="94"/>
        <v>De.Transportes</v>
      </c>
      <c r="M947" s="90" t="str">
        <f t="shared" si="95"/>
        <v>Aquáticos</v>
      </c>
      <c r="N947" s="90" t="str">
        <f t="shared" si="96"/>
        <v>Navios</v>
      </c>
      <c r="O947" s="55" t="str">
        <f t="shared" si="97"/>
        <v>Cruzeiro</v>
      </c>
      <c r="P947" s="58" t="s">
        <v>4152</v>
      </c>
      <c r="Q947" s="63" t="s">
        <v>4153</v>
      </c>
      <c r="R947" s="55" t="s">
        <v>6913</v>
      </c>
      <c r="S947" s="55" t="s">
        <v>692</v>
      </c>
      <c r="T947" s="55" t="str">
        <f t="shared" si="101"/>
        <v>De Transportes</v>
      </c>
      <c r="U947" s="55" t="str">
        <f t="shared" si="101"/>
        <v>Aquáticos</v>
      </c>
      <c r="V947" s="55" t="str">
        <f t="shared" si="101"/>
        <v>Navios</v>
      </c>
      <c r="W947" s="54" t="s">
        <v>7259</v>
      </c>
      <c r="X947" s="84" t="str">
        <f t="shared" si="98"/>
        <v>Key-COD-CT-947</v>
      </c>
      <c r="Y947" s="84" t="s">
        <v>5466</v>
      </c>
      <c r="Z947" s="84" t="s">
        <v>692</v>
      </c>
      <c r="AA947" s="84" t="s">
        <v>7168</v>
      </c>
      <c r="AB947" s="84" t="s">
        <v>692</v>
      </c>
      <c r="AC947" s="84" t="s">
        <v>692</v>
      </c>
      <c r="AD947" s="54" t="s">
        <v>692</v>
      </c>
    </row>
    <row r="948" spans="1:30" ht="6.6" customHeight="1" x14ac:dyDescent="0.25">
      <c r="A948" s="85">
        <v>948</v>
      </c>
      <c r="B948" s="80" t="s">
        <v>5419</v>
      </c>
      <c r="C948" s="91" t="s">
        <v>5465</v>
      </c>
      <c r="D948" s="80" t="s">
        <v>4110</v>
      </c>
      <c r="E948" s="62" t="s">
        <v>4111</v>
      </c>
      <c r="F948" s="28" t="s">
        <v>4154</v>
      </c>
      <c r="G948" s="46" t="s">
        <v>692</v>
      </c>
      <c r="H948" s="46" t="s">
        <v>692</v>
      </c>
      <c r="I948" s="46" t="s">
        <v>692</v>
      </c>
      <c r="J948" s="46" t="s">
        <v>692</v>
      </c>
      <c r="K948" s="46" t="s">
        <v>692</v>
      </c>
      <c r="L948" s="63" t="str">
        <f t="shared" si="94"/>
        <v>De.Transportes</v>
      </c>
      <c r="M948" s="90" t="str">
        <f t="shared" si="95"/>
        <v>Aquáticos</v>
      </c>
      <c r="N948" s="90" t="str">
        <f t="shared" si="96"/>
        <v>Navios</v>
      </c>
      <c r="O948" s="55" t="str">
        <f t="shared" si="97"/>
        <v>Militar</v>
      </c>
      <c r="P948" s="58" t="s">
        <v>4155</v>
      </c>
      <c r="Q948" s="63" t="s">
        <v>4156</v>
      </c>
      <c r="R948" s="55" t="s">
        <v>6914</v>
      </c>
      <c r="S948" s="55" t="s">
        <v>692</v>
      </c>
      <c r="T948" s="55" t="str">
        <f t="shared" si="101"/>
        <v>De Transportes</v>
      </c>
      <c r="U948" s="55" t="str">
        <f t="shared" si="101"/>
        <v>Aquáticos</v>
      </c>
      <c r="V948" s="55" t="str">
        <f t="shared" si="101"/>
        <v>Navios</v>
      </c>
      <c r="W948" s="54" t="s">
        <v>7259</v>
      </c>
      <c r="X948" s="84" t="str">
        <f t="shared" si="98"/>
        <v>Key-COD-CT-948</v>
      </c>
      <c r="Y948" s="84" t="s">
        <v>5466</v>
      </c>
      <c r="Z948" s="84" t="s">
        <v>692</v>
      </c>
      <c r="AA948" s="84" t="s">
        <v>7168</v>
      </c>
      <c r="AB948" s="84" t="s">
        <v>692</v>
      </c>
      <c r="AC948" s="84" t="s">
        <v>692</v>
      </c>
      <c r="AD948" s="54" t="s">
        <v>692</v>
      </c>
    </row>
    <row r="949" spans="1:30" ht="6.6" customHeight="1" x14ac:dyDescent="0.25">
      <c r="A949" s="85">
        <v>949</v>
      </c>
      <c r="B949" s="80" t="s">
        <v>5419</v>
      </c>
      <c r="C949" s="91" t="s">
        <v>5465</v>
      </c>
      <c r="D949" s="80" t="s">
        <v>4110</v>
      </c>
      <c r="E949" s="62" t="s">
        <v>4111</v>
      </c>
      <c r="F949" s="28" t="s">
        <v>4157</v>
      </c>
      <c r="G949" s="46" t="s">
        <v>692</v>
      </c>
      <c r="H949" s="46" t="s">
        <v>692</v>
      </c>
      <c r="I949" s="46" t="s">
        <v>692</v>
      </c>
      <c r="J949" s="46" t="s">
        <v>692</v>
      </c>
      <c r="K949" s="46" t="s">
        <v>692</v>
      </c>
      <c r="L949" s="63" t="str">
        <f t="shared" si="94"/>
        <v>De.Transportes</v>
      </c>
      <c r="M949" s="90" t="str">
        <f t="shared" si="95"/>
        <v>Aquáticos</v>
      </c>
      <c r="N949" s="90" t="str">
        <f t="shared" si="96"/>
        <v>Navios</v>
      </c>
      <c r="O949" s="55" t="str">
        <f t="shared" si="97"/>
        <v>Científico</v>
      </c>
      <c r="P949" s="58" t="s">
        <v>4158</v>
      </c>
      <c r="Q949" s="63" t="s">
        <v>4159</v>
      </c>
      <c r="R949" s="55" t="s">
        <v>6915</v>
      </c>
      <c r="S949" s="55" t="s">
        <v>692</v>
      </c>
      <c r="T949" s="55" t="str">
        <f t="shared" si="101"/>
        <v>De Transportes</v>
      </c>
      <c r="U949" s="55" t="str">
        <f t="shared" si="101"/>
        <v>Aquáticos</v>
      </c>
      <c r="V949" s="55" t="str">
        <f t="shared" si="101"/>
        <v>Navios</v>
      </c>
      <c r="W949" s="54" t="s">
        <v>7259</v>
      </c>
      <c r="X949" s="84" t="str">
        <f t="shared" si="98"/>
        <v>Key-COD-CT-949</v>
      </c>
      <c r="Y949" s="84" t="s">
        <v>5466</v>
      </c>
      <c r="Z949" s="84" t="s">
        <v>692</v>
      </c>
      <c r="AA949" s="84" t="s">
        <v>7168</v>
      </c>
      <c r="AB949" s="84" t="s">
        <v>692</v>
      </c>
      <c r="AC949" s="84" t="s">
        <v>692</v>
      </c>
      <c r="AD949" s="54" t="s">
        <v>692</v>
      </c>
    </row>
    <row r="950" spans="1:30" ht="6.6" customHeight="1" x14ac:dyDescent="0.25">
      <c r="A950" s="85">
        <v>950</v>
      </c>
      <c r="B950" s="80" t="s">
        <v>5419</v>
      </c>
      <c r="C950" s="91" t="s">
        <v>5465</v>
      </c>
      <c r="D950" s="80" t="s">
        <v>4110</v>
      </c>
      <c r="E950" s="62" t="s">
        <v>4111</v>
      </c>
      <c r="F950" s="28" t="s">
        <v>4160</v>
      </c>
      <c r="G950" s="46" t="s">
        <v>692</v>
      </c>
      <c r="H950" s="46" t="s">
        <v>692</v>
      </c>
      <c r="I950" s="46" t="s">
        <v>692</v>
      </c>
      <c r="J950" s="46" t="s">
        <v>692</v>
      </c>
      <c r="K950" s="46" t="s">
        <v>692</v>
      </c>
      <c r="L950" s="63" t="str">
        <f t="shared" si="94"/>
        <v>De.Transportes</v>
      </c>
      <c r="M950" s="90" t="str">
        <f t="shared" si="95"/>
        <v>Aquáticos</v>
      </c>
      <c r="N950" s="90" t="str">
        <f t="shared" si="96"/>
        <v>Navios</v>
      </c>
      <c r="O950" s="55" t="str">
        <f t="shared" si="97"/>
        <v>Clipper</v>
      </c>
      <c r="P950" s="58" t="s">
        <v>4161</v>
      </c>
      <c r="Q950" s="63" t="s">
        <v>4162</v>
      </c>
      <c r="R950" s="55" t="s">
        <v>6916</v>
      </c>
      <c r="S950" s="55" t="s">
        <v>692</v>
      </c>
      <c r="T950" s="55" t="str">
        <f t="shared" si="101"/>
        <v>De Transportes</v>
      </c>
      <c r="U950" s="55" t="str">
        <f t="shared" si="101"/>
        <v>Aquáticos</v>
      </c>
      <c r="V950" s="55" t="str">
        <f t="shared" si="101"/>
        <v>Navios</v>
      </c>
      <c r="W950" s="54" t="s">
        <v>7259</v>
      </c>
      <c r="X950" s="84" t="str">
        <f t="shared" si="98"/>
        <v>Key-COD-CT-950</v>
      </c>
      <c r="Y950" s="84" t="s">
        <v>5466</v>
      </c>
      <c r="Z950" s="84" t="s">
        <v>692</v>
      </c>
      <c r="AA950" s="84" t="s">
        <v>7168</v>
      </c>
      <c r="AB950" s="84" t="s">
        <v>692</v>
      </c>
      <c r="AC950" s="84" t="s">
        <v>692</v>
      </c>
      <c r="AD950" s="54" t="s">
        <v>692</v>
      </c>
    </row>
    <row r="951" spans="1:30" ht="6.6" customHeight="1" x14ac:dyDescent="0.25">
      <c r="A951" s="85">
        <v>951</v>
      </c>
      <c r="B951" s="80" t="s">
        <v>5419</v>
      </c>
      <c r="C951" s="91" t="s">
        <v>5465</v>
      </c>
      <c r="D951" s="80" t="s">
        <v>4110</v>
      </c>
      <c r="E951" s="64" t="s">
        <v>4163</v>
      </c>
      <c r="F951" s="28" t="s">
        <v>4164</v>
      </c>
      <c r="G951" s="46" t="s">
        <v>692</v>
      </c>
      <c r="H951" s="46" t="s">
        <v>692</v>
      </c>
      <c r="I951" s="46" t="s">
        <v>692</v>
      </c>
      <c r="J951" s="46" t="s">
        <v>692</v>
      </c>
      <c r="K951" s="46" t="s">
        <v>692</v>
      </c>
      <c r="L951" s="63" t="str">
        <f t="shared" si="94"/>
        <v>De.Transportes</v>
      </c>
      <c r="M951" s="90" t="str">
        <f t="shared" si="95"/>
        <v>Aquáticos</v>
      </c>
      <c r="N951" s="90" t="str">
        <f t="shared" si="96"/>
        <v>Embarcações</v>
      </c>
      <c r="O951" s="55" t="str">
        <f t="shared" si="97"/>
        <v>Rebocador</v>
      </c>
      <c r="P951" s="58" t="s">
        <v>4165</v>
      </c>
      <c r="Q951" s="63" t="s">
        <v>4166</v>
      </c>
      <c r="R951" s="55" t="s">
        <v>6917</v>
      </c>
      <c r="S951" s="55" t="s">
        <v>692</v>
      </c>
      <c r="T951" s="55" t="str">
        <f t="shared" si="101"/>
        <v>De Transportes</v>
      </c>
      <c r="U951" s="55" t="str">
        <f t="shared" si="101"/>
        <v>Aquáticos</v>
      </c>
      <c r="V951" s="55" t="str">
        <f t="shared" si="101"/>
        <v>Embarcações</v>
      </c>
      <c r="W951" s="54" t="s">
        <v>7259</v>
      </c>
      <c r="X951" s="84" t="str">
        <f t="shared" si="98"/>
        <v>Key-COD-CT-951</v>
      </c>
      <c r="Y951" s="84" t="s">
        <v>5466</v>
      </c>
      <c r="Z951" s="84" t="s">
        <v>692</v>
      </c>
      <c r="AA951" s="84" t="s">
        <v>7168</v>
      </c>
      <c r="AB951" s="84" t="s">
        <v>692</v>
      </c>
      <c r="AC951" s="84" t="s">
        <v>692</v>
      </c>
      <c r="AD951" s="54" t="s">
        <v>692</v>
      </c>
    </row>
    <row r="952" spans="1:30" ht="6.6" customHeight="1" x14ac:dyDescent="0.25">
      <c r="A952" s="85">
        <v>952</v>
      </c>
      <c r="B952" s="80" t="s">
        <v>5419</v>
      </c>
      <c r="C952" s="91" t="s">
        <v>5465</v>
      </c>
      <c r="D952" s="80" t="s">
        <v>4110</v>
      </c>
      <c r="E952" s="64" t="s">
        <v>4163</v>
      </c>
      <c r="F952" s="28" t="s">
        <v>4167</v>
      </c>
      <c r="G952" s="46" t="s">
        <v>692</v>
      </c>
      <c r="H952" s="46" t="s">
        <v>692</v>
      </c>
      <c r="I952" s="46" t="s">
        <v>692</v>
      </c>
      <c r="J952" s="46" t="s">
        <v>692</v>
      </c>
      <c r="K952" s="46" t="s">
        <v>692</v>
      </c>
      <c r="L952" s="63" t="str">
        <f t="shared" si="94"/>
        <v>De.Transportes</v>
      </c>
      <c r="M952" s="90" t="str">
        <f t="shared" si="95"/>
        <v>Aquáticos</v>
      </c>
      <c r="N952" s="90" t="str">
        <f t="shared" si="96"/>
        <v>Embarcações</v>
      </c>
      <c r="O952" s="55" t="str">
        <f t="shared" si="97"/>
        <v>Offshore</v>
      </c>
      <c r="P952" s="58" t="s">
        <v>4168</v>
      </c>
      <c r="Q952" s="63" t="s">
        <v>4169</v>
      </c>
      <c r="R952" s="55" t="s">
        <v>6918</v>
      </c>
      <c r="S952" s="55" t="s">
        <v>692</v>
      </c>
      <c r="T952" s="55" t="str">
        <f t="shared" si="101"/>
        <v>De Transportes</v>
      </c>
      <c r="U952" s="55" t="str">
        <f t="shared" si="101"/>
        <v>Aquáticos</v>
      </c>
      <c r="V952" s="55" t="str">
        <f t="shared" si="101"/>
        <v>Embarcações</v>
      </c>
      <c r="W952" s="54" t="s">
        <v>7259</v>
      </c>
      <c r="X952" s="84" t="str">
        <f t="shared" si="98"/>
        <v>Key-COD-CT-952</v>
      </c>
      <c r="Y952" s="84" t="s">
        <v>5466</v>
      </c>
      <c r="Z952" s="84" t="s">
        <v>692</v>
      </c>
      <c r="AA952" s="84" t="s">
        <v>7168</v>
      </c>
      <c r="AB952" s="84" t="s">
        <v>692</v>
      </c>
      <c r="AC952" s="84" t="s">
        <v>692</v>
      </c>
      <c r="AD952" s="54" t="s">
        <v>692</v>
      </c>
    </row>
    <row r="953" spans="1:30" ht="6.6" customHeight="1" x14ac:dyDescent="0.25">
      <c r="A953" s="85">
        <v>953</v>
      </c>
      <c r="B953" s="80" t="s">
        <v>5419</v>
      </c>
      <c r="C953" s="91" t="s">
        <v>5465</v>
      </c>
      <c r="D953" s="80" t="s">
        <v>4110</v>
      </c>
      <c r="E953" s="64" t="s">
        <v>4163</v>
      </c>
      <c r="F953" s="65" t="s">
        <v>4170</v>
      </c>
      <c r="G953" s="93" t="s">
        <v>692</v>
      </c>
      <c r="H953" s="93" t="s">
        <v>692</v>
      </c>
      <c r="I953" s="93" t="s">
        <v>692</v>
      </c>
      <c r="J953" s="46" t="s">
        <v>692</v>
      </c>
      <c r="K953" s="46" t="s">
        <v>692</v>
      </c>
      <c r="L953" s="63" t="str">
        <f t="shared" si="94"/>
        <v>De.Transportes</v>
      </c>
      <c r="M953" s="90" t="str">
        <f t="shared" si="95"/>
        <v>Aquáticos</v>
      </c>
      <c r="N953" s="90" t="str">
        <f t="shared" si="96"/>
        <v>Embarcações</v>
      </c>
      <c r="O953" s="55" t="str">
        <f t="shared" si="97"/>
        <v>Aliscafo</v>
      </c>
      <c r="P953" s="58" t="s">
        <v>4171</v>
      </c>
      <c r="Q953" s="63" t="s">
        <v>4172</v>
      </c>
      <c r="R953" s="55" t="s">
        <v>6919</v>
      </c>
      <c r="S953" s="55" t="s">
        <v>692</v>
      </c>
      <c r="T953" s="55" t="str">
        <f t="shared" si="101"/>
        <v>De Transportes</v>
      </c>
      <c r="U953" s="55" t="str">
        <f t="shared" si="101"/>
        <v>Aquáticos</v>
      </c>
      <c r="V953" s="55" t="str">
        <f t="shared" si="101"/>
        <v>Embarcações</v>
      </c>
      <c r="W953" s="54" t="s">
        <v>7259</v>
      </c>
      <c r="X953" s="84" t="str">
        <f t="shared" si="98"/>
        <v>Key-COD-CT-953</v>
      </c>
      <c r="Y953" s="84" t="s">
        <v>5466</v>
      </c>
      <c r="Z953" s="84" t="s">
        <v>692</v>
      </c>
      <c r="AA953" s="84" t="s">
        <v>7168</v>
      </c>
      <c r="AB953" s="84" t="s">
        <v>692</v>
      </c>
      <c r="AC953" s="84" t="s">
        <v>692</v>
      </c>
      <c r="AD953" s="54" t="s">
        <v>692</v>
      </c>
    </row>
    <row r="954" spans="1:30" ht="6.6" customHeight="1" x14ac:dyDescent="0.25">
      <c r="A954" s="85">
        <v>954</v>
      </c>
      <c r="B954" s="80" t="s">
        <v>5419</v>
      </c>
      <c r="C954" s="91" t="s">
        <v>5465</v>
      </c>
      <c r="D954" s="80" t="s">
        <v>4110</v>
      </c>
      <c r="E954" s="64" t="s">
        <v>4163</v>
      </c>
      <c r="F954" s="65" t="s">
        <v>4173</v>
      </c>
      <c r="G954" s="93" t="s">
        <v>692</v>
      </c>
      <c r="H954" s="93" t="s">
        <v>692</v>
      </c>
      <c r="I954" s="93" t="s">
        <v>692</v>
      </c>
      <c r="J954" s="46" t="s">
        <v>692</v>
      </c>
      <c r="K954" s="46" t="s">
        <v>692</v>
      </c>
      <c r="L954" s="63" t="str">
        <f t="shared" ref="L954:L996" si="102">_xlfn.CONCAT(C954)</f>
        <v>De.Transportes</v>
      </c>
      <c r="M954" s="90" t="str">
        <f t="shared" ref="M954:M996" si="103">CONCATENATE("", D954)</f>
        <v>Aquáticos</v>
      </c>
      <c r="N954" s="90" t="str">
        <f t="shared" ref="N954:N1017" si="104">(SUBSTITUTE(SUBSTITUTE(CONCATENATE("",E954),"."," ")," De "," de "))</f>
        <v>Embarcações</v>
      </c>
      <c r="O954" s="55" t="str">
        <f t="shared" ref="O954:O1017" si="105">F954</f>
        <v>Ferry</v>
      </c>
      <c r="P954" s="58" t="s">
        <v>4174</v>
      </c>
      <c r="Q954" s="63" t="s">
        <v>4175</v>
      </c>
      <c r="R954" s="55" t="s">
        <v>6920</v>
      </c>
      <c r="S954" s="55" t="s">
        <v>692</v>
      </c>
      <c r="T954" s="55" t="str">
        <f t="shared" si="101"/>
        <v>De Transportes</v>
      </c>
      <c r="U954" s="55" t="str">
        <f t="shared" si="101"/>
        <v>Aquáticos</v>
      </c>
      <c r="V954" s="55" t="str">
        <f t="shared" si="101"/>
        <v>Embarcações</v>
      </c>
      <c r="W954" s="54" t="s">
        <v>7259</v>
      </c>
      <c r="X954" s="84" t="str">
        <f t="shared" si="98"/>
        <v>Key-COD-CT-954</v>
      </c>
      <c r="Y954" s="84" t="s">
        <v>5466</v>
      </c>
      <c r="Z954" s="84" t="s">
        <v>692</v>
      </c>
      <c r="AA954" s="84" t="s">
        <v>7168</v>
      </c>
      <c r="AB954" s="84" t="s">
        <v>692</v>
      </c>
      <c r="AC954" s="84" t="s">
        <v>692</v>
      </c>
      <c r="AD954" s="54" t="s">
        <v>692</v>
      </c>
    </row>
    <row r="955" spans="1:30" ht="6.6" customHeight="1" x14ac:dyDescent="0.25">
      <c r="A955" s="85">
        <v>955</v>
      </c>
      <c r="B955" s="80" t="s">
        <v>5419</v>
      </c>
      <c r="C955" s="91" t="s">
        <v>5465</v>
      </c>
      <c r="D955" s="80" t="s">
        <v>4110</v>
      </c>
      <c r="E955" s="64" t="s">
        <v>4163</v>
      </c>
      <c r="F955" s="65" t="s">
        <v>4176</v>
      </c>
      <c r="G955" s="93" t="s">
        <v>692</v>
      </c>
      <c r="H955" s="93" t="s">
        <v>692</v>
      </c>
      <c r="I955" s="93" t="s">
        <v>692</v>
      </c>
      <c r="J955" s="46" t="s">
        <v>692</v>
      </c>
      <c r="K955" s="46" t="s">
        <v>692</v>
      </c>
      <c r="L955" s="63" t="str">
        <f t="shared" si="102"/>
        <v>De.Transportes</v>
      </c>
      <c r="M955" s="90" t="str">
        <f t="shared" si="103"/>
        <v>Aquáticos</v>
      </c>
      <c r="N955" s="90" t="str">
        <f t="shared" si="104"/>
        <v>Embarcações</v>
      </c>
      <c r="O955" s="55" t="str">
        <f t="shared" si="105"/>
        <v>Lancha</v>
      </c>
      <c r="P955" s="58" t="s">
        <v>4177</v>
      </c>
      <c r="Q955" s="63" t="s">
        <v>4178</v>
      </c>
      <c r="R955" s="55" t="s">
        <v>6921</v>
      </c>
      <c r="S955" s="55" t="s">
        <v>692</v>
      </c>
      <c r="T955" s="55" t="str">
        <f t="shared" si="101"/>
        <v>De Transportes</v>
      </c>
      <c r="U955" s="55" t="str">
        <f t="shared" si="101"/>
        <v>Aquáticos</v>
      </c>
      <c r="V955" s="55" t="str">
        <f t="shared" si="101"/>
        <v>Embarcações</v>
      </c>
      <c r="W955" s="54" t="s">
        <v>7259</v>
      </c>
      <c r="X955" s="84" t="str">
        <f t="shared" si="98"/>
        <v>Key-COD-CT-955</v>
      </c>
      <c r="Y955" s="84" t="s">
        <v>5466</v>
      </c>
      <c r="Z955" s="84" t="s">
        <v>692</v>
      </c>
      <c r="AA955" s="84" t="s">
        <v>7168</v>
      </c>
      <c r="AB955" s="84" t="s">
        <v>692</v>
      </c>
      <c r="AC955" s="84" t="s">
        <v>692</v>
      </c>
      <c r="AD955" s="54" t="s">
        <v>692</v>
      </c>
    </row>
    <row r="956" spans="1:30" ht="6.6" customHeight="1" x14ac:dyDescent="0.25">
      <c r="A956" s="85">
        <v>956</v>
      </c>
      <c r="B956" s="80" t="s">
        <v>5419</v>
      </c>
      <c r="C956" s="91" t="s">
        <v>5465</v>
      </c>
      <c r="D956" s="80" t="s">
        <v>4110</v>
      </c>
      <c r="E956" s="64" t="s">
        <v>4163</v>
      </c>
      <c r="F956" s="65" t="s">
        <v>4179</v>
      </c>
      <c r="G956" s="93" t="s">
        <v>692</v>
      </c>
      <c r="H956" s="93" t="s">
        <v>692</v>
      </c>
      <c r="I956" s="93" t="s">
        <v>692</v>
      </c>
      <c r="J956" s="46" t="s">
        <v>692</v>
      </c>
      <c r="K956" s="46" t="s">
        <v>692</v>
      </c>
      <c r="L956" s="63" t="str">
        <f t="shared" si="102"/>
        <v>De.Transportes</v>
      </c>
      <c r="M956" s="90" t="str">
        <f t="shared" si="103"/>
        <v>Aquáticos</v>
      </c>
      <c r="N956" s="90" t="str">
        <f t="shared" si="104"/>
        <v>Embarcações</v>
      </c>
      <c r="O956" s="55" t="str">
        <f t="shared" si="105"/>
        <v>Bote</v>
      </c>
      <c r="P956" s="58" t="s">
        <v>4180</v>
      </c>
      <c r="Q956" s="63" t="s">
        <v>4181</v>
      </c>
      <c r="R956" s="55" t="s">
        <v>6922</v>
      </c>
      <c r="S956" s="55" t="s">
        <v>692</v>
      </c>
      <c r="T956" s="55" t="str">
        <f t="shared" si="101"/>
        <v>De Transportes</v>
      </c>
      <c r="U956" s="55" t="str">
        <f t="shared" si="101"/>
        <v>Aquáticos</v>
      </c>
      <c r="V956" s="55" t="str">
        <f t="shared" si="101"/>
        <v>Embarcações</v>
      </c>
      <c r="W956" s="54" t="s">
        <v>7259</v>
      </c>
      <c r="X956" s="84" t="str">
        <f t="shared" si="98"/>
        <v>Key-COD-CT-956</v>
      </c>
      <c r="Y956" s="84" t="s">
        <v>5466</v>
      </c>
      <c r="Z956" s="84" t="s">
        <v>692</v>
      </c>
      <c r="AA956" s="84" t="s">
        <v>7168</v>
      </c>
      <c r="AB956" s="84" t="s">
        <v>692</v>
      </c>
      <c r="AC956" s="84" t="s">
        <v>692</v>
      </c>
      <c r="AD956" s="54" t="s">
        <v>692</v>
      </c>
    </row>
    <row r="957" spans="1:30" ht="6.6" customHeight="1" x14ac:dyDescent="0.25">
      <c r="A957" s="85">
        <v>957</v>
      </c>
      <c r="B957" s="80" t="s">
        <v>5419</v>
      </c>
      <c r="C957" s="91" t="s">
        <v>5465</v>
      </c>
      <c r="D957" s="80" t="s">
        <v>4110</v>
      </c>
      <c r="E957" s="64" t="s">
        <v>4163</v>
      </c>
      <c r="F957" s="65" t="s">
        <v>4182</v>
      </c>
      <c r="G957" s="93" t="s">
        <v>692</v>
      </c>
      <c r="H957" s="93" t="s">
        <v>692</v>
      </c>
      <c r="I957" s="93" t="s">
        <v>692</v>
      </c>
      <c r="J957" s="46" t="s">
        <v>692</v>
      </c>
      <c r="K957" s="46" t="s">
        <v>692</v>
      </c>
      <c r="L957" s="63" t="str">
        <f t="shared" si="102"/>
        <v>De.Transportes</v>
      </c>
      <c r="M957" s="90" t="str">
        <f t="shared" si="103"/>
        <v>Aquáticos</v>
      </c>
      <c r="N957" s="90" t="str">
        <f t="shared" si="104"/>
        <v>Embarcações</v>
      </c>
      <c r="O957" s="55" t="str">
        <f t="shared" si="105"/>
        <v>Iate</v>
      </c>
      <c r="P957" s="58" t="s">
        <v>4183</v>
      </c>
      <c r="Q957" s="63" t="s">
        <v>4184</v>
      </c>
      <c r="R957" s="55" t="s">
        <v>6923</v>
      </c>
      <c r="S957" s="55" t="s">
        <v>692</v>
      </c>
      <c r="T957" s="55" t="str">
        <f t="shared" si="101"/>
        <v>De Transportes</v>
      </c>
      <c r="U957" s="55" t="str">
        <f t="shared" si="101"/>
        <v>Aquáticos</v>
      </c>
      <c r="V957" s="55" t="str">
        <f t="shared" si="101"/>
        <v>Embarcações</v>
      </c>
      <c r="W957" s="54" t="s">
        <v>7259</v>
      </c>
      <c r="X957" s="84" t="str">
        <f t="shared" si="98"/>
        <v>Key-COD-CT-957</v>
      </c>
      <c r="Y957" s="84" t="s">
        <v>5466</v>
      </c>
      <c r="Z957" s="84" t="s">
        <v>692</v>
      </c>
      <c r="AA957" s="84" t="s">
        <v>7168</v>
      </c>
      <c r="AB957" s="84" t="s">
        <v>692</v>
      </c>
      <c r="AC957" s="84" t="s">
        <v>692</v>
      </c>
      <c r="AD957" s="54" t="s">
        <v>692</v>
      </c>
    </row>
    <row r="958" spans="1:30" ht="6.6" customHeight="1" x14ac:dyDescent="0.25">
      <c r="A958" s="85">
        <v>958</v>
      </c>
      <c r="B958" s="80" t="s">
        <v>5419</v>
      </c>
      <c r="C958" s="91" t="s">
        <v>5465</v>
      </c>
      <c r="D958" s="80" t="s">
        <v>4110</v>
      </c>
      <c r="E958" s="64" t="s">
        <v>4163</v>
      </c>
      <c r="F958" s="65" t="s">
        <v>4185</v>
      </c>
      <c r="G958" s="93" t="s">
        <v>692</v>
      </c>
      <c r="H958" s="93" t="s">
        <v>692</v>
      </c>
      <c r="I958" s="93" t="s">
        <v>692</v>
      </c>
      <c r="J958" s="46" t="s">
        <v>692</v>
      </c>
      <c r="K958" s="46" t="s">
        <v>692</v>
      </c>
      <c r="L958" s="63" t="str">
        <f t="shared" si="102"/>
        <v>De.Transportes</v>
      </c>
      <c r="M958" s="90" t="str">
        <f t="shared" si="103"/>
        <v>Aquáticos</v>
      </c>
      <c r="N958" s="90" t="str">
        <f t="shared" si="104"/>
        <v>Embarcações</v>
      </c>
      <c r="O958" s="55" t="str">
        <f t="shared" si="105"/>
        <v>Catamarã</v>
      </c>
      <c r="P958" s="58" t="s">
        <v>4186</v>
      </c>
      <c r="Q958" s="63" t="s">
        <v>4187</v>
      </c>
      <c r="R958" s="55" t="s">
        <v>6924</v>
      </c>
      <c r="S958" s="55" t="s">
        <v>692</v>
      </c>
      <c r="T958" s="55" t="str">
        <f t="shared" si="101"/>
        <v>De Transportes</v>
      </c>
      <c r="U958" s="55" t="str">
        <f t="shared" si="101"/>
        <v>Aquáticos</v>
      </c>
      <c r="V958" s="55" t="str">
        <f t="shared" si="101"/>
        <v>Embarcações</v>
      </c>
      <c r="W958" s="54" t="s">
        <v>7259</v>
      </c>
      <c r="X958" s="84" t="str">
        <f t="shared" si="98"/>
        <v>Key-COD-CT-958</v>
      </c>
      <c r="Y958" s="84" t="s">
        <v>5466</v>
      </c>
      <c r="Z958" s="84" t="s">
        <v>692</v>
      </c>
      <c r="AA958" s="84" t="s">
        <v>7168</v>
      </c>
      <c r="AB958" s="84" t="s">
        <v>692</v>
      </c>
      <c r="AC958" s="84" t="s">
        <v>692</v>
      </c>
      <c r="AD958" s="54" t="s">
        <v>692</v>
      </c>
    </row>
    <row r="959" spans="1:30" ht="6.6" customHeight="1" x14ac:dyDescent="0.25">
      <c r="A959" s="85">
        <v>959</v>
      </c>
      <c r="B959" s="80" t="s">
        <v>5419</v>
      </c>
      <c r="C959" s="91" t="s">
        <v>5465</v>
      </c>
      <c r="D959" s="80" t="s">
        <v>4110</v>
      </c>
      <c r="E959" s="64" t="s">
        <v>4163</v>
      </c>
      <c r="F959" s="65" t="s">
        <v>4188</v>
      </c>
      <c r="G959" s="93" t="s">
        <v>692</v>
      </c>
      <c r="H959" s="93" t="s">
        <v>692</v>
      </c>
      <c r="I959" s="93" t="s">
        <v>692</v>
      </c>
      <c r="J959" s="46" t="s">
        <v>692</v>
      </c>
      <c r="K959" s="46" t="s">
        <v>692</v>
      </c>
      <c r="L959" s="63" t="str">
        <f t="shared" si="102"/>
        <v>De.Transportes</v>
      </c>
      <c r="M959" s="90" t="str">
        <f t="shared" si="103"/>
        <v>Aquáticos</v>
      </c>
      <c r="N959" s="90" t="str">
        <f t="shared" si="104"/>
        <v>Embarcações</v>
      </c>
      <c r="O959" s="55" t="str">
        <f t="shared" si="105"/>
        <v>Veleiro</v>
      </c>
      <c r="P959" s="58" t="s">
        <v>4189</v>
      </c>
      <c r="Q959" s="63" t="s">
        <v>4190</v>
      </c>
      <c r="R959" s="55" t="s">
        <v>6925</v>
      </c>
      <c r="S959" s="55" t="s">
        <v>692</v>
      </c>
      <c r="T959" s="55" t="str">
        <f t="shared" si="101"/>
        <v>De Transportes</v>
      </c>
      <c r="U959" s="55" t="str">
        <f t="shared" si="101"/>
        <v>Aquáticos</v>
      </c>
      <c r="V959" s="55" t="str">
        <f t="shared" si="101"/>
        <v>Embarcações</v>
      </c>
      <c r="W959" s="54" t="s">
        <v>7259</v>
      </c>
      <c r="X959" s="84" t="str">
        <f t="shared" si="98"/>
        <v>Key-COD-CT-959</v>
      </c>
      <c r="Y959" s="84" t="s">
        <v>5466</v>
      </c>
      <c r="Z959" s="84" t="s">
        <v>692</v>
      </c>
      <c r="AA959" s="84" t="s">
        <v>7169</v>
      </c>
      <c r="AB959" s="84" t="s">
        <v>692</v>
      </c>
      <c r="AC959" s="84" t="s">
        <v>692</v>
      </c>
      <c r="AD959" s="54" t="s">
        <v>692</v>
      </c>
    </row>
    <row r="960" spans="1:30" ht="6.6" customHeight="1" x14ac:dyDescent="0.25">
      <c r="A960" s="85">
        <v>960</v>
      </c>
      <c r="B960" s="80" t="s">
        <v>5419</v>
      </c>
      <c r="C960" s="91" t="s">
        <v>5465</v>
      </c>
      <c r="D960" s="80" t="s">
        <v>4191</v>
      </c>
      <c r="E960" s="64" t="s">
        <v>4192</v>
      </c>
      <c r="F960" s="65" t="s">
        <v>4193</v>
      </c>
      <c r="G960" s="93" t="s">
        <v>692</v>
      </c>
      <c r="H960" s="93" t="s">
        <v>692</v>
      </c>
      <c r="I960" s="93" t="s">
        <v>692</v>
      </c>
      <c r="J960" s="46" t="s">
        <v>692</v>
      </c>
      <c r="K960" s="46" t="s">
        <v>692</v>
      </c>
      <c r="L960" s="63" t="str">
        <f t="shared" si="102"/>
        <v>De.Transportes</v>
      </c>
      <c r="M960" s="90" t="str">
        <f t="shared" si="103"/>
        <v>Aéreos</v>
      </c>
      <c r="N960" s="90" t="str">
        <f t="shared" si="104"/>
        <v>Aviões</v>
      </c>
      <c r="O960" s="55" t="str">
        <f t="shared" si="105"/>
        <v>Avião.de.Fuselagem.Larga</v>
      </c>
      <c r="P960" s="58" t="s">
        <v>4194</v>
      </c>
      <c r="Q960" s="63" t="s">
        <v>4195</v>
      </c>
      <c r="R960" s="55" t="s">
        <v>6926</v>
      </c>
      <c r="S960" s="55" t="s">
        <v>692</v>
      </c>
      <c r="T960" s="55" t="str">
        <f t="shared" si="101"/>
        <v>De Transportes</v>
      </c>
      <c r="U960" s="55" t="str">
        <f t="shared" si="101"/>
        <v>Aéreos</v>
      </c>
      <c r="V960" s="55" t="str">
        <f t="shared" si="101"/>
        <v>Aviões</v>
      </c>
      <c r="W960" s="54" t="s">
        <v>7259</v>
      </c>
      <c r="X960" s="84" t="str">
        <f t="shared" si="98"/>
        <v>Key-COD-CT-960</v>
      </c>
      <c r="Y960" s="84" t="s">
        <v>5466</v>
      </c>
      <c r="Z960" s="84" t="s">
        <v>692</v>
      </c>
      <c r="AA960" s="84" t="s">
        <v>7169</v>
      </c>
      <c r="AB960" s="84" t="s">
        <v>692</v>
      </c>
      <c r="AC960" s="84" t="s">
        <v>692</v>
      </c>
      <c r="AD960" s="54" t="s">
        <v>692</v>
      </c>
    </row>
    <row r="961" spans="1:30" ht="6.6" customHeight="1" x14ac:dyDescent="0.25">
      <c r="A961" s="85">
        <v>961</v>
      </c>
      <c r="B961" s="80" t="s">
        <v>5419</v>
      </c>
      <c r="C961" s="91" t="s">
        <v>5465</v>
      </c>
      <c r="D961" s="80" t="s">
        <v>4191</v>
      </c>
      <c r="E961" s="64" t="s">
        <v>4192</v>
      </c>
      <c r="F961" s="65" t="s">
        <v>4196</v>
      </c>
      <c r="G961" s="93" t="s">
        <v>692</v>
      </c>
      <c r="H961" s="93" t="s">
        <v>692</v>
      </c>
      <c r="I961" s="93" t="s">
        <v>692</v>
      </c>
      <c r="J961" s="46" t="s">
        <v>692</v>
      </c>
      <c r="K961" s="46" t="s">
        <v>692</v>
      </c>
      <c r="L961" s="63" t="str">
        <f t="shared" si="102"/>
        <v>De.Transportes</v>
      </c>
      <c r="M961" s="90" t="str">
        <f t="shared" si="103"/>
        <v>Aéreos</v>
      </c>
      <c r="N961" s="90" t="str">
        <f t="shared" si="104"/>
        <v>Aviões</v>
      </c>
      <c r="O961" s="55" t="str">
        <f t="shared" si="105"/>
        <v>Avião.de.Fuselagem.Estreita</v>
      </c>
      <c r="P961" s="58" t="s">
        <v>4197</v>
      </c>
      <c r="Q961" s="63" t="s">
        <v>4198</v>
      </c>
      <c r="R961" s="55" t="s">
        <v>6927</v>
      </c>
      <c r="S961" s="55" t="s">
        <v>692</v>
      </c>
      <c r="T961" s="55" t="str">
        <f t="shared" si="101"/>
        <v>De Transportes</v>
      </c>
      <c r="U961" s="55" t="str">
        <f t="shared" si="101"/>
        <v>Aéreos</v>
      </c>
      <c r="V961" s="55" t="str">
        <f t="shared" si="101"/>
        <v>Aviões</v>
      </c>
      <c r="W961" s="54" t="s">
        <v>7259</v>
      </c>
      <c r="X961" s="84" t="str">
        <f t="shared" si="98"/>
        <v>Key-COD-CT-961</v>
      </c>
      <c r="Y961" s="84" t="s">
        <v>5466</v>
      </c>
      <c r="Z961" s="84" t="s">
        <v>692</v>
      </c>
      <c r="AA961" s="84" t="s">
        <v>7169</v>
      </c>
      <c r="AB961" s="84" t="s">
        <v>692</v>
      </c>
      <c r="AC961" s="84" t="s">
        <v>692</v>
      </c>
      <c r="AD961" s="54" t="s">
        <v>692</v>
      </c>
    </row>
    <row r="962" spans="1:30" ht="6.6" customHeight="1" x14ac:dyDescent="0.25">
      <c r="A962" s="85">
        <v>962</v>
      </c>
      <c r="B962" s="80" t="s">
        <v>5419</v>
      </c>
      <c r="C962" s="91" t="s">
        <v>5465</v>
      </c>
      <c r="D962" s="80" t="s">
        <v>4191</v>
      </c>
      <c r="E962" s="64" t="s">
        <v>4192</v>
      </c>
      <c r="F962" s="65" t="s">
        <v>4199</v>
      </c>
      <c r="G962" s="93" t="s">
        <v>692</v>
      </c>
      <c r="H962" s="93" t="s">
        <v>692</v>
      </c>
      <c r="I962" s="93" t="s">
        <v>692</v>
      </c>
      <c r="J962" s="46" t="s">
        <v>692</v>
      </c>
      <c r="K962" s="46" t="s">
        <v>692</v>
      </c>
      <c r="L962" s="63" t="str">
        <f t="shared" si="102"/>
        <v>De.Transportes</v>
      </c>
      <c r="M962" s="90" t="str">
        <f t="shared" si="103"/>
        <v>Aéreos</v>
      </c>
      <c r="N962" s="90" t="str">
        <f t="shared" si="104"/>
        <v>Aviões</v>
      </c>
      <c r="O962" s="55" t="str">
        <f t="shared" si="105"/>
        <v>Jet.Executivo</v>
      </c>
      <c r="P962" s="58" t="s">
        <v>4200</v>
      </c>
      <c r="Q962" s="63" t="s">
        <v>4201</v>
      </c>
      <c r="R962" s="55" t="s">
        <v>6928</v>
      </c>
      <c r="S962" s="55" t="s">
        <v>692</v>
      </c>
      <c r="T962" s="55" t="str">
        <f t="shared" si="101"/>
        <v>De Transportes</v>
      </c>
      <c r="U962" s="55" t="str">
        <f t="shared" si="101"/>
        <v>Aéreos</v>
      </c>
      <c r="V962" s="55" t="str">
        <f t="shared" si="101"/>
        <v>Aviões</v>
      </c>
      <c r="W962" s="54" t="s">
        <v>7259</v>
      </c>
      <c r="X962" s="84" t="str">
        <f t="shared" si="98"/>
        <v>Key-COD-CT-962</v>
      </c>
      <c r="Y962" s="84" t="s">
        <v>5466</v>
      </c>
      <c r="Z962" s="84" t="s">
        <v>692</v>
      </c>
      <c r="AA962" s="84" t="s">
        <v>7169</v>
      </c>
      <c r="AB962" s="84" t="s">
        <v>692</v>
      </c>
      <c r="AC962" s="84" t="s">
        <v>692</v>
      </c>
      <c r="AD962" s="54" t="s">
        <v>692</v>
      </c>
    </row>
    <row r="963" spans="1:30" ht="6.6" customHeight="1" x14ac:dyDescent="0.25">
      <c r="A963" s="85">
        <v>963</v>
      </c>
      <c r="B963" s="80" t="s">
        <v>5419</v>
      </c>
      <c r="C963" s="91" t="s">
        <v>5465</v>
      </c>
      <c r="D963" s="80" t="s">
        <v>4191</v>
      </c>
      <c r="E963" s="64" t="s">
        <v>4192</v>
      </c>
      <c r="F963" s="65" t="s">
        <v>4202</v>
      </c>
      <c r="G963" s="93" t="s">
        <v>692</v>
      </c>
      <c r="H963" s="93" t="s">
        <v>692</v>
      </c>
      <c r="I963" s="93" t="s">
        <v>692</v>
      </c>
      <c r="J963" s="46" t="s">
        <v>692</v>
      </c>
      <c r="K963" s="46" t="s">
        <v>692</v>
      </c>
      <c r="L963" s="63" t="str">
        <f t="shared" si="102"/>
        <v>De.Transportes</v>
      </c>
      <c r="M963" s="90" t="str">
        <f t="shared" si="103"/>
        <v>Aéreos</v>
      </c>
      <c r="N963" s="90" t="str">
        <f t="shared" si="104"/>
        <v>Aviões</v>
      </c>
      <c r="O963" s="55" t="str">
        <f t="shared" si="105"/>
        <v>Avioneta</v>
      </c>
      <c r="P963" s="58" t="s">
        <v>4203</v>
      </c>
      <c r="Q963" s="63" t="s">
        <v>4204</v>
      </c>
      <c r="R963" s="55" t="s">
        <v>6929</v>
      </c>
      <c r="S963" s="55" t="s">
        <v>692</v>
      </c>
      <c r="T963" s="55" t="str">
        <f t="shared" si="101"/>
        <v>De Transportes</v>
      </c>
      <c r="U963" s="55" t="str">
        <f t="shared" si="101"/>
        <v>Aéreos</v>
      </c>
      <c r="V963" s="55" t="str">
        <f t="shared" si="101"/>
        <v>Aviões</v>
      </c>
      <c r="W963" s="54" t="s">
        <v>7259</v>
      </c>
      <c r="X963" s="84" t="str">
        <f t="shared" ref="X963:X1026" si="106">CONCATENATE("Key-COD-CT-",A963)</f>
        <v>Key-COD-CT-963</v>
      </c>
      <c r="Y963" s="84" t="s">
        <v>5466</v>
      </c>
      <c r="Z963" s="84" t="s">
        <v>692</v>
      </c>
      <c r="AA963" s="84" t="s">
        <v>7169</v>
      </c>
      <c r="AB963" s="84" t="s">
        <v>692</v>
      </c>
      <c r="AC963" s="84" t="s">
        <v>692</v>
      </c>
      <c r="AD963" s="54" t="s">
        <v>692</v>
      </c>
    </row>
    <row r="964" spans="1:30" ht="6.6" customHeight="1" x14ac:dyDescent="0.25">
      <c r="A964" s="85">
        <v>964</v>
      </c>
      <c r="B964" s="80" t="s">
        <v>5419</v>
      </c>
      <c r="C964" s="91" t="s">
        <v>5465</v>
      </c>
      <c r="D964" s="80" t="s">
        <v>4191</v>
      </c>
      <c r="E964" s="64" t="s">
        <v>4205</v>
      </c>
      <c r="F964" s="65" t="s">
        <v>4206</v>
      </c>
      <c r="G964" s="93" t="s">
        <v>692</v>
      </c>
      <c r="H964" s="93" t="s">
        <v>692</v>
      </c>
      <c r="I964" s="93" t="s">
        <v>692</v>
      </c>
      <c r="J964" s="46" t="s">
        <v>692</v>
      </c>
      <c r="K964" s="46" t="s">
        <v>692</v>
      </c>
      <c r="L964" s="63" t="str">
        <f t="shared" si="102"/>
        <v>De.Transportes</v>
      </c>
      <c r="M964" s="90" t="str">
        <f t="shared" si="103"/>
        <v>Aéreos</v>
      </c>
      <c r="N964" s="90" t="str">
        <f t="shared" si="104"/>
        <v>Helicópteros</v>
      </c>
      <c r="O964" s="55" t="str">
        <f t="shared" si="105"/>
        <v>Helicoptero.Pistão</v>
      </c>
      <c r="P964" s="58" t="s">
        <v>4207</v>
      </c>
      <c r="Q964" s="63" t="s">
        <v>4208</v>
      </c>
      <c r="R964" s="55" t="s">
        <v>6930</v>
      </c>
      <c r="S964" s="55" t="s">
        <v>692</v>
      </c>
      <c r="T964" s="55" t="str">
        <f t="shared" si="101"/>
        <v>De Transportes</v>
      </c>
      <c r="U964" s="55" t="str">
        <f t="shared" si="101"/>
        <v>Aéreos</v>
      </c>
      <c r="V964" s="55" t="str">
        <f t="shared" si="101"/>
        <v>Helicópteros</v>
      </c>
      <c r="W964" s="54" t="s">
        <v>7259</v>
      </c>
      <c r="X964" s="84" t="str">
        <f t="shared" si="106"/>
        <v>Key-COD-CT-964</v>
      </c>
      <c r="Y964" s="84" t="s">
        <v>5466</v>
      </c>
      <c r="Z964" s="84" t="s">
        <v>692</v>
      </c>
      <c r="AA964" s="84" t="s">
        <v>7169</v>
      </c>
      <c r="AB964" s="84" t="s">
        <v>692</v>
      </c>
      <c r="AC964" s="84" t="s">
        <v>692</v>
      </c>
      <c r="AD964" s="54" t="s">
        <v>692</v>
      </c>
    </row>
    <row r="965" spans="1:30" ht="6.6" customHeight="1" x14ac:dyDescent="0.25">
      <c r="A965" s="85">
        <v>965</v>
      </c>
      <c r="B965" s="80" t="s">
        <v>5419</v>
      </c>
      <c r="C965" s="91" t="s">
        <v>5465</v>
      </c>
      <c r="D965" s="80" t="s">
        <v>4191</v>
      </c>
      <c r="E965" s="64" t="s">
        <v>4205</v>
      </c>
      <c r="F965" s="65" t="s">
        <v>4209</v>
      </c>
      <c r="G965" s="93" t="s">
        <v>692</v>
      </c>
      <c r="H965" s="93" t="s">
        <v>692</v>
      </c>
      <c r="I965" s="93" t="s">
        <v>692</v>
      </c>
      <c r="J965" s="46" t="s">
        <v>692</v>
      </c>
      <c r="K965" s="46" t="s">
        <v>692</v>
      </c>
      <c r="L965" s="63" t="str">
        <f t="shared" si="102"/>
        <v>De.Transportes</v>
      </c>
      <c r="M965" s="90" t="str">
        <f t="shared" si="103"/>
        <v>Aéreos</v>
      </c>
      <c r="N965" s="90" t="str">
        <f t="shared" si="104"/>
        <v>Helicópteros</v>
      </c>
      <c r="O965" s="55" t="str">
        <f t="shared" si="105"/>
        <v>Helicoptero.Turbina</v>
      </c>
      <c r="P965" s="58" t="s">
        <v>4210</v>
      </c>
      <c r="Q965" s="63" t="s">
        <v>4211</v>
      </c>
      <c r="R965" s="55" t="s">
        <v>6931</v>
      </c>
      <c r="S965" s="55" t="s">
        <v>692</v>
      </c>
      <c r="T965" s="55" t="str">
        <f t="shared" si="101"/>
        <v>De Transportes</v>
      </c>
      <c r="U965" s="55" t="str">
        <f t="shared" si="101"/>
        <v>Aéreos</v>
      </c>
      <c r="V965" s="55" t="str">
        <f t="shared" si="101"/>
        <v>Helicópteros</v>
      </c>
      <c r="W965" s="54" t="s">
        <v>7259</v>
      </c>
      <c r="X965" s="84" t="str">
        <f t="shared" si="106"/>
        <v>Key-COD-CT-965</v>
      </c>
      <c r="Y965" s="84" t="s">
        <v>5466</v>
      </c>
      <c r="Z965" s="84" t="s">
        <v>692</v>
      </c>
      <c r="AA965" s="84" t="s">
        <v>7169</v>
      </c>
      <c r="AB965" s="84" t="s">
        <v>692</v>
      </c>
      <c r="AC965" s="84" t="s">
        <v>692</v>
      </c>
      <c r="AD965" s="54" t="s">
        <v>692</v>
      </c>
    </row>
    <row r="966" spans="1:30" ht="6.6" customHeight="1" x14ac:dyDescent="0.25">
      <c r="A966" s="85">
        <v>966</v>
      </c>
      <c r="B966" s="80" t="s">
        <v>5419</v>
      </c>
      <c r="C966" s="91" t="s">
        <v>5465</v>
      </c>
      <c r="D966" s="80" t="s">
        <v>4191</v>
      </c>
      <c r="E966" s="64" t="s">
        <v>4212</v>
      </c>
      <c r="F966" s="65" t="s">
        <v>4213</v>
      </c>
      <c r="G966" s="93" t="s">
        <v>692</v>
      </c>
      <c r="H966" s="93" t="s">
        <v>692</v>
      </c>
      <c r="I966" s="93" t="s">
        <v>692</v>
      </c>
      <c r="J966" s="46" t="s">
        <v>692</v>
      </c>
      <c r="K966" s="46" t="s">
        <v>692</v>
      </c>
      <c r="L966" s="63" t="str">
        <f t="shared" si="102"/>
        <v>De.Transportes</v>
      </c>
      <c r="M966" s="90" t="str">
        <f t="shared" si="103"/>
        <v>Aéreos</v>
      </c>
      <c r="N966" s="90" t="str">
        <f t="shared" si="104"/>
        <v>Vants</v>
      </c>
      <c r="O966" s="55" t="str">
        <f t="shared" si="105"/>
        <v>Drone</v>
      </c>
      <c r="P966" s="58" t="s">
        <v>4214</v>
      </c>
      <c r="Q966" s="63" t="s">
        <v>4215</v>
      </c>
      <c r="R966" s="55" t="s">
        <v>6932</v>
      </c>
      <c r="S966" s="55" t="s">
        <v>692</v>
      </c>
      <c r="T966" s="55" t="str">
        <f t="shared" si="101"/>
        <v>De Transportes</v>
      </c>
      <c r="U966" s="55" t="str">
        <f t="shared" si="101"/>
        <v>Aéreos</v>
      </c>
      <c r="V966" s="55" t="str">
        <f t="shared" si="101"/>
        <v>Vants</v>
      </c>
      <c r="W966" s="54" t="s">
        <v>7259</v>
      </c>
      <c r="X966" s="84" t="str">
        <f t="shared" si="106"/>
        <v>Key-COD-CT-966</v>
      </c>
      <c r="Y966" s="84" t="s">
        <v>5466</v>
      </c>
      <c r="Z966" s="84" t="s">
        <v>692</v>
      </c>
      <c r="AA966" s="84" t="s">
        <v>7169</v>
      </c>
      <c r="AB966" s="84" t="s">
        <v>692</v>
      </c>
      <c r="AC966" s="84" t="s">
        <v>692</v>
      </c>
      <c r="AD966" s="54" t="s">
        <v>692</v>
      </c>
    </row>
    <row r="967" spans="1:30" ht="6.6" customHeight="1" x14ac:dyDescent="0.25">
      <c r="A967" s="85">
        <v>967</v>
      </c>
      <c r="B967" s="80" t="s">
        <v>5419</v>
      </c>
      <c r="C967" s="91" t="s">
        <v>5465</v>
      </c>
      <c r="D967" s="80" t="s">
        <v>4191</v>
      </c>
      <c r="E967" s="64" t="s">
        <v>4212</v>
      </c>
      <c r="F967" s="65" t="s">
        <v>4216</v>
      </c>
      <c r="G967" s="93" t="s">
        <v>692</v>
      </c>
      <c r="H967" s="93" t="s">
        <v>692</v>
      </c>
      <c r="I967" s="93" t="s">
        <v>692</v>
      </c>
      <c r="J967" s="46" t="s">
        <v>692</v>
      </c>
      <c r="K967" s="46" t="s">
        <v>692</v>
      </c>
      <c r="L967" s="63" t="str">
        <f t="shared" si="102"/>
        <v>De.Transportes</v>
      </c>
      <c r="M967" s="90" t="str">
        <f t="shared" si="103"/>
        <v>Aéreos</v>
      </c>
      <c r="N967" s="90" t="str">
        <f t="shared" si="104"/>
        <v>Vants</v>
      </c>
      <c r="O967" s="55" t="str">
        <f t="shared" si="105"/>
        <v>Vant</v>
      </c>
      <c r="P967" s="58" t="s">
        <v>4214</v>
      </c>
      <c r="Q967" s="63" t="s">
        <v>4215</v>
      </c>
      <c r="R967" s="55" t="s">
        <v>6932</v>
      </c>
      <c r="S967" s="55" t="s">
        <v>692</v>
      </c>
      <c r="T967" s="55" t="str">
        <f t="shared" si="101"/>
        <v>De Transportes</v>
      </c>
      <c r="U967" s="55" t="str">
        <f t="shared" si="101"/>
        <v>Aéreos</v>
      </c>
      <c r="V967" s="55" t="str">
        <f t="shared" si="101"/>
        <v>Vants</v>
      </c>
      <c r="W967" s="54" t="s">
        <v>7259</v>
      </c>
      <c r="X967" s="84" t="str">
        <f t="shared" si="106"/>
        <v>Key-COD-CT-967</v>
      </c>
      <c r="Y967" s="84" t="s">
        <v>5466</v>
      </c>
      <c r="Z967" s="84" t="s">
        <v>692</v>
      </c>
      <c r="AA967" s="84" t="s">
        <v>7169</v>
      </c>
      <c r="AB967" s="84" t="s">
        <v>692</v>
      </c>
      <c r="AC967" s="84" t="s">
        <v>692</v>
      </c>
      <c r="AD967" s="54" t="s">
        <v>692</v>
      </c>
    </row>
    <row r="968" spans="1:30" ht="6.6" customHeight="1" x14ac:dyDescent="0.25">
      <c r="A968" s="85">
        <v>968</v>
      </c>
      <c r="B968" s="80" t="s">
        <v>5419</v>
      </c>
      <c r="C968" s="91" t="s">
        <v>5465</v>
      </c>
      <c r="D968" s="80" t="s">
        <v>4191</v>
      </c>
      <c r="E968" s="64" t="s">
        <v>4212</v>
      </c>
      <c r="F968" s="65" t="s">
        <v>4217</v>
      </c>
      <c r="G968" s="93" t="s">
        <v>692</v>
      </c>
      <c r="H968" s="93" t="s">
        <v>692</v>
      </c>
      <c r="I968" s="93" t="s">
        <v>692</v>
      </c>
      <c r="J968" s="46" t="s">
        <v>692</v>
      </c>
      <c r="K968" s="46" t="s">
        <v>692</v>
      </c>
      <c r="L968" s="63" t="str">
        <f t="shared" si="102"/>
        <v>De.Transportes</v>
      </c>
      <c r="M968" s="90" t="str">
        <f t="shared" si="103"/>
        <v>Aéreos</v>
      </c>
      <c r="N968" s="90" t="str">
        <f t="shared" si="104"/>
        <v>Vants</v>
      </c>
      <c r="O968" s="55" t="str">
        <f t="shared" si="105"/>
        <v>UAS</v>
      </c>
      <c r="P968" s="58" t="s">
        <v>4214</v>
      </c>
      <c r="Q968" s="63" t="s">
        <v>4215</v>
      </c>
      <c r="R968" s="55" t="s">
        <v>6932</v>
      </c>
      <c r="S968" s="55" t="s">
        <v>692</v>
      </c>
      <c r="T968" s="55" t="str">
        <f t="shared" si="101"/>
        <v>De Transportes</v>
      </c>
      <c r="U968" s="55" t="str">
        <f t="shared" si="101"/>
        <v>Aéreos</v>
      </c>
      <c r="V968" s="55" t="str">
        <f t="shared" si="101"/>
        <v>Vants</v>
      </c>
      <c r="W968" s="54" t="s">
        <v>7259</v>
      </c>
      <c r="X968" s="84" t="str">
        <f t="shared" si="106"/>
        <v>Key-COD-CT-968</v>
      </c>
      <c r="Y968" s="84" t="s">
        <v>5466</v>
      </c>
      <c r="Z968" s="84" t="s">
        <v>692</v>
      </c>
      <c r="AA968" s="84" t="s">
        <v>7159</v>
      </c>
      <c r="AB968" s="84" t="s">
        <v>692</v>
      </c>
      <c r="AC968" s="84" t="s">
        <v>692</v>
      </c>
      <c r="AD968" s="54" t="s">
        <v>692</v>
      </c>
    </row>
    <row r="969" spans="1:30" ht="6.6" customHeight="1" x14ac:dyDescent="0.25">
      <c r="A969" s="85">
        <v>969</v>
      </c>
      <c r="B969" s="80" t="s">
        <v>5419</v>
      </c>
      <c r="C969" s="91" t="s">
        <v>5467</v>
      </c>
      <c r="D969" s="80" t="s">
        <v>5468</v>
      </c>
      <c r="E969" s="28" t="s">
        <v>4218</v>
      </c>
      <c r="F969" s="28" t="s">
        <v>4219</v>
      </c>
      <c r="G969" s="46" t="s">
        <v>692</v>
      </c>
      <c r="H969" s="46" t="s">
        <v>692</v>
      </c>
      <c r="I969" s="46" t="s">
        <v>692</v>
      </c>
      <c r="J969" s="46" t="s">
        <v>692</v>
      </c>
      <c r="K969" s="46" t="s">
        <v>692</v>
      </c>
      <c r="L969" s="63" t="str">
        <f t="shared" si="102"/>
        <v>Infraestruturais</v>
      </c>
      <c r="M969" s="90" t="str">
        <f t="shared" si="103"/>
        <v>Rodoviários</v>
      </c>
      <c r="N969" s="90" t="str">
        <f t="shared" si="104"/>
        <v>Estações Rodoviárias</v>
      </c>
      <c r="O969" s="55" t="str">
        <f t="shared" si="105"/>
        <v>Central.Rodoviário</v>
      </c>
      <c r="P969" s="58" t="s">
        <v>4220</v>
      </c>
      <c r="Q969" s="63" t="s">
        <v>4221</v>
      </c>
      <c r="R969" s="55" t="s">
        <v>6933</v>
      </c>
      <c r="S969" s="55" t="s">
        <v>692</v>
      </c>
      <c r="T969" s="55" t="str">
        <f t="shared" si="101"/>
        <v>Infraestruturais</v>
      </c>
      <c r="U969" s="55" t="str">
        <f t="shared" si="101"/>
        <v>Rodoviários</v>
      </c>
      <c r="V969" s="55" t="str">
        <f t="shared" si="101"/>
        <v>Estações Rodoviárias</v>
      </c>
      <c r="W969" s="54" t="s">
        <v>7259</v>
      </c>
      <c r="X969" s="84" t="str">
        <f t="shared" si="106"/>
        <v>Key-COD-CT-969</v>
      </c>
      <c r="Y969" s="84" t="s">
        <v>7212</v>
      </c>
      <c r="Z969" s="84" t="s">
        <v>692</v>
      </c>
      <c r="AA969" s="84" t="s">
        <v>5456</v>
      </c>
      <c r="AB969" s="84" t="s">
        <v>692</v>
      </c>
      <c r="AC969" s="84" t="s">
        <v>692</v>
      </c>
      <c r="AD969" s="54" t="s">
        <v>692</v>
      </c>
    </row>
    <row r="970" spans="1:30" ht="6.6" customHeight="1" x14ac:dyDescent="0.25">
      <c r="A970" s="85">
        <v>970</v>
      </c>
      <c r="B970" s="80" t="s">
        <v>5419</v>
      </c>
      <c r="C970" s="91" t="s">
        <v>5467</v>
      </c>
      <c r="D970" s="80" t="s">
        <v>5468</v>
      </c>
      <c r="E970" s="28" t="s">
        <v>4218</v>
      </c>
      <c r="F970" s="28" t="s">
        <v>4222</v>
      </c>
      <c r="G970" s="46" t="s">
        <v>692</v>
      </c>
      <c r="H970" s="46" t="s">
        <v>692</v>
      </c>
      <c r="I970" s="46" t="s">
        <v>692</v>
      </c>
      <c r="J970" s="46" t="s">
        <v>692</v>
      </c>
      <c r="K970" s="46" t="s">
        <v>692</v>
      </c>
      <c r="L970" s="63" t="str">
        <f t="shared" si="102"/>
        <v>Infraestruturais</v>
      </c>
      <c r="M970" s="90" t="str">
        <f t="shared" si="103"/>
        <v>Rodoviários</v>
      </c>
      <c r="N970" s="90" t="str">
        <f t="shared" si="104"/>
        <v>Estações Rodoviárias</v>
      </c>
      <c r="O970" s="55" t="str">
        <f t="shared" si="105"/>
        <v>Terminal.Rodoviário</v>
      </c>
      <c r="P970" s="58" t="s">
        <v>4220</v>
      </c>
      <c r="Q970" s="63" t="s">
        <v>4221</v>
      </c>
      <c r="R970" s="55" t="s">
        <v>6933</v>
      </c>
      <c r="S970" s="55" t="s">
        <v>692</v>
      </c>
      <c r="T970" s="55" t="str">
        <f t="shared" si="101"/>
        <v>Infraestruturais</v>
      </c>
      <c r="U970" s="55" t="str">
        <f t="shared" si="101"/>
        <v>Rodoviários</v>
      </c>
      <c r="V970" s="55" t="str">
        <f t="shared" si="101"/>
        <v>Estações Rodoviárias</v>
      </c>
      <c r="W970" s="54" t="s">
        <v>7259</v>
      </c>
      <c r="X970" s="84" t="str">
        <f t="shared" si="106"/>
        <v>Key-COD-CT-970</v>
      </c>
      <c r="Y970" s="84" t="s">
        <v>7212</v>
      </c>
      <c r="Z970" s="84" t="s">
        <v>692</v>
      </c>
      <c r="AA970" s="84" t="s">
        <v>5456</v>
      </c>
      <c r="AB970" s="84" t="s">
        <v>692</v>
      </c>
      <c r="AC970" s="84" t="s">
        <v>692</v>
      </c>
      <c r="AD970" s="54" t="s">
        <v>692</v>
      </c>
    </row>
    <row r="971" spans="1:30" ht="6.6" customHeight="1" x14ac:dyDescent="0.25">
      <c r="A971" s="85">
        <v>971</v>
      </c>
      <c r="B971" s="80" t="s">
        <v>5419</v>
      </c>
      <c r="C971" s="91" t="s">
        <v>5467</v>
      </c>
      <c r="D971" s="80" t="s">
        <v>5468</v>
      </c>
      <c r="E971" s="28" t="s">
        <v>4218</v>
      </c>
      <c r="F971" s="28" t="s">
        <v>4223</v>
      </c>
      <c r="G971" s="46" t="s">
        <v>692</v>
      </c>
      <c r="H971" s="46" t="s">
        <v>692</v>
      </c>
      <c r="I971" s="46" t="s">
        <v>692</v>
      </c>
      <c r="J971" s="46" t="s">
        <v>692</v>
      </c>
      <c r="K971" s="46" t="s">
        <v>692</v>
      </c>
      <c r="L971" s="63" t="str">
        <f t="shared" si="102"/>
        <v>Infraestruturais</v>
      </c>
      <c r="M971" s="90" t="str">
        <f t="shared" si="103"/>
        <v>Rodoviários</v>
      </c>
      <c r="N971" s="90" t="str">
        <f t="shared" si="104"/>
        <v>Estações Rodoviárias</v>
      </c>
      <c r="O971" s="55" t="str">
        <f t="shared" si="105"/>
        <v>Estação.Rodoviária</v>
      </c>
      <c r="P971" s="58" t="s">
        <v>4224</v>
      </c>
      <c r="Q971" s="63" t="s">
        <v>4225</v>
      </c>
      <c r="R971" s="55" t="s">
        <v>6934</v>
      </c>
      <c r="S971" s="55" t="s">
        <v>692</v>
      </c>
      <c r="T971" s="55" t="str">
        <f t="shared" si="101"/>
        <v>Infraestruturais</v>
      </c>
      <c r="U971" s="55" t="str">
        <f t="shared" si="101"/>
        <v>Rodoviários</v>
      </c>
      <c r="V971" s="55" t="str">
        <f t="shared" si="101"/>
        <v>Estações Rodoviárias</v>
      </c>
      <c r="W971" s="54" t="s">
        <v>7259</v>
      </c>
      <c r="X971" s="84" t="str">
        <f t="shared" si="106"/>
        <v>Key-COD-CT-971</v>
      </c>
      <c r="Y971" s="84" t="s">
        <v>7212</v>
      </c>
      <c r="Z971" s="84" t="s">
        <v>692</v>
      </c>
      <c r="AA971" s="84" t="s">
        <v>5456</v>
      </c>
      <c r="AB971" s="84" t="s">
        <v>692</v>
      </c>
      <c r="AC971" s="84" t="s">
        <v>692</v>
      </c>
      <c r="AD971" s="54" t="s">
        <v>692</v>
      </c>
    </row>
    <row r="972" spans="1:30" ht="6.6" customHeight="1" x14ac:dyDescent="0.25">
      <c r="A972" s="85">
        <v>972</v>
      </c>
      <c r="B972" s="80" t="s">
        <v>5419</v>
      </c>
      <c r="C972" s="91" t="s">
        <v>5467</v>
      </c>
      <c r="D972" s="80" t="s">
        <v>5468</v>
      </c>
      <c r="E972" s="28" t="s">
        <v>4218</v>
      </c>
      <c r="F972" s="28" t="s">
        <v>4226</v>
      </c>
      <c r="G972" s="46" t="s">
        <v>692</v>
      </c>
      <c r="H972" s="46" t="s">
        <v>692</v>
      </c>
      <c r="I972" s="46" t="s">
        <v>692</v>
      </c>
      <c r="J972" s="46" t="s">
        <v>692</v>
      </c>
      <c r="K972" s="46" t="s">
        <v>692</v>
      </c>
      <c r="L972" s="63" t="str">
        <f t="shared" si="102"/>
        <v>Infraestruturais</v>
      </c>
      <c r="M972" s="90" t="str">
        <f t="shared" si="103"/>
        <v>Rodoviários</v>
      </c>
      <c r="N972" s="90" t="str">
        <f t="shared" si="104"/>
        <v>Estações Rodoviárias</v>
      </c>
      <c r="O972" s="55" t="str">
        <f t="shared" si="105"/>
        <v>Ponto.de.Ônibus</v>
      </c>
      <c r="P972" s="58" t="s">
        <v>4227</v>
      </c>
      <c r="Q972" s="63" t="s">
        <v>4228</v>
      </c>
      <c r="R972" s="55" t="s">
        <v>6935</v>
      </c>
      <c r="S972" s="55" t="s">
        <v>692</v>
      </c>
      <c r="T972" s="55" t="str">
        <f t="shared" si="101"/>
        <v>Infraestruturais</v>
      </c>
      <c r="U972" s="55" t="str">
        <f t="shared" si="101"/>
        <v>Rodoviários</v>
      </c>
      <c r="V972" s="55" t="str">
        <f t="shared" si="101"/>
        <v>Estações Rodoviárias</v>
      </c>
      <c r="W972" s="54" t="s">
        <v>7259</v>
      </c>
      <c r="X972" s="84" t="str">
        <f t="shared" si="106"/>
        <v>Key-COD-CT-972</v>
      </c>
      <c r="Y972" s="84" t="s">
        <v>7212</v>
      </c>
      <c r="Z972" s="84" t="s">
        <v>692</v>
      </c>
      <c r="AA972" s="84" t="s">
        <v>5456</v>
      </c>
      <c r="AB972" s="84" t="s">
        <v>692</v>
      </c>
      <c r="AC972" s="84" t="s">
        <v>692</v>
      </c>
      <c r="AD972" s="54" t="s">
        <v>692</v>
      </c>
    </row>
    <row r="973" spans="1:30" ht="6.6" customHeight="1" x14ac:dyDescent="0.25">
      <c r="A973" s="85">
        <v>973</v>
      </c>
      <c r="B973" s="80" t="s">
        <v>5419</v>
      </c>
      <c r="C973" s="91" t="s">
        <v>5467</v>
      </c>
      <c r="D973" s="80" t="s">
        <v>5468</v>
      </c>
      <c r="E973" s="28" t="s">
        <v>4218</v>
      </c>
      <c r="F973" s="28" t="s">
        <v>4229</v>
      </c>
      <c r="G973" s="46" t="s">
        <v>692</v>
      </c>
      <c r="H973" s="46" t="s">
        <v>692</v>
      </c>
      <c r="I973" s="46" t="s">
        <v>692</v>
      </c>
      <c r="J973" s="46" t="s">
        <v>692</v>
      </c>
      <c r="K973" s="46" t="s">
        <v>692</v>
      </c>
      <c r="L973" s="63" t="str">
        <f t="shared" si="102"/>
        <v>Infraestruturais</v>
      </c>
      <c r="M973" s="90" t="str">
        <f t="shared" si="103"/>
        <v>Rodoviários</v>
      </c>
      <c r="N973" s="90" t="str">
        <f t="shared" si="104"/>
        <v>Estações Rodoviárias</v>
      </c>
      <c r="O973" s="55" t="str">
        <f t="shared" si="105"/>
        <v>Parada.de.Ônibus</v>
      </c>
      <c r="P973" s="58" t="s">
        <v>4230</v>
      </c>
      <c r="Q973" s="63" t="s">
        <v>4228</v>
      </c>
      <c r="R973" s="55" t="s">
        <v>6936</v>
      </c>
      <c r="S973" s="55" t="s">
        <v>692</v>
      </c>
      <c r="T973" s="55" t="str">
        <f t="shared" si="101"/>
        <v>Infraestruturais</v>
      </c>
      <c r="U973" s="55" t="str">
        <f t="shared" si="101"/>
        <v>Rodoviários</v>
      </c>
      <c r="V973" s="55" t="str">
        <f t="shared" si="101"/>
        <v>Estações Rodoviárias</v>
      </c>
      <c r="W973" s="54" t="s">
        <v>7259</v>
      </c>
      <c r="X973" s="84" t="str">
        <f t="shared" si="106"/>
        <v>Key-COD-CT-973</v>
      </c>
      <c r="Y973" s="84" t="s">
        <v>7212</v>
      </c>
      <c r="Z973" s="84" t="s">
        <v>692</v>
      </c>
      <c r="AA973" s="84" t="s">
        <v>7170</v>
      </c>
      <c r="AB973" s="84" t="s">
        <v>692</v>
      </c>
      <c r="AC973" s="84" t="s">
        <v>692</v>
      </c>
      <c r="AD973" s="54" t="s">
        <v>692</v>
      </c>
    </row>
    <row r="974" spans="1:30" ht="6.6" customHeight="1" x14ac:dyDescent="0.25">
      <c r="A974" s="85">
        <v>974</v>
      </c>
      <c r="B974" s="80" t="s">
        <v>5419</v>
      </c>
      <c r="C974" s="91" t="s">
        <v>5467</v>
      </c>
      <c r="D974" s="80" t="s">
        <v>5468</v>
      </c>
      <c r="E974" s="62" t="s">
        <v>4231</v>
      </c>
      <c r="F974" s="28" t="s">
        <v>4232</v>
      </c>
      <c r="G974" s="46" t="s">
        <v>692</v>
      </c>
      <c r="H974" s="46" t="s">
        <v>692</v>
      </c>
      <c r="I974" s="46" t="s">
        <v>692</v>
      </c>
      <c r="J974" s="46" t="s">
        <v>692</v>
      </c>
      <c r="K974" s="46" t="s">
        <v>692</v>
      </c>
      <c r="L974" s="63" t="str">
        <f t="shared" si="102"/>
        <v>Infraestruturais</v>
      </c>
      <c r="M974" s="90" t="str">
        <f t="shared" si="103"/>
        <v>Rodoviários</v>
      </c>
      <c r="N974" s="90" t="str">
        <f t="shared" si="104"/>
        <v>Vias</v>
      </c>
      <c r="O974" s="55" t="str">
        <f t="shared" si="105"/>
        <v>Estrada.Vicinal</v>
      </c>
      <c r="P974" s="58" t="s">
        <v>4233</v>
      </c>
      <c r="Q974" s="63" t="s">
        <v>4234</v>
      </c>
      <c r="R974" s="55" t="s">
        <v>6937</v>
      </c>
      <c r="S974" s="55" t="s">
        <v>692</v>
      </c>
      <c r="T974" s="55" t="str">
        <f t="shared" si="101"/>
        <v>Infraestruturais</v>
      </c>
      <c r="U974" s="55" t="str">
        <f t="shared" si="101"/>
        <v>Rodoviários</v>
      </c>
      <c r="V974" s="55" t="str">
        <f t="shared" si="101"/>
        <v>Vias</v>
      </c>
      <c r="W974" s="54" t="s">
        <v>7259</v>
      </c>
      <c r="X974" s="84" t="str">
        <f t="shared" si="106"/>
        <v>Key-COD-CT-974</v>
      </c>
      <c r="Y974" s="84" t="s">
        <v>7213</v>
      </c>
      <c r="Z974" s="84" t="s">
        <v>692</v>
      </c>
      <c r="AA974" s="84" t="s">
        <v>7170</v>
      </c>
      <c r="AB974" s="84" t="s">
        <v>692</v>
      </c>
      <c r="AC974" s="84" t="s">
        <v>692</v>
      </c>
      <c r="AD974" s="54" t="s">
        <v>692</v>
      </c>
    </row>
    <row r="975" spans="1:30" ht="6.6" customHeight="1" x14ac:dyDescent="0.25">
      <c r="A975" s="85">
        <v>975</v>
      </c>
      <c r="B975" s="80" t="s">
        <v>5419</v>
      </c>
      <c r="C975" s="91" t="s">
        <v>5467</v>
      </c>
      <c r="D975" s="80" t="s">
        <v>5468</v>
      </c>
      <c r="E975" s="62" t="s">
        <v>4231</v>
      </c>
      <c r="F975" s="28" t="s">
        <v>4235</v>
      </c>
      <c r="G975" s="46" t="s">
        <v>692</v>
      </c>
      <c r="H975" s="46" t="s">
        <v>692</v>
      </c>
      <c r="I975" s="46" t="s">
        <v>692</v>
      </c>
      <c r="J975" s="46" t="s">
        <v>692</v>
      </c>
      <c r="K975" s="46" t="s">
        <v>692</v>
      </c>
      <c r="L975" s="63" t="str">
        <f t="shared" si="102"/>
        <v>Infraestruturais</v>
      </c>
      <c r="M975" s="90" t="str">
        <f t="shared" si="103"/>
        <v>Rodoviários</v>
      </c>
      <c r="N975" s="90" t="str">
        <f t="shared" si="104"/>
        <v>Vias</v>
      </c>
      <c r="O975" s="55" t="str">
        <f t="shared" si="105"/>
        <v>Rodovia.Vicinal</v>
      </c>
      <c r="P975" s="58" t="s">
        <v>4236</v>
      </c>
      <c r="Q975" s="63" t="s">
        <v>4237</v>
      </c>
      <c r="R975" s="55" t="s">
        <v>6938</v>
      </c>
      <c r="S975" s="55" t="s">
        <v>692</v>
      </c>
      <c r="T975" s="55" t="str">
        <f t="shared" si="101"/>
        <v>Infraestruturais</v>
      </c>
      <c r="U975" s="55" t="str">
        <f t="shared" si="101"/>
        <v>Rodoviários</v>
      </c>
      <c r="V975" s="55" t="str">
        <f t="shared" si="101"/>
        <v>Vias</v>
      </c>
      <c r="W975" s="54" t="s">
        <v>7259</v>
      </c>
      <c r="X975" s="84" t="str">
        <f t="shared" si="106"/>
        <v>Key-COD-CT-975</v>
      </c>
      <c r="Y975" s="84" t="s">
        <v>7213</v>
      </c>
      <c r="Z975" s="84" t="s">
        <v>692</v>
      </c>
      <c r="AA975" s="84" t="s">
        <v>7170</v>
      </c>
      <c r="AB975" s="84" t="s">
        <v>692</v>
      </c>
      <c r="AC975" s="84" t="s">
        <v>692</v>
      </c>
      <c r="AD975" s="54" t="s">
        <v>692</v>
      </c>
    </row>
    <row r="976" spans="1:30" ht="6.6" customHeight="1" x14ac:dyDescent="0.25">
      <c r="A976" s="85">
        <v>976</v>
      </c>
      <c r="B976" s="80" t="s">
        <v>5419</v>
      </c>
      <c r="C976" s="91" t="s">
        <v>5467</v>
      </c>
      <c r="D976" s="80" t="s">
        <v>5468</v>
      </c>
      <c r="E976" s="62" t="s">
        <v>4231</v>
      </c>
      <c r="F976" s="28" t="s">
        <v>4238</v>
      </c>
      <c r="G976" s="46" t="s">
        <v>692</v>
      </c>
      <c r="H976" s="46" t="s">
        <v>692</v>
      </c>
      <c r="I976" s="46" t="s">
        <v>692</v>
      </c>
      <c r="J976" s="46" t="s">
        <v>692</v>
      </c>
      <c r="K976" s="46" t="s">
        <v>692</v>
      </c>
      <c r="L976" s="63" t="str">
        <f t="shared" si="102"/>
        <v>Infraestruturais</v>
      </c>
      <c r="M976" s="90" t="str">
        <f t="shared" si="103"/>
        <v>Rodoviários</v>
      </c>
      <c r="N976" s="90" t="str">
        <f t="shared" si="104"/>
        <v>Vias</v>
      </c>
      <c r="O976" s="55" t="str">
        <f t="shared" si="105"/>
        <v>Viela.Urbana</v>
      </c>
      <c r="P976" s="58" t="s">
        <v>4239</v>
      </c>
      <c r="Q976" s="63" t="s">
        <v>4240</v>
      </c>
      <c r="R976" s="55" t="s">
        <v>6939</v>
      </c>
      <c r="S976" s="55" t="s">
        <v>692</v>
      </c>
      <c r="T976" s="55" t="str">
        <f t="shared" si="101"/>
        <v>Infraestruturais</v>
      </c>
      <c r="U976" s="55" t="str">
        <f t="shared" si="101"/>
        <v>Rodoviários</v>
      </c>
      <c r="V976" s="55" t="str">
        <f t="shared" si="101"/>
        <v>Vias</v>
      </c>
      <c r="W976" s="54" t="s">
        <v>7259</v>
      </c>
      <c r="X976" s="84" t="str">
        <f t="shared" si="106"/>
        <v>Key-COD-CT-976</v>
      </c>
      <c r="Y976" s="84" t="s">
        <v>7213</v>
      </c>
      <c r="Z976" s="84" t="s">
        <v>692</v>
      </c>
      <c r="AA976" s="84" t="s">
        <v>7170</v>
      </c>
      <c r="AB976" s="84" t="s">
        <v>692</v>
      </c>
      <c r="AC976" s="84" t="s">
        <v>692</v>
      </c>
      <c r="AD976" s="54" t="s">
        <v>692</v>
      </c>
    </row>
    <row r="977" spans="1:30" ht="6.6" customHeight="1" x14ac:dyDescent="0.25">
      <c r="A977" s="85">
        <v>977</v>
      </c>
      <c r="B977" s="80" t="s">
        <v>5419</v>
      </c>
      <c r="C977" s="91" t="s">
        <v>5467</v>
      </c>
      <c r="D977" s="80" t="s">
        <v>5468</v>
      </c>
      <c r="E977" s="62" t="s">
        <v>4231</v>
      </c>
      <c r="F977" s="28" t="s">
        <v>4241</v>
      </c>
      <c r="G977" s="46" t="s">
        <v>692</v>
      </c>
      <c r="H977" s="46" t="s">
        <v>692</v>
      </c>
      <c r="I977" s="46" t="s">
        <v>692</v>
      </c>
      <c r="J977" s="46" t="s">
        <v>692</v>
      </c>
      <c r="K977" s="46" t="s">
        <v>692</v>
      </c>
      <c r="L977" s="63" t="str">
        <f t="shared" si="102"/>
        <v>Infraestruturais</v>
      </c>
      <c r="M977" s="90" t="str">
        <f t="shared" si="103"/>
        <v>Rodoviários</v>
      </c>
      <c r="N977" s="90" t="str">
        <f t="shared" si="104"/>
        <v>Vias</v>
      </c>
      <c r="O977" s="55" t="str">
        <f t="shared" si="105"/>
        <v>Rua.Local.Urbana</v>
      </c>
      <c r="P977" s="58" t="s">
        <v>4242</v>
      </c>
      <c r="Q977" s="63" t="s">
        <v>4243</v>
      </c>
      <c r="R977" s="55" t="s">
        <v>6940</v>
      </c>
      <c r="S977" s="55" t="s">
        <v>692</v>
      </c>
      <c r="T977" s="55" t="str">
        <f t="shared" si="101"/>
        <v>Infraestruturais</v>
      </c>
      <c r="U977" s="55" t="str">
        <f t="shared" si="101"/>
        <v>Rodoviários</v>
      </c>
      <c r="V977" s="55" t="str">
        <f t="shared" si="101"/>
        <v>Vias</v>
      </c>
      <c r="W977" s="54" t="s">
        <v>7259</v>
      </c>
      <c r="X977" s="84" t="str">
        <f t="shared" si="106"/>
        <v>Key-COD-CT-977</v>
      </c>
      <c r="Y977" s="84" t="s">
        <v>7213</v>
      </c>
      <c r="Z977" s="84" t="s">
        <v>692</v>
      </c>
      <c r="AA977" s="84" t="s">
        <v>7170</v>
      </c>
      <c r="AB977" s="84" t="s">
        <v>692</v>
      </c>
      <c r="AC977" s="84" t="s">
        <v>692</v>
      </c>
      <c r="AD977" s="54" t="s">
        <v>692</v>
      </c>
    </row>
    <row r="978" spans="1:30" ht="6.6" customHeight="1" x14ac:dyDescent="0.25">
      <c r="A978" s="85">
        <v>978</v>
      </c>
      <c r="B978" s="80" t="s">
        <v>5419</v>
      </c>
      <c r="C978" s="91" t="s">
        <v>5467</v>
      </c>
      <c r="D978" s="80" t="s">
        <v>5468</v>
      </c>
      <c r="E978" s="62" t="s">
        <v>4231</v>
      </c>
      <c r="F978" s="28" t="s">
        <v>4244</v>
      </c>
      <c r="G978" s="46" t="s">
        <v>692</v>
      </c>
      <c r="H978" s="46" t="s">
        <v>692</v>
      </c>
      <c r="I978" s="46" t="s">
        <v>692</v>
      </c>
      <c r="J978" s="46" t="s">
        <v>692</v>
      </c>
      <c r="K978" s="46" t="s">
        <v>692</v>
      </c>
      <c r="L978" s="63" t="str">
        <f t="shared" si="102"/>
        <v>Infraestruturais</v>
      </c>
      <c r="M978" s="90" t="str">
        <f t="shared" si="103"/>
        <v>Rodoviários</v>
      </c>
      <c r="N978" s="90" t="str">
        <f t="shared" si="104"/>
        <v>Vias</v>
      </c>
      <c r="O978" s="55" t="str">
        <f t="shared" si="105"/>
        <v>Rua.Coletora.Urbana</v>
      </c>
      <c r="P978" s="58" t="s">
        <v>4245</v>
      </c>
      <c r="Q978" s="63" t="s">
        <v>4246</v>
      </c>
      <c r="R978" s="55" t="s">
        <v>6941</v>
      </c>
      <c r="S978" s="55" t="s">
        <v>692</v>
      </c>
      <c r="T978" s="55" t="str">
        <f t="shared" si="101"/>
        <v>Infraestruturais</v>
      </c>
      <c r="U978" s="55" t="str">
        <f t="shared" si="101"/>
        <v>Rodoviários</v>
      </c>
      <c r="V978" s="55" t="str">
        <f t="shared" si="101"/>
        <v>Vias</v>
      </c>
      <c r="W978" s="54" t="s">
        <v>7259</v>
      </c>
      <c r="X978" s="84" t="str">
        <f t="shared" si="106"/>
        <v>Key-COD-CT-978</v>
      </c>
      <c r="Y978" s="84" t="s">
        <v>7213</v>
      </c>
      <c r="Z978" s="84" t="s">
        <v>692</v>
      </c>
      <c r="AA978" s="84" t="s">
        <v>7170</v>
      </c>
      <c r="AB978" s="84" t="s">
        <v>692</v>
      </c>
      <c r="AC978" s="84" t="s">
        <v>692</v>
      </c>
      <c r="AD978" s="54" t="s">
        <v>692</v>
      </c>
    </row>
    <row r="979" spans="1:30" ht="6.6" customHeight="1" x14ac:dyDescent="0.25">
      <c r="A979" s="85">
        <v>979</v>
      </c>
      <c r="B979" s="80" t="s">
        <v>5419</v>
      </c>
      <c r="C979" s="91" t="s">
        <v>5467</v>
      </c>
      <c r="D979" s="80" t="s">
        <v>5468</v>
      </c>
      <c r="E979" s="62" t="s">
        <v>4231</v>
      </c>
      <c r="F979" s="28" t="s">
        <v>4247</v>
      </c>
      <c r="G979" s="46" t="s">
        <v>692</v>
      </c>
      <c r="H979" s="46" t="s">
        <v>692</v>
      </c>
      <c r="I979" s="46" t="s">
        <v>692</v>
      </c>
      <c r="J979" s="46" t="s">
        <v>692</v>
      </c>
      <c r="K979" s="46" t="s">
        <v>692</v>
      </c>
      <c r="L979" s="63" t="str">
        <f t="shared" si="102"/>
        <v>Infraestruturais</v>
      </c>
      <c r="M979" s="90" t="str">
        <f t="shared" si="103"/>
        <v>Rodoviários</v>
      </c>
      <c r="N979" s="90" t="str">
        <f t="shared" si="104"/>
        <v>Vias</v>
      </c>
      <c r="O979" s="55" t="str">
        <f t="shared" si="105"/>
        <v>Avenida.Arterial</v>
      </c>
      <c r="P979" s="58" t="s">
        <v>4248</v>
      </c>
      <c r="Q979" s="63" t="s">
        <v>4249</v>
      </c>
      <c r="R979" s="55" t="s">
        <v>6942</v>
      </c>
      <c r="S979" s="55" t="s">
        <v>692</v>
      </c>
      <c r="T979" s="55" t="str">
        <f t="shared" si="101"/>
        <v>Infraestruturais</v>
      </c>
      <c r="U979" s="55" t="str">
        <f t="shared" si="101"/>
        <v>Rodoviários</v>
      </c>
      <c r="V979" s="55" t="str">
        <f t="shared" si="101"/>
        <v>Vias</v>
      </c>
      <c r="W979" s="54" t="s">
        <v>7259</v>
      </c>
      <c r="X979" s="84" t="str">
        <f t="shared" si="106"/>
        <v>Key-COD-CT-979</v>
      </c>
      <c r="Y979" s="84" t="s">
        <v>7213</v>
      </c>
      <c r="Z979" s="84" t="s">
        <v>692</v>
      </c>
      <c r="AA979" s="84" t="s">
        <v>7170</v>
      </c>
      <c r="AB979" s="84" t="s">
        <v>692</v>
      </c>
      <c r="AC979" s="84" t="s">
        <v>692</v>
      </c>
      <c r="AD979" s="54" t="s">
        <v>692</v>
      </c>
    </row>
    <row r="980" spans="1:30" ht="6.6" customHeight="1" x14ac:dyDescent="0.25">
      <c r="A980" s="85">
        <v>980</v>
      </c>
      <c r="B980" s="80" t="s">
        <v>5419</v>
      </c>
      <c r="C980" s="91" t="s">
        <v>5467</v>
      </c>
      <c r="D980" s="80" t="s">
        <v>5468</v>
      </c>
      <c r="E980" s="62" t="s">
        <v>4231</v>
      </c>
      <c r="F980" s="28" t="s">
        <v>4250</v>
      </c>
      <c r="G980" s="46" t="s">
        <v>692</v>
      </c>
      <c r="H980" s="46" t="s">
        <v>692</v>
      </c>
      <c r="I980" s="46" t="s">
        <v>692</v>
      </c>
      <c r="J980" s="46" t="s">
        <v>692</v>
      </c>
      <c r="K980" s="46" t="s">
        <v>692</v>
      </c>
      <c r="L980" s="63" t="str">
        <f t="shared" si="102"/>
        <v>Infraestruturais</v>
      </c>
      <c r="M980" s="90" t="str">
        <f t="shared" si="103"/>
        <v>Rodoviários</v>
      </c>
      <c r="N980" s="90" t="str">
        <f t="shared" si="104"/>
        <v>Vias</v>
      </c>
      <c r="O980" s="55" t="str">
        <f t="shared" si="105"/>
        <v>Avenida.Expressa</v>
      </c>
      <c r="P980" s="58" t="s">
        <v>4251</v>
      </c>
      <c r="Q980" s="63" t="s">
        <v>4252</v>
      </c>
      <c r="R980" s="55" t="s">
        <v>6943</v>
      </c>
      <c r="S980" s="55" t="s">
        <v>692</v>
      </c>
      <c r="T980" s="55" t="str">
        <f t="shared" si="101"/>
        <v>Infraestruturais</v>
      </c>
      <c r="U980" s="55" t="str">
        <f t="shared" si="101"/>
        <v>Rodoviários</v>
      </c>
      <c r="V980" s="55" t="str">
        <f t="shared" si="101"/>
        <v>Vias</v>
      </c>
      <c r="W980" s="54" t="s">
        <v>7259</v>
      </c>
      <c r="X980" s="84" t="str">
        <f t="shared" si="106"/>
        <v>Key-COD-CT-980</v>
      </c>
      <c r="Y980" s="84" t="s">
        <v>7213</v>
      </c>
      <c r="Z980" s="84" t="s">
        <v>692</v>
      </c>
      <c r="AA980" s="84" t="s">
        <v>7170</v>
      </c>
      <c r="AB980" s="84" t="s">
        <v>692</v>
      </c>
      <c r="AC980" s="84" t="s">
        <v>692</v>
      </c>
      <c r="AD980" s="54" t="s">
        <v>692</v>
      </c>
    </row>
    <row r="981" spans="1:30" ht="6.6" customHeight="1" x14ac:dyDescent="0.25">
      <c r="A981" s="85">
        <v>981</v>
      </c>
      <c r="B981" s="80" t="s">
        <v>5419</v>
      </c>
      <c r="C981" s="91" t="s">
        <v>5467</v>
      </c>
      <c r="D981" s="80" t="s">
        <v>5468</v>
      </c>
      <c r="E981" s="62" t="s">
        <v>4231</v>
      </c>
      <c r="F981" s="28" t="s">
        <v>4253</v>
      </c>
      <c r="G981" s="46" t="s">
        <v>692</v>
      </c>
      <c r="H981" s="46" t="s">
        <v>692</v>
      </c>
      <c r="I981" s="46" t="s">
        <v>692</v>
      </c>
      <c r="J981" s="46" t="s">
        <v>692</v>
      </c>
      <c r="K981" s="46" t="s">
        <v>692</v>
      </c>
      <c r="L981" s="63" t="str">
        <f t="shared" si="102"/>
        <v>Infraestruturais</v>
      </c>
      <c r="M981" s="90" t="str">
        <f t="shared" si="103"/>
        <v>Rodoviários</v>
      </c>
      <c r="N981" s="90" t="str">
        <f t="shared" si="104"/>
        <v>Vias</v>
      </c>
      <c r="O981" s="55" t="str">
        <f t="shared" si="105"/>
        <v>Corredor.BRT</v>
      </c>
      <c r="P981" s="58" t="s">
        <v>4254</v>
      </c>
      <c r="Q981" s="58" t="s">
        <v>4255</v>
      </c>
      <c r="R981" s="55" t="s">
        <v>6944</v>
      </c>
      <c r="S981" s="55" t="s">
        <v>692</v>
      </c>
      <c r="T981" s="55" t="str">
        <f t="shared" si="101"/>
        <v>Infraestruturais</v>
      </c>
      <c r="U981" s="55" t="str">
        <f t="shared" si="101"/>
        <v>Rodoviários</v>
      </c>
      <c r="V981" s="55" t="str">
        <f t="shared" si="101"/>
        <v>Vias</v>
      </c>
      <c r="W981" s="54" t="s">
        <v>7259</v>
      </c>
      <c r="X981" s="84" t="str">
        <f t="shared" si="106"/>
        <v>Key-COD-CT-981</v>
      </c>
      <c r="Y981" s="84" t="s">
        <v>7213</v>
      </c>
      <c r="Z981" s="84" t="s">
        <v>692</v>
      </c>
      <c r="AA981" s="84" t="s">
        <v>7170</v>
      </c>
      <c r="AB981" s="84" t="s">
        <v>692</v>
      </c>
      <c r="AC981" s="84" t="s">
        <v>692</v>
      </c>
      <c r="AD981" s="54" t="s">
        <v>692</v>
      </c>
    </row>
    <row r="982" spans="1:30" ht="6.6" customHeight="1" x14ac:dyDescent="0.25">
      <c r="A982" s="85">
        <v>982</v>
      </c>
      <c r="B982" s="80" t="s">
        <v>5419</v>
      </c>
      <c r="C982" s="91" t="s">
        <v>5467</v>
      </c>
      <c r="D982" s="80" t="s">
        <v>5468</v>
      </c>
      <c r="E982" s="62" t="s">
        <v>4256</v>
      </c>
      <c r="F982" s="28" t="s">
        <v>4257</v>
      </c>
      <c r="G982" s="46" t="s">
        <v>692</v>
      </c>
      <c r="H982" s="46" t="s">
        <v>692</v>
      </c>
      <c r="I982" s="46" t="s">
        <v>692</v>
      </c>
      <c r="J982" s="46" t="s">
        <v>692</v>
      </c>
      <c r="K982" s="46" t="s">
        <v>692</v>
      </c>
      <c r="L982" s="63" t="str">
        <f t="shared" si="102"/>
        <v>Infraestruturais</v>
      </c>
      <c r="M982" s="90" t="str">
        <f t="shared" si="103"/>
        <v>Rodoviários</v>
      </c>
      <c r="N982" s="90" t="str">
        <f t="shared" si="104"/>
        <v>Faixas</v>
      </c>
      <c r="O982" s="55" t="str">
        <f t="shared" si="105"/>
        <v>Faixa.de.Rolamento</v>
      </c>
      <c r="P982" s="58" t="s">
        <v>4258</v>
      </c>
      <c r="Q982" s="63" t="s">
        <v>4259</v>
      </c>
      <c r="R982" s="55" t="s">
        <v>6945</v>
      </c>
      <c r="S982" s="55" t="s">
        <v>692</v>
      </c>
      <c r="T982" s="55" t="str">
        <f t="shared" si="101"/>
        <v>Infraestruturais</v>
      </c>
      <c r="U982" s="55" t="str">
        <f t="shared" si="101"/>
        <v>Rodoviários</v>
      </c>
      <c r="V982" s="55" t="str">
        <f t="shared" si="101"/>
        <v>Faixas</v>
      </c>
      <c r="W982" s="54" t="s">
        <v>7259</v>
      </c>
      <c r="X982" s="84" t="str">
        <f t="shared" si="106"/>
        <v>Key-COD-CT-982</v>
      </c>
      <c r="Y982" s="84" t="s">
        <v>7213</v>
      </c>
      <c r="Z982" s="84" t="s">
        <v>692</v>
      </c>
      <c r="AA982" s="84" t="s">
        <v>7170</v>
      </c>
      <c r="AB982" s="84" t="s">
        <v>692</v>
      </c>
      <c r="AC982" s="84" t="s">
        <v>692</v>
      </c>
      <c r="AD982" s="54" t="s">
        <v>692</v>
      </c>
    </row>
    <row r="983" spans="1:30" ht="6.6" customHeight="1" x14ac:dyDescent="0.25">
      <c r="A983" s="85">
        <v>983</v>
      </c>
      <c r="B983" s="80" t="s">
        <v>5419</v>
      </c>
      <c r="C983" s="91" t="s">
        <v>5467</v>
      </c>
      <c r="D983" s="80" t="s">
        <v>5468</v>
      </c>
      <c r="E983" s="62" t="s">
        <v>4256</v>
      </c>
      <c r="F983" s="28" t="s">
        <v>4260</v>
      </c>
      <c r="G983" s="46" t="s">
        <v>692</v>
      </c>
      <c r="H983" s="46" t="s">
        <v>692</v>
      </c>
      <c r="I983" s="46" t="s">
        <v>692</v>
      </c>
      <c r="J983" s="46" t="s">
        <v>692</v>
      </c>
      <c r="K983" s="46" t="s">
        <v>692</v>
      </c>
      <c r="L983" s="63" t="str">
        <f t="shared" si="102"/>
        <v>Infraestruturais</v>
      </c>
      <c r="M983" s="90" t="str">
        <f t="shared" si="103"/>
        <v>Rodoviários</v>
      </c>
      <c r="N983" s="90" t="str">
        <f t="shared" si="104"/>
        <v>Faixas</v>
      </c>
      <c r="O983" s="55" t="str">
        <f t="shared" si="105"/>
        <v>Calçada</v>
      </c>
      <c r="P983" s="58" t="s">
        <v>4261</v>
      </c>
      <c r="Q983" s="63" t="s">
        <v>4262</v>
      </c>
      <c r="R983" s="55" t="s">
        <v>6946</v>
      </c>
      <c r="S983" s="55" t="s">
        <v>692</v>
      </c>
      <c r="T983" s="55" t="str">
        <f t="shared" si="101"/>
        <v>Infraestruturais</v>
      </c>
      <c r="U983" s="55" t="str">
        <f t="shared" si="101"/>
        <v>Rodoviários</v>
      </c>
      <c r="V983" s="55" t="str">
        <f t="shared" si="101"/>
        <v>Faixas</v>
      </c>
      <c r="W983" s="54" t="s">
        <v>7259</v>
      </c>
      <c r="X983" s="84" t="str">
        <f t="shared" si="106"/>
        <v>Key-COD-CT-983</v>
      </c>
      <c r="Y983" s="84" t="s">
        <v>7213</v>
      </c>
      <c r="Z983" s="84" t="s">
        <v>692</v>
      </c>
      <c r="AA983" s="84" t="s">
        <v>7170</v>
      </c>
      <c r="AB983" s="84" t="s">
        <v>692</v>
      </c>
      <c r="AC983" s="84" t="s">
        <v>692</v>
      </c>
      <c r="AD983" s="54" t="s">
        <v>692</v>
      </c>
    </row>
    <row r="984" spans="1:30" ht="6.6" customHeight="1" x14ac:dyDescent="0.25">
      <c r="A984" s="85">
        <v>984</v>
      </c>
      <c r="B984" s="80" t="s">
        <v>5419</v>
      </c>
      <c r="C984" s="91" t="s">
        <v>5467</v>
      </c>
      <c r="D984" s="80" t="s">
        <v>5468</v>
      </c>
      <c r="E984" s="62" t="s">
        <v>4256</v>
      </c>
      <c r="F984" s="28" t="s">
        <v>4263</v>
      </c>
      <c r="G984" s="46" t="s">
        <v>692</v>
      </c>
      <c r="H984" s="46" t="s">
        <v>692</v>
      </c>
      <c r="I984" s="46" t="s">
        <v>692</v>
      </c>
      <c r="J984" s="46" t="s">
        <v>692</v>
      </c>
      <c r="K984" s="46" t="s">
        <v>692</v>
      </c>
      <c r="L984" s="63" t="str">
        <f t="shared" si="102"/>
        <v>Infraestruturais</v>
      </c>
      <c r="M984" s="90" t="str">
        <f t="shared" si="103"/>
        <v>Rodoviários</v>
      </c>
      <c r="N984" s="90" t="str">
        <f t="shared" si="104"/>
        <v>Faixas</v>
      </c>
      <c r="O984" s="55" t="str">
        <f t="shared" si="105"/>
        <v>Ciclofaixa</v>
      </c>
      <c r="P984" s="58" t="s">
        <v>4264</v>
      </c>
      <c r="Q984" s="63" t="s">
        <v>4265</v>
      </c>
      <c r="R984" s="55" t="s">
        <v>6947</v>
      </c>
      <c r="S984" s="55" t="s">
        <v>692</v>
      </c>
      <c r="T984" s="55" t="str">
        <f t="shared" si="101"/>
        <v>Infraestruturais</v>
      </c>
      <c r="U984" s="55" t="str">
        <f t="shared" si="101"/>
        <v>Rodoviários</v>
      </c>
      <c r="V984" s="55" t="str">
        <f t="shared" si="101"/>
        <v>Faixas</v>
      </c>
      <c r="W984" s="54" t="s">
        <v>7259</v>
      </c>
      <c r="X984" s="84" t="str">
        <f t="shared" si="106"/>
        <v>Key-COD-CT-984</v>
      </c>
      <c r="Y984" s="84" t="s">
        <v>7213</v>
      </c>
      <c r="Z984" s="84" t="s">
        <v>692</v>
      </c>
      <c r="AA984" s="84" t="s">
        <v>7170</v>
      </c>
      <c r="AB984" s="84" t="s">
        <v>692</v>
      </c>
      <c r="AC984" s="84" t="s">
        <v>692</v>
      </c>
      <c r="AD984" s="54" t="s">
        <v>692</v>
      </c>
    </row>
    <row r="985" spans="1:30" ht="6.6" customHeight="1" x14ac:dyDescent="0.25">
      <c r="A985" s="85">
        <v>985</v>
      </c>
      <c r="B985" s="80" t="s">
        <v>5419</v>
      </c>
      <c r="C985" s="91" t="s">
        <v>5467</v>
      </c>
      <c r="D985" s="80" t="s">
        <v>5468</v>
      </c>
      <c r="E985" s="62" t="s">
        <v>4256</v>
      </c>
      <c r="F985" s="28" t="s">
        <v>4266</v>
      </c>
      <c r="G985" s="46" t="s">
        <v>692</v>
      </c>
      <c r="H985" s="46" t="s">
        <v>692</v>
      </c>
      <c r="I985" s="46" t="s">
        <v>692</v>
      </c>
      <c r="J985" s="46" t="s">
        <v>692</v>
      </c>
      <c r="K985" s="46" t="s">
        <v>692</v>
      </c>
      <c r="L985" s="63" t="str">
        <f t="shared" si="102"/>
        <v>Infraestruturais</v>
      </c>
      <c r="M985" s="90" t="str">
        <f t="shared" si="103"/>
        <v>Rodoviários</v>
      </c>
      <c r="N985" s="90" t="str">
        <f t="shared" si="104"/>
        <v>Faixas</v>
      </c>
      <c r="O985" s="55" t="str">
        <f t="shared" si="105"/>
        <v>Ciclovia</v>
      </c>
      <c r="P985" s="58" t="s">
        <v>4267</v>
      </c>
      <c r="Q985" s="63" t="s">
        <v>4268</v>
      </c>
      <c r="R985" s="55" t="s">
        <v>6948</v>
      </c>
      <c r="S985" s="55" t="s">
        <v>692</v>
      </c>
      <c r="T985" s="55" t="str">
        <f t="shared" si="101"/>
        <v>Infraestruturais</v>
      </c>
      <c r="U985" s="55" t="str">
        <f t="shared" si="101"/>
        <v>Rodoviários</v>
      </c>
      <c r="V985" s="55" t="str">
        <f t="shared" si="101"/>
        <v>Faixas</v>
      </c>
      <c r="W985" s="54" t="s">
        <v>7259</v>
      </c>
      <c r="X985" s="84" t="str">
        <f t="shared" si="106"/>
        <v>Key-COD-CT-985</v>
      </c>
      <c r="Y985" s="84" t="s">
        <v>7213</v>
      </c>
      <c r="Z985" s="84" t="s">
        <v>692</v>
      </c>
      <c r="AA985" s="84" t="s">
        <v>7162</v>
      </c>
      <c r="AB985" s="84" t="s">
        <v>692</v>
      </c>
      <c r="AC985" s="84" t="s">
        <v>692</v>
      </c>
      <c r="AD985" s="54" t="s">
        <v>692</v>
      </c>
    </row>
    <row r="986" spans="1:30" ht="6.6" customHeight="1" x14ac:dyDescent="0.25">
      <c r="A986" s="85">
        <v>986</v>
      </c>
      <c r="B986" s="80" t="s">
        <v>5419</v>
      </c>
      <c r="C986" s="91" t="s">
        <v>5467</v>
      </c>
      <c r="D986" s="80" t="s">
        <v>5468</v>
      </c>
      <c r="E986" s="62" t="s">
        <v>4256</v>
      </c>
      <c r="F986" s="28" t="s">
        <v>4269</v>
      </c>
      <c r="G986" s="46" t="s">
        <v>692</v>
      </c>
      <c r="H986" s="46" t="s">
        <v>692</v>
      </c>
      <c r="I986" s="46" t="s">
        <v>692</v>
      </c>
      <c r="J986" s="46" t="s">
        <v>692</v>
      </c>
      <c r="K986" s="46" t="s">
        <v>692</v>
      </c>
      <c r="L986" s="63" t="str">
        <f t="shared" si="102"/>
        <v>Infraestruturais</v>
      </c>
      <c r="M986" s="90" t="str">
        <f t="shared" si="103"/>
        <v>Rodoviários</v>
      </c>
      <c r="N986" s="90" t="str">
        <f t="shared" si="104"/>
        <v>Faixas</v>
      </c>
      <c r="O986" s="55" t="str">
        <f t="shared" si="105"/>
        <v>Meio.Fio</v>
      </c>
      <c r="P986" s="58" t="s">
        <v>4270</v>
      </c>
      <c r="Q986" s="63" t="s">
        <v>4271</v>
      </c>
      <c r="R986" s="55" t="s">
        <v>6949</v>
      </c>
      <c r="S986" s="55" t="s">
        <v>692</v>
      </c>
      <c r="T986" s="55" t="str">
        <f t="shared" si="101"/>
        <v>Infraestruturais</v>
      </c>
      <c r="U986" s="55" t="str">
        <f t="shared" si="101"/>
        <v>Rodoviários</v>
      </c>
      <c r="V986" s="55" t="str">
        <f t="shared" si="101"/>
        <v>Faixas</v>
      </c>
      <c r="W986" s="54" t="s">
        <v>7259</v>
      </c>
      <c r="X986" s="84" t="str">
        <f t="shared" si="106"/>
        <v>Key-COD-CT-986</v>
      </c>
      <c r="Y986" s="84" t="s">
        <v>7213</v>
      </c>
      <c r="Z986" s="84" t="s">
        <v>692</v>
      </c>
      <c r="AA986" s="84" t="s">
        <v>5469</v>
      </c>
      <c r="AB986" s="84" t="s">
        <v>692</v>
      </c>
      <c r="AC986" s="84" t="s">
        <v>692</v>
      </c>
      <c r="AD986" s="54" t="s">
        <v>692</v>
      </c>
    </row>
    <row r="987" spans="1:30" ht="6.6" customHeight="1" x14ac:dyDescent="0.25">
      <c r="A987" s="85">
        <v>987</v>
      </c>
      <c r="B987" s="80" t="s">
        <v>5419</v>
      </c>
      <c r="C987" s="91" t="s">
        <v>5467</v>
      </c>
      <c r="D987" s="80" t="s">
        <v>5468</v>
      </c>
      <c r="E987" s="62" t="s">
        <v>2159</v>
      </c>
      <c r="F987" s="28" t="s">
        <v>4272</v>
      </c>
      <c r="G987" s="46" t="s">
        <v>692</v>
      </c>
      <c r="H987" s="46" t="s">
        <v>692</v>
      </c>
      <c r="I987" s="46" t="s">
        <v>692</v>
      </c>
      <c r="J987" s="46" t="s">
        <v>692</v>
      </c>
      <c r="K987" s="46" t="s">
        <v>692</v>
      </c>
      <c r="L987" s="63" t="str">
        <f t="shared" si="102"/>
        <v>Infraestruturais</v>
      </c>
      <c r="M987" s="90" t="str">
        <f t="shared" si="103"/>
        <v>Rodoviários</v>
      </c>
      <c r="N987" s="90" t="str">
        <f t="shared" si="104"/>
        <v>Proteções</v>
      </c>
      <c r="O987" s="55" t="str">
        <f t="shared" si="105"/>
        <v>Contenção.Perfil</v>
      </c>
      <c r="P987" s="58" t="s">
        <v>4273</v>
      </c>
      <c r="Q987" s="63" t="s">
        <v>4274</v>
      </c>
      <c r="R987" s="55" t="s">
        <v>6950</v>
      </c>
      <c r="S987" s="55" t="s">
        <v>692</v>
      </c>
      <c r="T987" s="55" t="str">
        <f t="shared" si="101"/>
        <v>Infraestruturais</v>
      </c>
      <c r="U987" s="55" t="str">
        <f t="shared" si="101"/>
        <v>Rodoviários</v>
      </c>
      <c r="V987" s="55" t="str">
        <f t="shared" si="101"/>
        <v>Proteções</v>
      </c>
      <c r="W987" s="54" t="s">
        <v>7259</v>
      </c>
      <c r="X987" s="84" t="str">
        <f t="shared" si="106"/>
        <v>Key-COD-CT-987</v>
      </c>
      <c r="Y987" s="84" t="s">
        <v>7214</v>
      </c>
      <c r="Z987" s="84" t="s">
        <v>692</v>
      </c>
      <c r="AA987" s="84" t="s">
        <v>5469</v>
      </c>
      <c r="AB987" s="84" t="s">
        <v>692</v>
      </c>
      <c r="AC987" s="84" t="s">
        <v>692</v>
      </c>
      <c r="AD987" s="54" t="s">
        <v>692</v>
      </c>
    </row>
    <row r="988" spans="1:30" ht="6.6" customHeight="1" x14ac:dyDescent="0.25">
      <c r="A988" s="85">
        <v>988</v>
      </c>
      <c r="B988" s="80" t="s">
        <v>5419</v>
      </c>
      <c r="C988" s="91" t="s">
        <v>5467</v>
      </c>
      <c r="D988" s="80" t="s">
        <v>5468</v>
      </c>
      <c r="E988" s="62" t="s">
        <v>2159</v>
      </c>
      <c r="F988" s="28" t="s">
        <v>4275</v>
      </c>
      <c r="G988" s="46" t="s">
        <v>692</v>
      </c>
      <c r="H988" s="46" t="s">
        <v>692</v>
      </c>
      <c r="I988" s="46" t="s">
        <v>692</v>
      </c>
      <c r="J988" s="46" t="s">
        <v>692</v>
      </c>
      <c r="K988" s="46" t="s">
        <v>692</v>
      </c>
      <c r="L988" s="63" t="str">
        <f t="shared" si="102"/>
        <v>Infraestruturais</v>
      </c>
      <c r="M988" s="90" t="str">
        <f t="shared" si="103"/>
        <v>Rodoviários</v>
      </c>
      <c r="N988" s="90" t="str">
        <f t="shared" si="104"/>
        <v>Proteções</v>
      </c>
      <c r="O988" s="55" t="str">
        <f t="shared" si="105"/>
        <v>Contenção.Cortina</v>
      </c>
      <c r="P988" s="58" t="s">
        <v>4276</v>
      </c>
      <c r="Q988" s="63" t="s">
        <v>4277</v>
      </c>
      <c r="R988" s="55" t="s">
        <v>6951</v>
      </c>
      <c r="S988" s="55" t="s">
        <v>692</v>
      </c>
      <c r="T988" s="55" t="str">
        <f t="shared" si="101"/>
        <v>Infraestruturais</v>
      </c>
      <c r="U988" s="55" t="str">
        <f t="shared" si="101"/>
        <v>Rodoviários</v>
      </c>
      <c r="V988" s="55" t="str">
        <f t="shared" si="101"/>
        <v>Proteções</v>
      </c>
      <c r="W988" s="54" t="s">
        <v>7259</v>
      </c>
      <c r="X988" s="84" t="str">
        <f t="shared" si="106"/>
        <v>Key-COD-CT-988</v>
      </c>
      <c r="Y988" s="84" t="s">
        <v>7214</v>
      </c>
      <c r="Z988" s="84" t="s">
        <v>692</v>
      </c>
      <c r="AA988" s="84" t="s">
        <v>5469</v>
      </c>
      <c r="AB988" s="84" t="s">
        <v>692</v>
      </c>
      <c r="AC988" s="84" t="s">
        <v>692</v>
      </c>
      <c r="AD988" s="54" t="s">
        <v>692</v>
      </c>
    </row>
    <row r="989" spans="1:30" ht="6.6" customHeight="1" x14ac:dyDescent="0.25">
      <c r="A989" s="85">
        <v>989</v>
      </c>
      <c r="B989" s="80" t="s">
        <v>5419</v>
      </c>
      <c r="C989" s="91" t="s">
        <v>5467</v>
      </c>
      <c r="D989" s="80" t="s">
        <v>5468</v>
      </c>
      <c r="E989" s="62" t="s">
        <v>2159</v>
      </c>
      <c r="F989" s="28" t="s">
        <v>4278</v>
      </c>
      <c r="G989" s="46" t="s">
        <v>692</v>
      </c>
      <c r="H989" s="46" t="s">
        <v>692</v>
      </c>
      <c r="I989" s="46" t="s">
        <v>692</v>
      </c>
      <c r="J989" s="46" t="s">
        <v>692</v>
      </c>
      <c r="K989" s="46" t="s">
        <v>692</v>
      </c>
      <c r="L989" s="63" t="str">
        <f t="shared" si="102"/>
        <v>Infraestruturais</v>
      </c>
      <c r="M989" s="90" t="str">
        <f t="shared" si="103"/>
        <v>Rodoviários</v>
      </c>
      <c r="N989" s="90" t="str">
        <f t="shared" si="104"/>
        <v>Proteções</v>
      </c>
      <c r="O989" s="55" t="str">
        <f t="shared" si="105"/>
        <v>Contenção.Guardacorpo</v>
      </c>
      <c r="P989" s="58" t="s">
        <v>4279</v>
      </c>
      <c r="Q989" s="63" t="s">
        <v>4280</v>
      </c>
      <c r="R989" s="55" t="s">
        <v>6952</v>
      </c>
      <c r="S989" s="55" t="s">
        <v>692</v>
      </c>
      <c r="T989" s="55" t="str">
        <f t="shared" si="101"/>
        <v>Infraestruturais</v>
      </c>
      <c r="U989" s="55" t="str">
        <f t="shared" si="101"/>
        <v>Rodoviários</v>
      </c>
      <c r="V989" s="55" t="str">
        <f t="shared" si="101"/>
        <v>Proteções</v>
      </c>
      <c r="W989" s="54" t="s">
        <v>7259</v>
      </c>
      <c r="X989" s="84" t="str">
        <f t="shared" si="106"/>
        <v>Key-COD-CT-989</v>
      </c>
      <c r="Y989" s="84" t="s">
        <v>7214</v>
      </c>
      <c r="Z989" s="84" t="s">
        <v>692</v>
      </c>
      <c r="AA989" s="84" t="s">
        <v>5469</v>
      </c>
      <c r="AB989" s="84" t="s">
        <v>692</v>
      </c>
      <c r="AC989" s="84" t="s">
        <v>692</v>
      </c>
      <c r="AD989" s="54" t="s">
        <v>692</v>
      </c>
    </row>
    <row r="990" spans="1:30" ht="6.6" customHeight="1" x14ac:dyDescent="0.25">
      <c r="A990" s="85">
        <v>990</v>
      </c>
      <c r="B990" s="80" t="s">
        <v>5419</v>
      </c>
      <c r="C990" s="91" t="s">
        <v>5467</v>
      </c>
      <c r="D990" s="80" t="s">
        <v>5468</v>
      </c>
      <c r="E990" s="62" t="s">
        <v>2159</v>
      </c>
      <c r="F990" s="28" t="s">
        <v>4281</v>
      </c>
      <c r="G990" s="46" t="s">
        <v>692</v>
      </c>
      <c r="H990" s="46" t="s">
        <v>692</v>
      </c>
      <c r="I990" s="46" t="s">
        <v>692</v>
      </c>
      <c r="J990" s="46" t="s">
        <v>692</v>
      </c>
      <c r="K990" s="46" t="s">
        <v>692</v>
      </c>
      <c r="L990" s="63" t="str">
        <f t="shared" si="102"/>
        <v>Infraestruturais</v>
      </c>
      <c r="M990" s="90" t="str">
        <f t="shared" si="103"/>
        <v>Rodoviários</v>
      </c>
      <c r="N990" s="90" t="str">
        <f t="shared" si="104"/>
        <v>Proteções</v>
      </c>
      <c r="O990" s="55" t="str">
        <f t="shared" si="105"/>
        <v>Contenção.GuardaRail</v>
      </c>
      <c r="P990" s="58" t="s">
        <v>4282</v>
      </c>
      <c r="Q990" s="63" t="s">
        <v>4283</v>
      </c>
      <c r="R990" s="55" t="s">
        <v>6953</v>
      </c>
      <c r="S990" s="55" t="s">
        <v>692</v>
      </c>
      <c r="T990" s="55" t="str">
        <f t="shared" si="101"/>
        <v>Infraestruturais</v>
      </c>
      <c r="U990" s="55" t="str">
        <f t="shared" si="101"/>
        <v>Rodoviários</v>
      </c>
      <c r="V990" s="55" t="str">
        <f t="shared" si="101"/>
        <v>Proteções</v>
      </c>
      <c r="W990" s="54" t="s">
        <v>7259</v>
      </c>
      <c r="X990" s="84" t="str">
        <f t="shared" si="106"/>
        <v>Key-COD-CT-990</v>
      </c>
      <c r="Y990" s="84" t="s">
        <v>7214</v>
      </c>
      <c r="Z990" s="84" t="s">
        <v>692</v>
      </c>
      <c r="AA990" s="84" t="s">
        <v>7171</v>
      </c>
      <c r="AB990" s="84" t="s">
        <v>692</v>
      </c>
      <c r="AC990" s="84" t="s">
        <v>692</v>
      </c>
      <c r="AD990" s="54" t="s">
        <v>692</v>
      </c>
    </row>
    <row r="991" spans="1:30" ht="6.6" customHeight="1" x14ac:dyDescent="0.25">
      <c r="A991" s="85">
        <v>991</v>
      </c>
      <c r="B991" s="80" t="s">
        <v>5419</v>
      </c>
      <c r="C991" s="91" t="s">
        <v>5467</v>
      </c>
      <c r="D991" s="80" t="s">
        <v>5468</v>
      </c>
      <c r="E991" s="62" t="s">
        <v>4284</v>
      </c>
      <c r="F991" s="28" t="s">
        <v>4285</v>
      </c>
      <c r="G991" s="46" t="s">
        <v>692</v>
      </c>
      <c r="H991" s="46" t="s">
        <v>692</v>
      </c>
      <c r="I991" s="46" t="s">
        <v>692</v>
      </c>
      <c r="J991" s="46" t="s">
        <v>692</v>
      </c>
      <c r="K991" s="46" t="s">
        <v>692</v>
      </c>
      <c r="L991" s="63" t="str">
        <f t="shared" si="102"/>
        <v>Infraestruturais</v>
      </c>
      <c r="M991" s="90" t="str">
        <f t="shared" si="103"/>
        <v>Rodoviários</v>
      </c>
      <c r="N991" s="90" t="str">
        <f t="shared" si="104"/>
        <v>Obras de Arte Especial</v>
      </c>
      <c r="O991" s="55" t="str">
        <f t="shared" si="105"/>
        <v>Ponte</v>
      </c>
      <c r="P991" s="58" t="s">
        <v>4286</v>
      </c>
      <c r="Q991" s="63" t="s">
        <v>4287</v>
      </c>
      <c r="R991" s="55" t="s">
        <v>6954</v>
      </c>
      <c r="S991" s="55" t="s">
        <v>692</v>
      </c>
      <c r="T991" s="55" t="str">
        <f t="shared" si="101"/>
        <v>Infraestruturais</v>
      </c>
      <c r="U991" s="55" t="str">
        <f t="shared" si="101"/>
        <v>Rodoviários</v>
      </c>
      <c r="V991" s="55" t="str">
        <f t="shared" si="101"/>
        <v>Obras de Arte Especial</v>
      </c>
      <c r="W991" s="54" t="s">
        <v>7259</v>
      </c>
      <c r="X991" s="84" t="str">
        <f t="shared" si="106"/>
        <v>Key-COD-CT-991</v>
      </c>
      <c r="Y991" s="84" t="s">
        <v>7212</v>
      </c>
      <c r="Z991" s="84" t="s">
        <v>692</v>
      </c>
      <c r="AA991" s="84" t="s">
        <v>7171</v>
      </c>
      <c r="AB991" s="84" t="s">
        <v>692</v>
      </c>
      <c r="AC991" s="84" t="s">
        <v>692</v>
      </c>
      <c r="AD991" s="54" t="s">
        <v>692</v>
      </c>
    </row>
    <row r="992" spans="1:30" ht="6.6" customHeight="1" x14ac:dyDescent="0.25">
      <c r="A992" s="85">
        <v>992</v>
      </c>
      <c r="B992" s="80" t="s">
        <v>5419</v>
      </c>
      <c r="C992" s="91" t="s">
        <v>5467</v>
      </c>
      <c r="D992" s="80" t="s">
        <v>5468</v>
      </c>
      <c r="E992" s="62" t="s">
        <v>4284</v>
      </c>
      <c r="F992" s="28" t="s">
        <v>4288</v>
      </c>
      <c r="G992" s="46" t="s">
        <v>692</v>
      </c>
      <c r="H992" s="46" t="s">
        <v>692</v>
      </c>
      <c r="I992" s="46" t="s">
        <v>692</v>
      </c>
      <c r="J992" s="46" t="s">
        <v>692</v>
      </c>
      <c r="K992" s="46" t="s">
        <v>692</v>
      </c>
      <c r="L992" s="63" t="str">
        <f t="shared" si="102"/>
        <v>Infraestruturais</v>
      </c>
      <c r="M992" s="90" t="str">
        <f t="shared" si="103"/>
        <v>Rodoviários</v>
      </c>
      <c r="N992" s="90" t="str">
        <f t="shared" si="104"/>
        <v>Obras de Arte Especial</v>
      </c>
      <c r="O992" s="55" t="str">
        <f t="shared" si="105"/>
        <v>Viaduto</v>
      </c>
      <c r="P992" s="58" t="s">
        <v>4289</v>
      </c>
      <c r="Q992" s="63" t="s">
        <v>4290</v>
      </c>
      <c r="R992" s="55" t="s">
        <v>6955</v>
      </c>
      <c r="S992" s="55" t="s">
        <v>692</v>
      </c>
      <c r="T992" s="55" t="str">
        <f t="shared" si="101"/>
        <v>Infraestruturais</v>
      </c>
      <c r="U992" s="55" t="str">
        <f t="shared" si="101"/>
        <v>Rodoviários</v>
      </c>
      <c r="V992" s="55" t="str">
        <f t="shared" si="101"/>
        <v>Obras de Arte Especial</v>
      </c>
      <c r="W992" s="54" t="s">
        <v>7259</v>
      </c>
      <c r="X992" s="84" t="str">
        <f t="shared" si="106"/>
        <v>Key-COD-CT-992</v>
      </c>
      <c r="Y992" s="84" t="s">
        <v>7212</v>
      </c>
      <c r="Z992" s="84" t="s">
        <v>692</v>
      </c>
      <c r="AA992" s="84" t="s">
        <v>7171</v>
      </c>
      <c r="AB992" s="84" t="s">
        <v>692</v>
      </c>
      <c r="AC992" s="84" t="s">
        <v>692</v>
      </c>
      <c r="AD992" s="54" t="s">
        <v>692</v>
      </c>
    </row>
    <row r="993" spans="1:30" ht="6.6" customHeight="1" x14ac:dyDescent="0.25">
      <c r="A993" s="85">
        <v>993</v>
      </c>
      <c r="B993" s="80" t="s">
        <v>5419</v>
      </c>
      <c r="C993" s="91" t="s">
        <v>5467</v>
      </c>
      <c r="D993" s="80" t="s">
        <v>5468</v>
      </c>
      <c r="E993" s="62" t="s">
        <v>4284</v>
      </c>
      <c r="F993" s="28" t="s">
        <v>4291</v>
      </c>
      <c r="G993" s="46" t="s">
        <v>692</v>
      </c>
      <c r="H993" s="46" t="s">
        <v>692</v>
      </c>
      <c r="I993" s="46" t="s">
        <v>692</v>
      </c>
      <c r="J993" s="46" t="s">
        <v>692</v>
      </c>
      <c r="K993" s="46" t="s">
        <v>692</v>
      </c>
      <c r="L993" s="63" t="str">
        <f t="shared" si="102"/>
        <v>Infraestruturais</v>
      </c>
      <c r="M993" s="90" t="str">
        <f t="shared" si="103"/>
        <v>Rodoviários</v>
      </c>
      <c r="N993" s="90" t="str">
        <f t="shared" si="104"/>
        <v>Obras de Arte Especial</v>
      </c>
      <c r="O993" s="55" t="str">
        <f t="shared" si="105"/>
        <v>Passarela.Urbana</v>
      </c>
      <c r="P993" s="58" t="s">
        <v>4292</v>
      </c>
      <c r="Q993" s="63" t="s">
        <v>4293</v>
      </c>
      <c r="R993" s="55" t="s">
        <v>6956</v>
      </c>
      <c r="S993" s="55" t="s">
        <v>692</v>
      </c>
      <c r="T993" s="55" t="str">
        <f t="shared" si="101"/>
        <v>Infraestruturais</v>
      </c>
      <c r="U993" s="55" t="str">
        <f t="shared" si="101"/>
        <v>Rodoviários</v>
      </c>
      <c r="V993" s="55" t="str">
        <f t="shared" si="101"/>
        <v>Obras de Arte Especial</v>
      </c>
      <c r="W993" s="54" t="s">
        <v>7259</v>
      </c>
      <c r="X993" s="84" t="str">
        <f t="shared" si="106"/>
        <v>Key-COD-CT-993</v>
      </c>
      <c r="Y993" s="84" t="s">
        <v>7212</v>
      </c>
      <c r="Z993" s="84" t="s">
        <v>692</v>
      </c>
      <c r="AA993" s="84" t="s">
        <v>5456</v>
      </c>
      <c r="AB993" s="84" t="s">
        <v>692</v>
      </c>
      <c r="AC993" s="84" t="s">
        <v>692</v>
      </c>
      <c r="AD993" s="54" t="s">
        <v>692</v>
      </c>
    </row>
    <row r="994" spans="1:30" ht="6.6" customHeight="1" x14ac:dyDescent="0.25">
      <c r="A994" s="85">
        <v>994</v>
      </c>
      <c r="B994" s="80" t="s">
        <v>5419</v>
      </c>
      <c r="C994" s="91" t="s">
        <v>5467</v>
      </c>
      <c r="D994" s="80" t="s">
        <v>5468</v>
      </c>
      <c r="E994" s="62" t="s">
        <v>4284</v>
      </c>
      <c r="F994" s="28" t="s">
        <v>4294</v>
      </c>
      <c r="G994" s="46" t="s">
        <v>692</v>
      </c>
      <c r="H994" s="46" t="s">
        <v>692</v>
      </c>
      <c r="I994" s="46" t="s">
        <v>692</v>
      </c>
      <c r="J994" s="46" t="s">
        <v>692</v>
      </c>
      <c r="K994" s="46" t="s">
        <v>692</v>
      </c>
      <c r="L994" s="63" t="str">
        <f t="shared" si="102"/>
        <v>Infraestruturais</v>
      </c>
      <c r="M994" s="90" t="str">
        <f t="shared" si="103"/>
        <v>Rodoviários</v>
      </c>
      <c r="N994" s="90" t="str">
        <f t="shared" si="104"/>
        <v>Obras de Arte Especial</v>
      </c>
      <c r="O994" s="55" t="str">
        <f t="shared" si="105"/>
        <v>Túnel.Terrestre</v>
      </c>
      <c r="P994" s="58" t="s">
        <v>4295</v>
      </c>
      <c r="Q994" s="63" t="s">
        <v>4296</v>
      </c>
      <c r="R994" s="55" t="s">
        <v>6957</v>
      </c>
      <c r="S994" s="55" t="s">
        <v>692</v>
      </c>
      <c r="T994" s="55" t="str">
        <f t="shared" si="101"/>
        <v>Infraestruturais</v>
      </c>
      <c r="U994" s="55" t="str">
        <f t="shared" si="101"/>
        <v>Rodoviários</v>
      </c>
      <c r="V994" s="55" t="str">
        <f t="shared" si="101"/>
        <v>Obras de Arte Especial</v>
      </c>
      <c r="W994" s="54" t="s">
        <v>7259</v>
      </c>
      <c r="X994" s="84" t="str">
        <f t="shared" si="106"/>
        <v>Key-COD-CT-994</v>
      </c>
      <c r="Y994" s="84" t="s">
        <v>7212</v>
      </c>
      <c r="Z994" s="84" t="s">
        <v>692</v>
      </c>
      <c r="AA994" s="84" t="s">
        <v>5456</v>
      </c>
      <c r="AB994" s="84" t="s">
        <v>692</v>
      </c>
      <c r="AC994" s="84" t="s">
        <v>692</v>
      </c>
      <c r="AD994" s="54" t="s">
        <v>692</v>
      </c>
    </row>
    <row r="995" spans="1:30" ht="6.6" customHeight="1" x14ac:dyDescent="0.25">
      <c r="A995" s="85">
        <v>995</v>
      </c>
      <c r="B995" s="80" t="s">
        <v>5419</v>
      </c>
      <c r="C995" s="91" t="s">
        <v>5467</v>
      </c>
      <c r="D995" s="80" t="s">
        <v>5468</v>
      </c>
      <c r="E995" s="62" t="s">
        <v>4284</v>
      </c>
      <c r="F995" s="28" t="s">
        <v>4297</v>
      </c>
      <c r="G995" s="46" t="s">
        <v>692</v>
      </c>
      <c r="H995" s="46" t="s">
        <v>692</v>
      </c>
      <c r="I995" s="46" t="s">
        <v>692</v>
      </c>
      <c r="J995" s="46" t="s">
        <v>692</v>
      </c>
      <c r="K995" s="46" t="s">
        <v>692</v>
      </c>
      <c r="L995" s="63" t="str">
        <f t="shared" si="102"/>
        <v>Infraestruturais</v>
      </c>
      <c r="M995" s="90" t="str">
        <f t="shared" si="103"/>
        <v>Rodoviários</v>
      </c>
      <c r="N995" s="90" t="str">
        <f t="shared" si="104"/>
        <v>Obras de Arte Especial</v>
      </c>
      <c r="O995" s="55" t="str">
        <f t="shared" si="105"/>
        <v>Túnel.Acuático</v>
      </c>
      <c r="P995" s="58" t="s">
        <v>4298</v>
      </c>
      <c r="Q995" s="63" t="s">
        <v>4299</v>
      </c>
      <c r="R995" s="55" t="s">
        <v>6958</v>
      </c>
      <c r="S995" s="55" t="s">
        <v>692</v>
      </c>
      <c r="T995" s="55" t="str">
        <f t="shared" si="101"/>
        <v>Infraestruturais</v>
      </c>
      <c r="U995" s="55" t="str">
        <f t="shared" si="101"/>
        <v>Rodoviários</v>
      </c>
      <c r="V995" s="55" t="str">
        <f t="shared" si="101"/>
        <v>Obras de Arte Especial</v>
      </c>
      <c r="W995" s="54" t="s">
        <v>7259</v>
      </c>
      <c r="X995" s="84" t="str">
        <f t="shared" si="106"/>
        <v>Key-COD-CT-995</v>
      </c>
      <c r="Y995" s="84" t="s">
        <v>7212</v>
      </c>
      <c r="Z995" s="84" t="s">
        <v>692</v>
      </c>
      <c r="AA995" s="84" t="s">
        <v>5456</v>
      </c>
      <c r="AB995" s="84" t="s">
        <v>692</v>
      </c>
      <c r="AC995" s="84" t="s">
        <v>692</v>
      </c>
      <c r="AD995" s="54" t="s">
        <v>692</v>
      </c>
    </row>
    <row r="996" spans="1:30" ht="6.6" customHeight="1" x14ac:dyDescent="0.25">
      <c r="A996" s="85">
        <v>996</v>
      </c>
      <c r="B996" s="80" t="s">
        <v>5419</v>
      </c>
      <c r="C996" s="91" t="s">
        <v>5467</v>
      </c>
      <c r="D996" s="80" t="s">
        <v>5468</v>
      </c>
      <c r="E996" s="62" t="s">
        <v>4284</v>
      </c>
      <c r="F996" s="28" t="s">
        <v>4300</v>
      </c>
      <c r="G996" s="46" t="s">
        <v>692</v>
      </c>
      <c r="H996" s="46" t="s">
        <v>692</v>
      </c>
      <c r="I996" s="46" t="s">
        <v>692</v>
      </c>
      <c r="J996" s="46" t="s">
        <v>692</v>
      </c>
      <c r="K996" s="46" t="s">
        <v>692</v>
      </c>
      <c r="L996" s="63" t="str">
        <f t="shared" si="102"/>
        <v>Infraestruturais</v>
      </c>
      <c r="M996" s="90" t="str">
        <f t="shared" si="103"/>
        <v>Rodoviários</v>
      </c>
      <c r="N996" s="90" t="str">
        <f t="shared" si="104"/>
        <v>Obras de Arte Especial</v>
      </c>
      <c r="O996" s="55" t="str">
        <f t="shared" si="105"/>
        <v>Edifício.Garagem</v>
      </c>
      <c r="P996" s="58" t="s">
        <v>4301</v>
      </c>
      <c r="Q996" s="63" t="s">
        <v>4302</v>
      </c>
      <c r="R996" s="55" t="s">
        <v>6959</v>
      </c>
      <c r="S996" s="55" t="s">
        <v>692</v>
      </c>
      <c r="T996" s="55" t="str">
        <f t="shared" si="101"/>
        <v>Infraestruturais</v>
      </c>
      <c r="U996" s="55" t="str">
        <f t="shared" si="101"/>
        <v>Rodoviários</v>
      </c>
      <c r="V996" s="55" t="str">
        <f t="shared" si="101"/>
        <v>Obras de Arte Especial</v>
      </c>
      <c r="W996" s="54" t="s">
        <v>7259</v>
      </c>
      <c r="X996" s="84" t="str">
        <f t="shared" si="106"/>
        <v>Key-COD-CT-996</v>
      </c>
      <c r="Y996" s="84" t="s">
        <v>7212</v>
      </c>
      <c r="Z996" s="84" t="s">
        <v>692</v>
      </c>
      <c r="AA996" s="84" t="s">
        <v>7172</v>
      </c>
      <c r="AB996" s="84" t="s">
        <v>692</v>
      </c>
      <c r="AC996" s="84" t="s">
        <v>692</v>
      </c>
      <c r="AD996" s="54" t="s">
        <v>692</v>
      </c>
    </row>
    <row r="997" spans="1:30" ht="6.6" customHeight="1" x14ac:dyDescent="0.25">
      <c r="A997" s="85">
        <v>997</v>
      </c>
      <c r="B997" s="80" t="s">
        <v>5419</v>
      </c>
      <c r="C997" s="91" t="s">
        <v>5467</v>
      </c>
      <c r="D997" s="80" t="s">
        <v>5468</v>
      </c>
      <c r="E997" s="62" t="s">
        <v>4303</v>
      </c>
      <c r="F997" s="80" t="s">
        <v>4304</v>
      </c>
      <c r="G997" s="92" t="s">
        <v>692</v>
      </c>
      <c r="H997" s="92" t="s">
        <v>692</v>
      </c>
      <c r="I997" s="92" t="s">
        <v>692</v>
      </c>
      <c r="J997" s="92" t="s">
        <v>692</v>
      </c>
      <c r="K997" s="92" t="s">
        <v>692</v>
      </c>
      <c r="L997" s="90" t="str">
        <f t="shared" ref="L997:M1017" si="107">CONCATENATE("", C997)</f>
        <v>Infraestruturais</v>
      </c>
      <c r="M997" s="90" t="str">
        <f t="shared" si="107"/>
        <v>Rodoviários</v>
      </c>
      <c r="N997" s="90" t="str">
        <f t="shared" si="104"/>
        <v>OAE Partes</v>
      </c>
      <c r="O997" s="55" t="str">
        <f t="shared" si="105"/>
        <v>OAE.Aparelho.Apóio</v>
      </c>
      <c r="P997" s="55" t="s">
        <v>4305</v>
      </c>
      <c r="Q997" s="63" t="s">
        <v>4306</v>
      </c>
      <c r="R997" s="55" t="s">
        <v>6960</v>
      </c>
      <c r="S997" s="55" t="s">
        <v>692</v>
      </c>
      <c r="T997" s="55" t="str">
        <f t="shared" si="101"/>
        <v>Infraestruturais</v>
      </c>
      <c r="U997" s="55" t="str">
        <f t="shared" si="101"/>
        <v>Rodoviários</v>
      </c>
      <c r="V997" s="55" t="str">
        <f t="shared" si="101"/>
        <v>OAE Partes</v>
      </c>
      <c r="W997" s="54" t="s">
        <v>7259</v>
      </c>
      <c r="X997" s="84" t="str">
        <f t="shared" si="106"/>
        <v>Key-COD-CT-997</v>
      </c>
      <c r="Y997" s="84" t="s">
        <v>7215</v>
      </c>
      <c r="Z997" s="84" t="s">
        <v>692</v>
      </c>
      <c r="AA997" s="84" t="s">
        <v>7173</v>
      </c>
      <c r="AB997" s="84" t="s">
        <v>692</v>
      </c>
      <c r="AC997" s="84" t="s">
        <v>692</v>
      </c>
      <c r="AD997" s="54" t="s">
        <v>692</v>
      </c>
    </row>
    <row r="998" spans="1:30" ht="6.6" customHeight="1" x14ac:dyDescent="0.25">
      <c r="A998" s="85">
        <v>998</v>
      </c>
      <c r="B998" s="80" t="s">
        <v>5419</v>
      </c>
      <c r="C998" s="91" t="s">
        <v>5467</v>
      </c>
      <c r="D998" s="80" t="s">
        <v>5468</v>
      </c>
      <c r="E998" s="62" t="s">
        <v>4303</v>
      </c>
      <c r="F998" s="80" t="s">
        <v>4307</v>
      </c>
      <c r="G998" s="92" t="s">
        <v>692</v>
      </c>
      <c r="H998" s="92" t="s">
        <v>692</v>
      </c>
      <c r="I998" s="92" t="s">
        <v>692</v>
      </c>
      <c r="J998" s="92" t="s">
        <v>692</v>
      </c>
      <c r="K998" s="92" t="s">
        <v>692</v>
      </c>
      <c r="L998" s="90" t="str">
        <f t="shared" si="107"/>
        <v>Infraestruturais</v>
      </c>
      <c r="M998" s="90" t="str">
        <f t="shared" si="107"/>
        <v>Rodoviários</v>
      </c>
      <c r="N998" s="90" t="str">
        <f t="shared" si="104"/>
        <v>OAE Partes</v>
      </c>
      <c r="O998" s="55" t="str">
        <f t="shared" si="105"/>
        <v>OAE.Estaca</v>
      </c>
      <c r="P998" s="55" t="s">
        <v>4308</v>
      </c>
      <c r="Q998" s="63" t="s">
        <v>4309</v>
      </c>
      <c r="R998" s="55" t="s">
        <v>6961</v>
      </c>
      <c r="S998" s="55" t="s">
        <v>692</v>
      </c>
      <c r="T998" s="55" t="str">
        <f t="shared" si="101"/>
        <v>Infraestruturais</v>
      </c>
      <c r="U998" s="55" t="str">
        <f t="shared" si="101"/>
        <v>Rodoviários</v>
      </c>
      <c r="V998" s="55" t="str">
        <f t="shared" si="101"/>
        <v>OAE Partes</v>
      </c>
      <c r="W998" s="54" t="s">
        <v>7259</v>
      </c>
      <c r="X998" s="84" t="str">
        <f t="shared" si="106"/>
        <v>Key-COD-CT-998</v>
      </c>
      <c r="Y998" s="84" t="s">
        <v>7216</v>
      </c>
      <c r="Z998" s="84" t="s">
        <v>692</v>
      </c>
      <c r="AA998" s="84" t="s">
        <v>7173</v>
      </c>
      <c r="AB998" s="84" t="s">
        <v>692</v>
      </c>
      <c r="AC998" s="84" t="s">
        <v>692</v>
      </c>
      <c r="AD998" s="54" t="s">
        <v>692</v>
      </c>
    </row>
    <row r="999" spans="1:30" ht="6.6" customHeight="1" x14ac:dyDescent="0.25">
      <c r="A999" s="85">
        <v>999</v>
      </c>
      <c r="B999" s="80" t="s">
        <v>5419</v>
      </c>
      <c r="C999" s="91" t="s">
        <v>5467</v>
      </c>
      <c r="D999" s="80" t="s">
        <v>5468</v>
      </c>
      <c r="E999" s="62" t="s">
        <v>4303</v>
      </c>
      <c r="F999" s="80" t="s">
        <v>4310</v>
      </c>
      <c r="G999" s="92" t="s">
        <v>692</v>
      </c>
      <c r="H999" s="92" t="s">
        <v>692</v>
      </c>
      <c r="I999" s="92" t="s">
        <v>692</v>
      </c>
      <c r="J999" s="92" t="s">
        <v>692</v>
      </c>
      <c r="K999" s="92" t="s">
        <v>692</v>
      </c>
      <c r="L999" s="90" t="str">
        <f t="shared" si="107"/>
        <v>Infraestruturais</v>
      </c>
      <c r="M999" s="90" t="str">
        <f t="shared" si="107"/>
        <v>Rodoviários</v>
      </c>
      <c r="N999" s="90" t="str">
        <f t="shared" si="104"/>
        <v>OAE Partes</v>
      </c>
      <c r="O999" s="55" t="str">
        <f t="shared" si="105"/>
        <v>OAE.Fundação</v>
      </c>
      <c r="P999" s="55" t="s">
        <v>4311</v>
      </c>
      <c r="Q999" s="63" t="s">
        <v>4312</v>
      </c>
      <c r="R999" s="55" t="s">
        <v>6962</v>
      </c>
      <c r="S999" s="55" t="s">
        <v>692</v>
      </c>
      <c r="T999" s="55" t="str">
        <f t="shared" si="101"/>
        <v>Infraestruturais</v>
      </c>
      <c r="U999" s="55" t="str">
        <f t="shared" si="101"/>
        <v>Rodoviários</v>
      </c>
      <c r="V999" s="55" t="str">
        <f t="shared" si="101"/>
        <v>OAE Partes</v>
      </c>
      <c r="W999" s="54" t="s">
        <v>7259</v>
      </c>
      <c r="X999" s="84" t="str">
        <f t="shared" si="106"/>
        <v>Key-COD-CT-999</v>
      </c>
      <c r="Y999" s="84" t="s">
        <v>7217</v>
      </c>
      <c r="Z999" s="84" t="s">
        <v>692</v>
      </c>
      <c r="AA999" s="84" t="s">
        <v>7173</v>
      </c>
      <c r="AB999" s="84" t="s">
        <v>692</v>
      </c>
      <c r="AC999" s="84" t="s">
        <v>692</v>
      </c>
      <c r="AD999" s="54" t="s">
        <v>692</v>
      </c>
    </row>
    <row r="1000" spans="1:30" ht="6.6" customHeight="1" x14ac:dyDescent="0.25">
      <c r="A1000" s="85">
        <v>1000</v>
      </c>
      <c r="B1000" s="80" t="s">
        <v>5419</v>
      </c>
      <c r="C1000" s="91" t="s">
        <v>5467</v>
      </c>
      <c r="D1000" s="80" t="s">
        <v>5468</v>
      </c>
      <c r="E1000" s="62" t="s">
        <v>4303</v>
      </c>
      <c r="F1000" s="80" t="s">
        <v>4313</v>
      </c>
      <c r="G1000" s="92" t="s">
        <v>692</v>
      </c>
      <c r="H1000" s="92" t="s">
        <v>692</v>
      </c>
      <c r="I1000" s="92" t="s">
        <v>692</v>
      </c>
      <c r="J1000" s="92" t="s">
        <v>692</v>
      </c>
      <c r="K1000" s="92" t="s">
        <v>692</v>
      </c>
      <c r="L1000" s="90" t="str">
        <f t="shared" si="107"/>
        <v>Infraestruturais</v>
      </c>
      <c r="M1000" s="90" t="str">
        <f t="shared" si="107"/>
        <v>Rodoviários</v>
      </c>
      <c r="N1000" s="90" t="str">
        <f t="shared" si="104"/>
        <v>OAE Partes</v>
      </c>
      <c r="O1000" s="55" t="str">
        <f t="shared" si="105"/>
        <v>OAE.Encontro</v>
      </c>
      <c r="P1000" s="55" t="s">
        <v>4314</v>
      </c>
      <c r="Q1000" s="63" t="s">
        <v>4315</v>
      </c>
      <c r="R1000" s="55" t="s">
        <v>6963</v>
      </c>
      <c r="S1000" s="55" t="s">
        <v>692</v>
      </c>
      <c r="T1000" s="55" t="str">
        <f t="shared" si="101"/>
        <v>Infraestruturais</v>
      </c>
      <c r="U1000" s="55" t="str">
        <f t="shared" si="101"/>
        <v>Rodoviários</v>
      </c>
      <c r="V1000" s="55" t="str">
        <f t="shared" si="101"/>
        <v>OAE Partes</v>
      </c>
      <c r="W1000" s="54" t="s">
        <v>7259</v>
      </c>
      <c r="X1000" s="84" t="str">
        <f t="shared" si="106"/>
        <v>Key-COD-CT-1000</v>
      </c>
      <c r="Y1000" s="84" t="s">
        <v>7218</v>
      </c>
      <c r="Z1000" s="84" t="s">
        <v>692</v>
      </c>
      <c r="AA1000" s="84" t="s">
        <v>7173</v>
      </c>
      <c r="AB1000" s="84" t="s">
        <v>692</v>
      </c>
      <c r="AC1000" s="84" t="s">
        <v>692</v>
      </c>
      <c r="AD1000" s="54" t="s">
        <v>692</v>
      </c>
    </row>
    <row r="1001" spans="1:30" ht="6.6" customHeight="1" x14ac:dyDescent="0.25">
      <c r="A1001" s="85">
        <v>1001</v>
      </c>
      <c r="B1001" s="80" t="s">
        <v>5419</v>
      </c>
      <c r="C1001" s="91" t="s">
        <v>5467</v>
      </c>
      <c r="D1001" s="80" t="s">
        <v>5468</v>
      </c>
      <c r="E1001" s="62" t="s">
        <v>4303</v>
      </c>
      <c r="F1001" s="80" t="s">
        <v>4316</v>
      </c>
      <c r="G1001" s="92" t="s">
        <v>692</v>
      </c>
      <c r="H1001" s="92" t="s">
        <v>692</v>
      </c>
      <c r="I1001" s="92" t="s">
        <v>692</v>
      </c>
      <c r="J1001" s="92" t="s">
        <v>692</v>
      </c>
      <c r="K1001" s="92" t="s">
        <v>692</v>
      </c>
      <c r="L1001" s="90" t="str">
        <f t="shared" si="107"/>
        <v>Infraestruturais</v>
      </c>
      <c r="M1001" s="90" t="str">
        <f t="shared" si="107"/>
        <v>Rodoviários</v>
      </c>
      <c r="N1001" s="90" t="str">
        <f t="shared" si="104"/>
        <v>OAE Partes</v>
      </c>
      <c r="O1001" s="55" t="str">
        <f t="shared" si="105"/>
        <v>OAE.Pilone</v>
      </c>
      <c r="P1001" s="55" t="s">
        <v>4317</v>
      </c>
      <c r="Q1001" s="63" t="s">
        <v>4318</v>
      </c>
      <c r="R1001" s="55" t="s">
        <v>6964</v>
      </c>
      <c r="S1001" s="55" t="s">
        <v>692</v>
      </c>
      <c r="T1001" s="55" t="str">
        <f t="shared" si="101"/>
        <v>Infraestruturais</v>
      </c>
      <c r="U1001" s="55" t="str">
        <f t="shared" si="101"/>
        <v>Rodoviários</v>
      </c>
      <c r="V1001" s="55" t="str">
        <f t="shared" si="101"/>
        <v>OAE Partes</v>
      </c>
      <c r="W1001" s="54" t="s">
        <v>7259</v>
      </c>
      <c r="X1001" s="84" t="str">
        <f t="shared" si="106"/>
        <v>Key-COD-CT-1001</v>
      </c>
      <c r="Y1001" s="84" t="s">
        <v>7219</v>
      </c>
      <c r="Z1001" s="84" t="s">
        <v>692</v>
      </c>
      <c r="AA1001" s="84" t="s">
        <v>7173</v>
      </c>
      <c r="AB1001" s="84" t="s">
        <v>692</v>
      </c>
      <c r="AC1001" s="84" t="s">
        <v>692</v>
      </c>
      <c r="AD1001" s="54" t="s">
        <v>692</v>
      </c>
    </row>
    <row r="1002" spans="1:30" ht="6.6" customHeight="1" x14ac:dyDescent="0.25">
      <c r="A1002" s="85">
        <v>1002</v>
      </c>
      <c r="B1002" s="80" t="s">
        <v>5419</v>
      </c>
      <c r="C1002" s="91" t="s">
        <v>5467</v>
      </c>
      <c r="D1002" s="80" t="s">
        <v>5468</v>
      </c>
      <c r="E1002" s="62" t="s">
        <v>4303</v>
      </c>
      <c r="F1002" s="80" t="s">
        <v>4319</v>
      </c>
      <c r="G1002" s="92" t="s">
        <v>692</v>
      </c>
      <c r="H1002" s="92" t="s">
        <v>692</v>
      </c>
      <c r="I1002" s="92" t="s">
        <v>692</v>
      </c>
      <c r="J1002" s="92" t="s">
        <v>692</v>
      </c>
      <c r="K1002" s="92" t="s">
        <v>692</v>
      </c>
      <c r="L1002" s="90" t="str">
        <f t="shared" si="107"/>
        <v>Infraestruturais</v>
      </c>
      <c r="M1002" s="90" t="str">
        <f t="shared" si="107"/>
        <v>Rodoviários</v>
      </c>
      <c r="N1002" s="90" t="str">
        <f t="shared" si="104"/>
        <v>OAE Partes</v>
      </c>
      <c r="O1002" s="55" t="str">
        <f t="shared" si="105"/>
        <v>OAE.Arco</v>
      </c>
      <c r="P1002" s="55" t="s">
        <v>4320</v>
      </c>
      <c r="Q1002" s="63" t="s">
        <v>4321</v>
      </c>
      <c r="R1002" s="55" t="s">
        <v>6965</v>
      </c>
      <c r="S1002" s="55" t="s">
        <v>692</v>
      </c>
      <c r="T1002" s="55" t="str">
        <f t="shared" si="101"/>
        <v>Infraestruturais</v>
      </c>
      <c r="U1002" s="55" t="str">
        <f t="shared" si="101"/>
        <v>Rodoviários</v>
      </c>
      <c r="V1002" s="55" t="str">
        <f t="shared" si="101"/>
        <v>OAE Partes</v>
      </c>
      <c r="W1002" s="54" t="s">
        <v>7259</v>
      </c>
      <c r="X1002" s="84" t="str">
        <f t="shared" si="106"/>
        <v>Key-COD-CT-1002</v>
      </c>
      <c r="Y1002" s="84" t="s">
        <v>7220</v>
      </c>
      <c r="Z1002" s="84" t="s">
        <v>692</v>
      </c>
      <c r="AA1002" s="84" t="s">
        <v>7173</v>
      </c>
      <c r="AB1002" s="84" t="s">
        <v>692</v>
      </c>
      <c r="AC1002" s="84" t="s">
        <v>692</v>
      </c>
      <c r="AD1002" s="54" t="s">
        <v>692</v>
      </c>
    </row>
    <row r="1003" spans="1:30" ht="6.6" customHeight="1" x14ac:dyDescent="0.25">
      <c r="A1003" s="85">
        <v>1003</v>
      </c>
      <c r="B1003" s="80" t="s">
        <v>5419</v>
      </c>
      <c r="C1003" s="91" t="s">
        <v>5467</v>
      </c>
      <c r="D1003" s="80" t="s">
        <v>5468</v>
      </c>
      <c r="E1003" s="62" t="s">
        <v>4303</v>
      </c>
      <c r="F1003" s="80" t="s">
        <v>4322</v>
      </c>
      <c r="G1003" s="92" t="s">
        <v>692</v>
      </c>
      <c r="H1003" s="92" t="s">
        <v>692</v>
      </c>
      <c r="I1003" s="92" t="s">
        <v>692</v>
      </c>
      <c r="J1003" s="92" t="s">
        <v>692</v>
      </c>
      <c r="K1003" s="92" t="s">
        <v>692</v>
      </c>
      <c r="L1003" s="90" t="str">
        <f t="shared" si="107"/>
        <v>Infraestruturais</v>
      </c>
      <c r="M1003" s="90" t="str">
        <f t="shared" si="107"/>
        <v>Rodoviários</v>
      </c>
      <c r="N1003" s="90" t="str">
        <f t="shared" si="104"/>
        <v>OAE Partes</v>
      </c>
      <c r="O1003" s="55" t="str">
        <f t="shared" si="105"/>
        <v>OAE.Torre</v>
      </c>
      <c r="P1003" s="55" t="s">
        <v>4323</v>
      </c>
      <c r="Q1003" s="63" t="s">
        <v>4324</v>
      </c>
      <c r="R1003" s="55" t="s">
        <v>6966</v>
      </c>
      <c r="S1003" s="55" t="s">
        <v>692</v>
      </c>
      <c r="T1003" s="55" t="str">
        <f t="shared" si="101"/>
        <v>Infraestruturais</v>
      </c>
      <c r="U1003" s="55" t="str">
        <f t="shared" si="101"/>
        <v>Rodoviários</v>
      </c>
      <c r="V1003" s="55" t="str">
        <f t="shared" si="101"/>
        <v>OAE Partes</v>
      </c>
      <c r="W1003" s="54" t="s">
        <v>7259</v>
      </c>
      <c r="X1003" s="84" t="str">
        <f t="shared" si="106"/>
        <v>Key-COD-CT-1003</v>
      </c>
      <c r="Y1003" s="84" t="s">
        <v>7221</v>
      </c>
      <c r="Z1003" s="84" t="s">
        <v>692</v>
      </c>
      <c r="AA1003" s="84" t="s">
        <v>7173</v>
      </c>
      <c r="AB1003" s="84" t="s">
        <v>692</v>
      </c>
      <c r="AC1003" s="84" t="s">
        <v>692</v>
      </c>
      <c r="AD1003" s="54" t="s">
        <v>692</v>
      </c>
    </row>
    <row r="1004" spans="1:30" ht="6.6" customHeight="1" x14ac:dyDescent="0.25">
      <c r="A1004" s="85">
        <v>1004</v>
      </c>
      <c r="B1004" s="80" t="s">
        <v>5419</v>
      </c>
      <c r="C1004" s="91" t="s">
        <v>5467</v>
      </c>
      <c r="D1004" s="80" t="s">
        <v>5468</v>
      </c>
      <c r="E1004" s="62" t="s">
        <v>4303</v>
      </c>
      <c r="F1004" s="80" t="s">
        <v>4325</v>
      </c>
      <c r="G1004" s="92" t="s">
        <v>692</v>
      </c>
      <c r="H1004" s="92" t="s">
        <v>692</v>
      </c>
      <c r="I1004" s="92" t="s">
        <v>692</v>
      </c>
      <c r="J1004" s="92" t="s">
        <v>692</v>
      </c>
      <c r="K1004" s="92" t="s">
        <v>692</v>
      </c>
      <c r="L1004" s="90" t="str">
        <f t="shared" si="107"/>
        <v>Infraestruturais</v>
      </c>
      <c r="M1004" s="90" t="str">
        <f t="shared" si="107"/>
        <v>Rodoviários</v>
      </c>
      <c r="N1004" s="90" t="str">
        <f t="shared" si="104"/>
        <v>OAE Partes</v>
      </c>
      <c r="O1004" s="55" t="str">
        <f t="shared" si="105"/>
        <v>OAE.Mastro</v>
      </c>
      <c r="P1004" s="55" t="s">
        <v>4326</v>
      </c>
      <c r="Q1004" s="63" t="s">
        <v>4327</v>
      </c>
      <c r="R1004" s="55" t="s">
        <v>6967</v>
      </c>
      <c r="S1004" s="55" t="s">
        <v>692</v>
      </c>
      <c r="T1004" s="55" t="str">
        <f t="shared" si="101"/>
        <v>Infraestruturais</v>
      </c>
      <c r="U1004" s="55" t="str">
        <f t="shared" si="101"/>
        <v>Rodoviários</v>
      </c>
      <c r="V1004" s="55" t="str">
        <f t="shared" si="101"/>
        <v>OAE Partes</v>
      </c>
      <c r="W1004" s="54" t="s">
        <v>7259</v>
      </c>
      <c r="X1004" s="84" t="str">
        <f t="shared" si="106"/>
        <v>Key-COD-CT-1004</v>
      </c>
      <c r="Y1004" s="84" t="s">
        <v>7221</v>
      </c>
      <c r="Z1004" s="84" t="s">
        <v>692</v>
      </c>
      <c r="AA1004" s="84" t="s">
        <v>7173</v>
      </c>
      <c r="AB1004" s="84" t="s">
        <v>692</v>
      </c>
      <c r="AC1004" s="84" t="s">
        <v>692</v>
      </c>
      <c r="AD1004" s="54" t="s">
        <v>692</v>
      </c>
    </row>
    <row r="1005" spans="1:30" ht="6.6" customHeight="1" x14ac:dyDescent="0.25">
      <c r="A1005" s="85">
        <v>1005</v>
      </c>
      <c r="B1005" s="80" t="s">
        <v>5419</v>
      </c>
      <c r="C1005" s="91" t="s">
        <v>5467</v>
      </c>
      <c r="D1005" s="80" t="s">
        <v>5468</v>
      </c>
      <c r="E1005" s="62" t="s">
        <v>4303</v>
      </c>
      <c r="F1005" s="80" t="s">
        <v>4328</v>
      </c>
      <c r="G1005" s="92" t="s">
        <v>692</v>
      </c>
      <c r="H1005" s="92" t="s">
        <v>692</v>
      </c>
      <c r="I1005" s="92" t="s">
        <v>692</v>
      </c>
      <c r="J1005" s="92" t="s">
        <v>692</v>
      </c>
      <c r="K1005" s="92" t="s">
        <v>692</v>
      </c>
      <c r="L1005" s="90" t="str">
        <f t="shared" si="107"/>
        <v>Infraestruturais</v>
      </c>
      <c r="M1005" s="90" t="str">
        <f t="shared" si="107"/>
        <v>Rodoviários</v>
      </c>
      <c r="N1005" s="90" t="str">
        <f t="shared" si="104"/>
        <v>OAE Partes</v>
      </c>
      <c r="O1005" s="55" t="str">
        <f t="shared" si="105"/>
        <v>OAE.Tabuleiro</v>
      </c>
      <c r="P1005" s="55" t="s">
        <v>4329</v>
      </c>
      <c r="Q1005" s="63" t="s">
        <v>4330</v>
      </c>
      <c r="R1005" s="55" t="s">
        <v>6968</v>
      </c>
      <c r="S1005" s="55" t="s">
        <v>692</v>
      </c>
      <c r="T1005" s="55" t="str">
        <f t="shared" si="101"/>
        <v>Infraestruturais</v>
      </c>
      <c r="U1005" s="55" t="str">
        <f t="shared" si="101"/>
        <v>Rodoviários</v>
      </c>
      <c r="V1005" s="55" t="str">
        <f t="shared" si="101"/>
        <v>OAE Partes</v>
      </c>
      <c r="W1005" s="54" t="s">
        <v>7259</v>
      </c>
      <c r="X1005" s="84" t="str">
        <f t="shared" si="106"/>
        <v>Key-COD-CT-1005</v>
      </c>
      <c r="Y1005" s="84" t="s">
        <v>7222</v>
      </c>
      <c r="Z1005" s="84" t="s">
        <v>692</v>
      </c>
      <c r="AA1005" s="84" t="s">
        <v>7173</v>
      </c>
      <c r="AB1005" s="84" t="s">
        <v>692</v>
      </c>
      <c r="AC1005" s="84" t="s">
        <v>692</v>
      </c>
      <c r="AD1005" s="54" t="s">
        <v>692</v>
      </c>
    </row>
    <row r="1006" spans="1:30" ht="6.6" customHeight="1" x14ac:dyDescent="0.25">
      <c r="A1006" s="85">
        <v>1006</v>
      </c>
      <c r="B1006" s="80" t="s">
        <v>5419</v>
      </c>
      <c r="C1006" s="91" t="s">
        <v>5467</v>
      </c>
      <c r="D1006" s="80" t="s">
        <v>5468</v>
      </c>
      <c r="E1006" s="62" t="s">
        <v>4303</v>
      </c>
      <c r="F1006" s="80" t="s">
        <v>4331</v>
      </c>
      <c r="G1006" s="92" t="s">
        <v>692</v>
      </c>
      <c r="H1006" s="92" t="s">
        <v>692</v>
      </c>
      <c r="I1006" s="92" t="s">
        <v>692</v>
      </c>
      <c r="J1006" s="92" t="s">
        <v>692</v>
      </c>
      <c r="K1006" s="92" t="s">
        <v>692</v>
      </c>
      <c r="L1006" s="90" t="str">
        <f t="shared" si="107"/>
        <v>Infraestruturais</v>
      </c>
      <c r="M1006" s="90" t="str">
        <f t="shared" si="107"/>
        <v>Rodoviários</v>
      </c>
      <c r="N1006" s="90" t="str">
        <f t="shared" si="104"/>
        <v>OAE Partes</v>
      </c>
      <c r="O1006" s="55" t="str">
        <f t="shared" si="105"/>
        <v>OAE.Estai</v>
      </c>
      <c r="P1006" s="55" t="s">
        <v>4332</v>
      </c>
      <c r="Q1006" s="63" t="s">
        <v>4333</v>
      </c>
      <c r="R1006" s="55" t="s">
        <v>6969</v>
      </c>
      <c r="S1006" s="55" t="s">
        <v>692</v>
      </c>
      <c r="T1006" s="55" t="str">
        <f t="shared" si="101"/>
        <v>Infraestruturais</v>
      </c>
      <c r="U1006" s="55" t="str">
        <f t="shared" si="101"/>
        <v>Rodoviários</v>
      </c>
      <c r="V1006" s="55" t="str">
        <f t="shared" si="101"/>
        <v>OAE Partes</v>
      </c>
      <c r="W1006" s="54" t="s">
        <v>7259</v>
      </c>
      <c r="X1006" s="84" t="str">
        <f t="shared" si="106"/>
        <v>Key-COD-CT-1006</v>
      </c>
      <c r="Y1006" s="84" t="s">
        <v>7223</v>
      </c>
      <c r="Z1006" s="84" t="s">
        <v>692</v>
      </c>
      <c r="AA1006" s="84" t="s">
        <v>7173</v>
      </c>
      <c r="AB1006" s="84" t="s">
        <v>692</v>
      </c>
      <c r="AC1006" s="84" t="s">
        <v>692</v>
      </c>
      <c r="AD1006" s="54" t="s">
        <v>692</v>
      </c>
    </row>
    <row r="1007" spans="1:30" ht="6.6" customHeight="1" x14ac:dyDescent="0.25">
      <c r="A1007" s="85">
        <v>1007</v>
      </c>
      <c r="B1007" s="80" t="s">
        <v>5419</v>
      </c>
      <c r="C1007" s="91" t="s">
        <v>5467</v>
      </c>
      <c r="D1007" s="80" t="s">
        <v>5468</v>
      </c>
      <c r="E1007" s="62" t="s">
        <v>4303</v>
      </c>
      <c r="F1007" s="80" t="s">
        <v>4334</v>
      </c>
      <c r="G1007" s="92" t="s">
        <v>692</v>
      </c>
      <c r="H1007" s="92" t="s">
        <v>692</v>
      </c>
      <c r="I1007" s="92" t="s">
        <v>692</v>
      </c>
      <c r="J1007" s="92" t="s">
        <v>692</v>
      </c>
      <c r="K1007" s="92" t="s">
        <v>692</v>
      </c>
      <c r="L1007" s="90" t="str">
        <f t="shared" si="107"/>
        <v>Infraestruturais</v>
      </c>
      <c r="M1007" s="90" t="str">
        <f t="shared" si="107"/>
        <v>Rodoviários</v>
      </c>
      <c r="N1007" s="90" t="str">
        <f t="shared" si="104"/>
        <v>OAE Partes</v>
      </c>
      <c r="O1007" s="55" t="str">
        <f t="shared" si="105"/>
        <v>OAE.Longarina.de.Bordo</v>
      </c>
      <c r="P1007" s="55" t="s">
        <v>4335</v>
      </c>
      <c r="Q1007" s="63" t="s">
        <v>4336</v>
      </c>
      <c r="R1007" s="55" t="s">
        <v>6970</v>
      </c>
      <c r="S1007" s="55" t="s">
        <v>692</v>
      </c>
      <c r="T1007" s="55" t="str">
        <f t="shared" si="101"/>
        <v>Infraestruturais</v>
      </c>
      <c r="U1007" s="55" t="str">
        <f t="shared" si="101"/>
        <v>Rodoviários</v>
      </c>
      <c r="V1007" s="55" t="str">
        <f t="shared" si="101"/>
        <v>OAE Partes</v>
      </c>
      <c r="W1007" s="54" t="s">
        <v>7259</v>
      </c>
      <c r="X1007" s="84" t="str">
        <f t="shared" si="106"/>
        <v>Key-COD-CT-1007</v>
      </c>
      <c r="Y1007" s="84" t="s">
        <v>7224</v>
      </c>
      <c r="Z1007" s="84" t="s">
        <v>692</v>
      </c>
      <c r="AA1007" s="84" t="s">
        <v>7173</v>
      </c>
      <c r="AB1007" s="84" t="s">
        <v>692</v>
      </c>
      <c r="AC1007" s="84" t="s">
        <v>692</v>
      </c>
      <c r="AD1007" s="54" t="s">
        <v>692</v>
      </c>
    </row>
    <row r="1008" spans="1:30" ht="6.6" customHeight="1" x14ac:dyDescent="0.25">
      <c r="A1008" s="85">
        <v>1008</v>
      </c>
      <c r="B1008" s="80" t="s">
        <v>5419</v>
      </c>
      <c r="C1008" s="91" t="s">
        <v>5467</v>
      </c>
      <c r="D1008" s="80" t="s">
        <v>5468</v>
      </c>
      <c r="E1008" s="62" t="s">
        <v>4303</v>
      </c>
      <c r="F1008" s="80" t="s">
        <v>4337</v>
      </c>
      <c r="G1008" s="92" t="s">
        <v>692</v>
      </c>
      <c r="H1008" s="92" t="s">
        <v>692</v>
      </c>
      <c r="I1008" s="92" t="s">
        <v>692</v>
      </c>
      <c r="J1008" s="92" t="s">
        <v>692</v>
      </c>
      <c r="K1008" s="92" t="s">
        <v>692</v>
      </c>
      <c r="L1008" s="90" t="str">
        <f t="shared" si="107"/>
        <v>Infraestruturais</v>
      </c>
      <c r="M1008" s="90" t="str">
        <f t="shared" si="107"/>
        <v>Rodoviários</v>
      </c>
      <c r="N1008" s="90" t="str">
        <f t="shared" si="104"/>
        <v>OAE Partes</v>
      </c>
      <c r="O1008" s="55" t="str">
        <f t="shared" si="105"/>
        <v>OAE.Longarina.Interna</v>
      </c>
      <c r="P1008" s="55" t="s">
        <v>4338</v>
      </c>
      <c r="Q1008" s="63" t="s">
        <v>4339</v>
      </c>
      <c r="R1008" s="55" t="s">
        <v>6971</v>
      </c>
      <c r="S1008" s="55" t="s">
        <v>692</v>
      </c>
      <c r="T1008" s="55" t="str">
        <f t="shared" si="101"/>
        <v>Infraestruturais</v>
      </c>
      <c r="U1008" s="55" t="str">
        <f t="shared" si="101"/>
        <v>Rodoviários</v>
      </c>
      <c r="V1008" s="55" t="str">
        <f t="shared" si="101"/>
        <v>OAE Partes</v>
      </c>
      <c r="W1008" s="54" t="s">
        <v>7259</v>
      </c>
      <c r="X1008" s="84" t="str">
        <f t="shared" si="106"/>
        <v>Key-COD-CT-1008</v>
      </c>
      <c r="Y1008" s="84" t="s">
        <v>7224</v>
      </c>
      <c r="Z1008" s="84" t="s">
        <v>692</v>
      </c>
      <c r="AA1008" s="84" t="s">
        <v>7173</v>
      </c>
      <c r="AB1008" s="84" t="s">
        <v>692</v>
      </c>
      <c r="AC1008" s="84" t="s">
        <v>692</v>
      </c>
      <c r="AD1008" s="54" t="s">
        <v>692</v>
      </c>
    </row>
    <row r="1009" spans="1:30" ht="6.6" customHeight="1" x14ac:dyDescent="0.25">
      <c r="A1009" s="85">
        <v>1009</v>
      </c>
      <c r="B1009" s="80" t="s">
        <v>5419</v>
      </c>
      <c r="C1009" s="91" t="s">
        <v>5467</v>
      </c>
      <c r="D1009" s="80" t="s">
        <v>5468</v>
      </c>
      <c r="E1009" s="62" t="s">
        <v>4303</v>
      </c>
      <c r="F1009" s="80" t="s">
        <v>4340</v>
      </c>
      <c r="G1009" s="92" t="s">
        <v>692</v>
      </c>
      <c r="H1009" s="92" t="s">
        <v>692</v>
      </c>
      <c r="I1009" s="92" t="s">
        <v>692</v>
      </c>
      <c r="J1009" s="92" t="s">
        <v>692</v>
      </c>
      <c r="K1009" s="92" t="s">
        <v>692</v>
      </c>
      <c r="L1009" s="90" t="str">
        <f t="shared" si="107"/>
        <v>Infraestruturais</v>
      </c>
      <c r="M1009" s="90" t="str">
        <f t="shared" si="107"/>
        <v>Rodoviários</v>
      </c>
      <c r="N1009" s="90" t="str">
        <f t="shared" si="104"/>
        <v>OAE Partes</v>
      </c>
      <c r="O1009" s="55" t="str">
        <f t="shared" si="105"/>
        <v>OAE.Transversina</v>
      </c>
      <c r="P1009" s="55" t="s">
        <v>4341</v>
      </c>
      <c r="Q1009" s="63" t="s">
        <v>4342</v>
      </c>
      <c r="R1009" s="55" t="s">
        <v>6972</v>
      </c>
      <c r="S1009" s="55" t="s">
        <v>692</v>
      </c>
      <c r="T1009" s="55" t="str">
        <f t="shared" si="101"/>
        <v>Infraestruturais</v>
      </c>
      <c r="U1009" s="55" t="str">
        <f t="shared" si="101"/>
        <v>Rodoviários</v>
      </c>
      <c r="V1009" s="55" t="str">
        <f t="shared" si="101"/>
        <v>OAE Partes</v>
      </c>
      <c r="W1009" s="54" t="s">
        <v>7259</v>
      </c>
      <c r="X1009" s="84" t="str">
        <f t="shared" si="106"/>
        <v>Key-COD-CT-1009</v>
      </c>
      <c r="Y1009" s="84" t="s">
        <v>7225</v>
      </c>
      <c r="Z1009" s="84" t="s">
        <v>692</v>
      </c>
      <c r="AA1009" s="84" t="s">
        <v>7173</v>
      </c>
      <c r="AB1009" s="84" t="s">
        <v>692</v>
      </c>
      <c r="AC1009" s="84" t="s">
        <v>692</v>
      </c>
      <c r="AD1009" s="54" t="s">
        <v>692</v>
      </c>
    </row>
    <row r="1010" spans="1:30" ht="6.6" customHeight="1" x14ac:dyDescent="0.25">
      <c r="A1010" s="85">
        <v>1010</v>
      </c>
      <c r="B1010" s="80" t="s">
        <v>5419</v>
      </c>
      <c r="C1010" s="91" t="s">
        <v>5467</v>
      </c>
      <c r="D1010" s="80" t="s">
        <v>5468</v>
      </c>
      <c r="E1010" s="62" t="s">
        <v>4303</v>
      </c>
      <c r="F1010" s="80" t="s">
        <v>4343</v>
      </c>
      <c r="G1010" s="92" t="s">
        <v>692</v>
      </c>
      <c r="H1010" s="92" t="s">
        <v>692</v>
      </c>
      <c r="I1010" s="92" t="s">
        <v>692</v>
      </c>
      <c r="J1010" s="92" t="s">
        <v>692</v>
      </c>
      <c r="K1010" s="92" t="s">
        <v>692</v>
      </c>
      <c r="L1010" s="90" t="str">
        <f t="shared" si="107"/>
        <v>Infraestruturais</v>
      </c>
      <c r="M1010" s="90" t="str">
        <f t="shared" si="107"/>
        <v>Rodoviários</v>
      </c>
      <c r="N1010" s="90" t="str">
        <f t="shared" si="104"/>
        <v>OAE Partes</v>
      </c>
      <c r="O1010" s="55" t="str">
        <f t="shared" si="105"/>
        <v>OAE.Contraventamento</v>
      </c>
      <c r="P1010" s="55" t="s">
        <v>4344</v>
      </c>
      <c r="Q1010" s="63" t="s">
        <v>4345</v>
      </c>
      <c r="R1010" s="55" t="s">
        <v>6973</v>
      </c>
      <c r="S1010" s="55" t="s">
        <v>692</v>
      </c>
      <c r="T1010" s="55" t="str">
        <f t="shared" si="101"/>
        <v>Infraestruturais</v>
      </c>
      <c r="U1010" s="55" t="str">
        <f t="shared" si="101"/>
        <v>Rodoviários</v>
      </c>
      <c r="V1010" s="55" t="str">
        <f t="shared" si="101"/>
        <v>OAE Partes</v>
      </c>
      <c r="W1010" s="54" t="s">
        <v>7259</v>
      </c>
      <c r="X1010" s="84" t="str">
        <f t="shared" si="106"/>
        <v>Key-COD-CT-1010</v>
      </c>
      <c r="Y1010" s="84" t="s">
        <v>7226</v>
      </c>
      <c r="Z1010" s="84" t="s">
        <v>692</v>
      </c>
      <c r="AA1010" s="84" t="s">
        <v>7173</v>
      </c>
      <c r="AB1010" s="84" t="s">
        <v>692</v>
      </c>
      <c r="AC1010" s="84" t="s">
        <v>692</v>
      </c>
      <c r="AD1010" s="54" t="s">
        <v>692</v>
      </c>
    </row>
    <row r="1011" spans="1:30" ht="6.6" customHeight="1" x14ac:dyDescent="0.25">
      <c r="A1011" s="85">
        <v>1011</v>
      </c>
      <c r="B1011" s="80" t="s">
        <v>5419</v>
      </c>
      <c r="C1011" s="91" t="s">
        <v>5467</v>
      </c>
      <c r="D1011" s="80" t="s">
        <v>5468</v>
      </c>
      <c r="E1011" s="62" t="s">
        <v>4303</v>
      </c>
      <c r="F1011" s="80" t="s">
        <v>4346</v>
      </c>
      <c r="G1011" s="92" t="s">
        <v>692</v>
      </c>
      <c r="H1011" s="92" t="s">
        <v>692</v>
      </c>
      <c r="I1011" s="92" t="s">
        <v>692</v>
      </c>
      <c r="J1011" s="92" t="s">
        <v>692</v>
      </c>
      <c r="K1011" s="92" t="s">
        <v>692</v>
      </c>
      <c r="L1011" s="90" t="str">
        <f t="shared" si="107"/>
        <v>Infraestruturais</v>
      </c>
      <c r="M1011" s="90" t="str">
        <f t="shared" si="107"/>
        <v>Rodoviários</v>
      </c>
      <c r="N1011" s="90" t="str">
        <f t="shared" si="104"/>
        <v>OAE Partes</v>
      </c>
      <c r="O1011" s="55" t="str">
        <f t="shared" si="105"/>
        <v>OAE.Diafragma</v>
      </c>
      <c r="P1011" s="55" t="s">
        <v>4347</v>
      </c>
      <c r="Q1011" s="63" t="s">
        <v>4348</v>
      </c>
      <c r="R1011" s="55" t="s">
        <v>6974</v>
      </c>
      <c r="S1011" s="55" t="s">
        <v>692</v>
      </c>
      <c r="T1011" s="55" t="str">
        <f t="shared" si="101"/>
        <v>Infraestruturais</v>
      </c>
      <c r="U1011" s="55" t="str">
        <f t="shared" si="101"/>
        <v>Rodoviários</v>
      </c>
      <c r="V1011" s="55" t="str">
        <f t="shared" si="101"/>
        <v>OAE Partes</v>
      </c>
      <c r="W1011" s="54" t="s">
        <v>7259</v>
      </c>
      <c r="X1011" s="84" t="str">
        <f t="shared" si="106"/>
        <v>Key-COD-CT-1011</v>
      </c>
      <c r="Y1011" s="84" t="s">
        <v>7227</v>
      </c>
      <c r="Z1011" s="84" t="s">
        <v>692</v>
      </c>
      <c r="AA1011" s="84" t="s">
        <v>7173</v>
      </c>
      <c r="AB1011" s="84" t="s">
        <v>692</v>
      </c>
      <c r="AC1011" s="84" t="s">
        <v>692</v>
      </c>
      <c r="AD1011" s="54" t="s">
        <v>692</v>
      </c>
    </row>
    <row r="1012" spans="1:30" ht="6.6" customHeight="1" x14ac:dyDescent="0.25">
      <c r="A1012" s="85">
        <v>1012</v>
      </c>
      <c r="B1012" s="80" t="s">
        <v>5419</v>
      </c>
      <c r="C1012" s="91" t="s">
        <v>5467</v>
      </c>
      <c r="D1012" s="80" t="s">
        <v>5468</v>
      </c>
      <c r="E1012" s="62" t="s">
        <v>4303</v>
      </c>
      <c r="F1012" s="80" t="s">
        <v>4349</v>
      </c>
      <c r="G1012" s="92" t="s">
        <v>692</v>
      </c>
      <c r="H1012" s="92" t="s">
        <v>692</v>
      </c>
      <c r="I1012" s="92" t="s">
        <v>692</v>
      </c>
      <c r="J1012" s="92" t="s">
        <v>692</v>
      </c>
      <c r="K1012" s="92" t="s">
        <v>692</v>
      </c>
      <c r="L1012" s="90" t="str">
        <f t="shared" si="107"/>
        <v>Infraestruturais</v>
      </c>
      <c r="M1012" s="90" t="str">
        <f t="shared" si="107"/>
        <v>Rodoviários</v>
      </c>
      <c r="N1012" s="90" t="str">
        <f t="shared" si="104"/>
        <v>OAE Partes</v>
      </c>
      <c r="O1012" s="55" t="str">
        <f t="shared" si="105"/>
        <v>OAE.Treliça</v>
      </c>
      <c r="P1012" s="55" t="s">
        <v>4350</v>
      </c>
      <c r="Q1012" s="63" t="s">
        <v>4351</v>
      </c>
      <c r="R1012" s="55" t="s">
        <v>6975</v>
      </c>
      <c r="S1012" s="55" t="s">
        <v>692</v>
      </c>
      <c r="T1012" s="55" t="str">
        <f t="shared" si="101"/>
        <v>Infraestruturais</v>
      </c>
      <c r="U1012" s="55" t="str">
        <f t="shared" si="101"/>
        <v>Rodoviários</v>
      </c>
      <c r="V1012" s="55" t="str">
        <f t="shared" si="101"/>
        <v>OAE Partes</v>
      </c>
      <c r="W1012" s="54" t="s">
        <v>7259</v>
      </c>
      <c r="X1012" s="84" t="str">
        <f t="shared" si="106"/>
        <v>Key-COD-CT-1012</v>
      </c>
      <c r="Y1012" s="84" t="s">
        <v>7228</v>
      </c>
      <c r="Z1012" s="84" t="s">
        <v>692</v>
      </c>
      <c r="AA1012" s="84" t="s">
        <v>7173</v>
      </c>
      <c r="AB1012" s="84" t="s">
        <v>692</v>
      </c>
      <c r="AC1012" s="84" t="s">
        <v>692</v>
      </c>
      <c r="AD1012" s="54" t="s">
        <v>692</v>
      </c>
    </row>
    <row r="1013" spans="1:30" ht="6.6" customHeight="1" x14ac:dyDescent="0.25">
      <c r="A1013" s="85">
        <v>1013</v>
      </c>
      <c r="B1013" s="80" t="s">
        <v>5419</v>
      </c>
      <c r="C1013" s="91" t="s">
        <v>5467</v>
      </c>
      <c r="D1013" s="80" t="s">
        <v>5468</v>
      </c>
      <c r="E1013" s="62" t="s">
        <v>4303</v>
      </c>
      <c r="F1013" s="80" t="s">
        <v>4352</v>
      </c>
      <c r="G1013" s="92" t="s">
        <v>692</v>
      </c>
      <c r="H1013" s="92" t="s">
        <v>692</v>
      </c>
      <c r="I1013" s="92" t="s">
        <v>692</v>
      </c>
      <c r="J1013" s="92" t="s">
        <v>692</v>
      </c>
      <c r="K1013" s="92" t="s">
        <v>692</v>
      </c>
      <c r="L1013" s="90" t="str">
        <f t="shared" si="107"/>
        <v>Infraestruturais</v>
      </c>
      <c r="M1013" s="90" t="str">
        <f t="shared" si="107"/>
        <v>Rodoviários</v>
      </c>
      <c r="N1013" s="90" t="str">
        <f t="shared" si="104"/>
        <v>OAE Partes</v>
      </c>
      <c r="O1013" s="55" t="str">
        <f t="shared" si="105"/>
        <v>OAE.Defesa</v>
      </c>
      <c r="P1013" s="55" t="s">
        <v>4353</v>
      </c>
      <c r="Q1013" s="63" t="s">
        <v>4354</v>
      </c>
      <c r="R1013" s="55" t="s">
        <v>6976</v>
      </c>
      <c r="S1013" s="55" t="s">
        <v>692</v>
      </c>
      <c r="T1013" s="55" t="str">
        <f t="shared" si="101"/>
        <v>Infraestruturais</v>
      </c>
      <c r="U1013" s="55" t="str">
        <f t="shared" si="101"/>
        <v>Rodoviários</v>
      </c>
      <c r="V1013" s="55" t="str">
        <f t="shared" si="101"/>
        <v>OAE Partes</v>
      </c>
      <c r="W1013" s="54" t="s">
        <v>7259</v>
      </c>
      <c r="X1013" s="84" t="str">
        <f t="shared" si="106"/>
        <v>Key-COD-CT-1013</v>
      </c>
      <c r="Y1013" s="84" t="s">
        <v>7227</v>
      </c>
      <c r="Z1013" s="84" t="s">
        <v>692</v>
      </c>
      <c r="AA1013" s="84" t="s">
        <v>7170</v>
      </c>
      <c r="AB1013" s="84" t="s">
        <v>692</v>
      </c>
      <c r="AC1013" s="84" t="s">
        <v>692</v>
      </c>
      <c r="AD1013" s="54" t="s">
        <v>692</v>
      </c>
    </row>
    <row r="1014" spans="1:30" ht="6.6" customHeight="1" x14ac:dyDescent="0.25">
      <c r="A1014" s="85">
        <v>1014</v>
      </c>
      <c r="B1014" s="80" t="s">
        <v>5419</v>
      </c>
      <c r="C1014" s="91" t="s">
        <v>5467</v>
      </c>
      <c r="D1014" s="80" t="s">
        <v>5468</v>
      </c>
      <c r="E1014" s="62" t="s">
        <v>4303</v>
      </c>
      <c r="F1014" s="80" t="s">
        <v>4355</v>
      </c>
      <c r="G1014" s="92" t="s">
        <v>692</v>
      </c>
      <c r="H1014" s="92" t="s">
        <v>692</v>
      </c>
      <c r="I1014" s="92" t="s">
        <v>692</v>
      </c>
      <c r="J1014" s="92" t="s">
        <v>692</v>
      </c>
      <c r="K1014" s="92" t="s">
        <v>692</v>
      </c>
      <c r="L1014" s="90" t="str">
        <f t="shared" si="107"/>
        <v>Infraestruturais</v>
      </c>
      <c r="M1014" s="90" t="str">
        <f t="shared" si="107"/>
        <v>Rodoviários</v>
      </c>
      <c r="N1014" s="90" t="str">
        <f t="shared" si="104"/>
        <v>OAE Partes</v>
      </c>
      <c r="O1014" s="55" t="str">
        <f t="shared" si="105"/>
        <v>OAE.Rolamento</v>
      </c>
      <c r="P1014" s="55" t="s">
        <v>4356</v>
      </c>
      <c r="Q1014" s="63" t="s">
        <v>4357</v>
      </c>
      <c r="R1014" s="55" t="s">
        <v>6977</v>
      </c>
      <c r="S1014" s="55" t="s">
        <v>692</v>
      </c>
      <c r="T1014" s="55" t="str">
        <f t="shared" si="101"/>
        <v>Infraestruturais</v>
      </c>
      <c r="U1014" s="55" t="str">
        <f t="shared" si="101"/>
        <v>Rodoviários</v>
      </c>
      <c r="V1014" s="55" t="str">
        <f t="shared" si="101"/>
        <v>OAE Partes</v>
      </c>
      <c r="W1014" s="54" t="s">
        <v>7259</v>
      </c>
      <c r="X1014" s="84" t="str">
        <f t="shared" si="106"/>
        <v>Key-COD-CT-1014</v>
      </c>
      <c r="Y1014" s="84" t="s">
        <v>7213</v>
      </c>
      <c r="Z1014" s="84" t="s">
        <v>692</v>
      </c>
      <c r="AA1014" s="84" t="s">
        <v>7170</v>
      </c>
      <c r="AB1014" s="84" t="s">
        <v>692</v>
      </c>
      <c r="AC1014" s="84" t="s">
        <v>692</v>
      </c>
      <c r="AD1014" s="54" t="s">
        <v>692</v>
      </c>
    </row>
    <row r="1015" spans="1:30" ht="6.6" customHeight="1" x14ac:dyDescent="0.25">
      <c r="A1015" s="85">
        <v>1015</v>
      </c>
      <c r="B1015" s="80" t="s">
        <v>5419</v>
      </c>
      <c r="C1015" s="91" t="s">
        <v>5467</v>
      </c>
      <c r="D1015" s="80" t="s">
        <v>5468</v>
      </c>
      <c r="E1015" s="62" t="s">
        <v>4303</v>
      </c>
      <c r="F1015" s="80" t="s">
        <v>4358</v>
      </c>
      <c r="G1015" s="92" t="s">
        <v>692</v>
      </c>
      <c r="H1015" s="92" t="s">
        <v>692</v>
      </c>
      <c r="I1015" s="92" t="s">
        <v>692</v>
      </c>
      <c r="J1015" s="92" t="s">
        <v>692</v>
      </c>
      <c r="K1015" s="92" t="s">
        <v>692</v>
      </c>
      <c r="L1015" s="90" t="str">
        <f t="shared" si="107"/>
        <v>Infraestruturais</v>
      </c>
      <c r="M1015" s="90" t="str">
        <f t="shared" si="107"/>
        <v>Rodoviários</v>
      </c>
      <c r="N1015" s="90" t="str">
        <f t="shared" si="104"/>
        <v>OAE Partes</v>
      </c>
      <c r="O1015" s="55" t="str">
        <f t="shared" si="105"/>
        <v>OAE.Leito</v>
      </c>
      <c r="P1015" s="55" t="s">
        <v>4359</v>
      </c>
      <c r="Q1015" s="63" t="s">
        <v>4360</v>
      </c>
      <c r="R1015" s="55" t="s">
        <v>6978</v>
      </c>
      <c r="S1015" s="55" t="s">
        <v>692</v>
      </c>
      <c r="T1015" s="55" t="str">
        <f t="shared" si="101"/>
        <v>Infraestruturais</v>
      </c>
      <c r="U1015" s="55" t="str">
        <f t="shared" si="101"/>
        <v>Rodoviários</v>
      </c>
      <c r="V1015" s="55" t="str">
        <f t="shared" si="101"/>
        <v>OAE Partes</v>
      </c>
      <c r="W1015" s="54" t="s">
        <v>7259</v>
      </c>
      <c r="X1015" s="84" t="str">
        <f t="shared" si="106"/>
        <v>Key-COD-CT-1015</v>
      </c>
      <c r="Y1015" s="84" t="s">
        <v>7213</v>
      </c>
      <c r="Z1015" s="84" t="s">
        <v>692</v>
      </c>
      <c r="AA1015" s="84" t="s">
        <v>7174</v>
      </c>
      <c r="AB1015" s="84" t="s">
        <v>692</v>
      </c>
      <c r="AC1015" s="84" t="s">
        <v>692</v>
      </c>
      <c r="AD1015" s="54" t="s">
        <v>692</v>
      </c>
    </row>
    <row r="1016" spans="1:30" ht="6.6" customHeight="1" x14ac:dyDescent="0.25">
      <c r="A1016" s="85">
        <v>1016</v>
      </c>
      <c r="B1016" s="80" t="s">
        <v>5419</v>
      </c>
      <c r="C1016" s="91" t="s">
        <v>5467</v>
      </c>
      <c r="D1016" s="80" t="s">
        <v>5468</v>
      </c>
      <c r="E1016" s="62" t="s">
        <v>4303</v>
      </c>
      <c r="F1016" s="80" t="s">
        <v>4361</v>
      </c>
      <c r="G1016" s="92" t="s">
        <v>692</v>
      </c>
      <c r="H1016" s="92" t="s">
        <v>692</v>
      </c>
      <c r="I1016" s="92" t="s">
        <v>692</v>
      </c>
      <c r="J1016" s="92" t="s">
        <v>692</v>
      </c>
      <c r="K1016" s="92" t="s">
        <v>692</v>
      </c>
      <c r="L1016" s="90" t="str">
        <f t="shared" si="107"/>
        <v>Infraestruturais</v>
      </c>
      <c r="M1016" s="90" t="str">
        <f t="shared" si="107"/>
        <v>Rodoviários</v>
      </c>
      <c r="N1016" s="90" t="str">
        <f t="shared" si="104"/>
        <v>OAE Partes</v>
      </c>
      <c r="O1016" s="55" t="str">
        <f t="shared" si="105"/>
        <v>OAE.Junta</v>
      </c>
      <c r="P1016" s="55" t="s">
        <v>4362</v>
      </c>
      <c r="Q1016" s="63" t="s">
        <v>4363</v>
      </c>
      <c r="R1016" s="55" t="s">
        <v>6979</v>
      </c>
      <c r="S1016" s="55" t="s">
        <v>692</v>
      </c>
      <c r="T1016" s="55" t="str">
        <f t="shared" si="101"/>
        <v>Infraestruturais</v>
      </c>
      <c r="U1016" s="55" t="str">
        <f t="shared" si="101"/>
        <v>Rodoviários</v>
      </c>
      <c r="V1016" s="55" t="str">
        <f t="shared" si="101"/>
        <v>OAE Partes</v>
      </c>
      <c r="W1016" s="54" t="s">
        <v>7259</v>
      </c>
      <c r="X1016" s="84" t="str">
        <f t="shared" si="106"/>
        <v>Key-COD-CT-1016</v>
      </c>
      <c r="Y1016" s="84" t="s">
        <v>7213</v>
      </c>
      <c r="Z1016" s="84" t="s">
        <v>692</v>
      </c>
      <c r="AA1016" s="84" t="s">
        <v>7175</v>
      </c>
      <c r="AB1016" s="84" t="s">
        <v>692</v>
      </c>
      <c r="AC1016" s="84" t="s">
        <v>692</v>
      </c>
      <c r="AD1016" s="54" t="s">
        <v>692</v>
      </c>
    </row>
    <row r="1017" spans="1:30" ht="6.6" customHeight="1" x14ac:dyDescent="0.25">
      <c r="A1017" s="85">
        <v>1017</v>
      </c>
      <c r="B1017" s="80" t="s">
        <v>5419</v>
      </c>
      <c r="C1017" s="91" t="s">
        <v>5467</v>
      </c>
      <c r="D1017" s="80" t="s">
        <v>5468</v>
      </c>
      <c r="E1017" s="62" t="s">
        <v>4303</v>
      </c>
      <c r="F1017" s="80" t="s">
        <v>4364</v>
      </c>
      <c r="G1017" s="92" t="s">
        <v>692</v>
      </c>
      <c r="H1017" s="92" t="s">
        <v>692</v>
      </c>
      <c r="I1017" s="92" t="s">
        <v>692</v>
      </c>
      <c r="J1017" s="92" t="s">
        <v>692</v>
      </c>
      <c r="K1017" s="92" t="s">
        <v>692</v>
      </c>
      <c r="L1017" s="90" t="str">
        <f t="shared" si="107"/>
        <v>Infraestruturais</v>
      </c>
      <c r="M1017" s="90" t="str">
        <f t="shared" si="107"/>
        <v>Rodoviários</v>
      </c>
      <c r="N1017" s="90" t="str">
        <f t="shared" si="104"/>
        <v>OAE Partes</v>
      </c>
      <c r="O1017" s="55" t="str">
        <f t="shared" si="105"/>
        <v>OAE.Drenagem</v>
      </c>
      <c r="P1017" s="55" t="s">
        <v>4365</v>
      </c>
      <c r="Q1017" s="63" t="s">
        <v>4366</v>
      </c>
      <c r="R1017" s="55" t="s">
        <v>6980</v>
      </c>
      <c r="S1017" s="55" t="s">
        <v>692</v>
      </c>
      <c r="T1017" s="55" t="str">
        <f t="shared" si="101"/>
        <v>Infraestruturais</v>
      </c>
      <c r="U1017" s="55" t="str">
        <f t="shared" si="101"/>
        <v>Rodoviários</v>
      </c>
      <c r="V1017" s="55" t="str">
        <f t="shared" si="101"/>
        <v>OAE Partes</v>
      </c>
      <c r="W1017" s="54" t="s">
        <v>7259</v>
      </c>
      <c r="X1017" s="84" t="str">
        <f t="shared" si="106"/>
        <v>Key-COD-CT-1017</v>
      </c>
      <c r="Y1017" s="84" t="s">
        <v>7229</v>
      </c>
      <c r="Z1017" s="84" t="s">
        <v>692</v>
      </c>
      <c r="AA1017" s="84" t="s">
        <v>7176</v>
      </c>
      <c r="AB1017" s="84" t="s">
        <v>692</v>
      </c>
      <c r="AC1017" s="84" t="s">
        <v>692</v>
      </c>
      <c r="AD1017" s="54" t="s">
        <v>692</v>
      </c>
    </row>
    <row r="1018" spans="1:30" ht="6.6" customHeight="1" x14ac:dyDescent="0.25">
      <c r="A1018" s="85">
        <v>1018</v>
      </c>
      <c r="B1018" s="80" t="s">
        <v>5419</v>
      </c>
      <c r="C1018" s="91" t="s">
        <v>5467</v>
      </c>
      <c r="D1018" s="80" t="s">
        <v>5468</v>
      </c>
      <c r="E1018" s="62" t="s">
        <v>4303</v>
      </c>
      <c r="F1018" s="80" t="s">
        <v>4367</v>
      </c>
      <c r="G1018" s="92" t="s">
        <v>692</v>
      </c>
      <c r="H1018" s="92" t="s">
        <v>692</v>
      </c>
      <c r="I1018" s="92" t="s">
        <v>692</v>
      </c>
      <c r="J1018" s="92" t="s">
        <v>692</v>
      </c>
      <c r="K1018" s="92" t="s">
        <v>692</v>
      </c>
      <c r="L1018" s="90" t="str">
        <f t="shared" ref="L1018:M1033" si="108">CONCATENATE("", C1018)</f>
        <v>Infraestruturais</v>
      </c>
      <c r="M1018" s="90" t="str">
        <f t="shared" si="108"/>
        <v>Rodoviários</v>
      </c>
      <c r="N1018" s="90" t="str">
        <f t="shared" ref="N1018:N1081" si="109">(SUBSTITUTE(SUBSTITUTE(CONCATENATE("",E1018),"."," ")," De "," de "))</f>
        <v>OAE Partes</v>
      </c>
      <c r="O1018" s="55" t="str">
        <f t="shared" ref="O1018:O1081" si="110">F1018</f>
        <v>OAE.Sinalização</v>
      </c>
      <c r="P1018" s="55" t="s">
        <v>4368</v>
      </c>
      <c r="Q1018" s="63" t="s">
        <v>4369</v>
      </c>
      <c r="R1018" s="55" t="s">
        <v>6981</v>
      </c>
      <c r="S1018" s="55" t="s">
        <v>692</v>
      </c>
      <c r="T1018" s="55" t="str">
        <f t="shared" ref="T1018:V1084" si="111">SUBSTITUTE(C1018, ".", " ")</f>
        <v>Infraestruturais</v>
      </c>
      <c r="U1018" s="55" t="str">
        <f t="shared" si="111"/>
        <v>Rodoviários</v>
      </c>
      <c r="V1018" s="55" t="str">
        <f t="shared" si="111"/>
        <v>OAE Partes</v>
      </c>
      <c r="W1018" s="54" t="s">
        <v>7259</v>
      </c>
      <c r="X1018" s="84" t="str">
        <f t="shared" si="106"/>
        <v>Key-COD-CT-1018</v>
      </c>
      <c r="Y1018" s="84" t="s">
        <v>5470</v>
      </c>
      <c r="Z1018" s="84" t="s">
        <v>692</v>
      </c>
      <c r="AA1018" s="84" t="s">
        <v>5471</v>
      </c>
      <c r="AB1018" s="84" t="s">
        <v>692</v>
      </c>
      <c r="AC1018" s="84" t="s">
        <v>692</v>
      </c>
      <c r="AD1018" s="54" t="s">
        <v>692</v>
      </c>
    </row>
    <row r="1019" spans="1:30" ht="6.6" customHeight="1" x14ac:dyDescent="0.25">
      <c r="A1019" s="85">
        <v>1019</v>
      </c>
      <c r="B1019" s="80" t="s">
        <v>5419</v>
      </c>
      <c r="C1019" s="91" t="s">
        <v>5467</v>
      </c>
      <c r="D1019" s="80" t="s">
        <v>5468</v>
      </c>
      <c r="E1019" s="62" t="s">
        <v>4303</v>
      </c>
      <c r="F1019" s="80" t="s">
        <v>4370</v>
      </c>
      <c r="G1019" s="92" t="s">
        <v>692</v>
      </c>
      <c r="H1019" s="92" t="s">
        <v>692</v>
      </c>
      <c r="I1019" s="92" t="s">
        <v>692</v>
      </c>
      <c r="J1019" s="92" t="s">
        <v>692</v>
      </c>
      <c r="K1019" s="92" t="s">
        <v>692</v>
      </c>
      <c r="L1019" s="90" t="str">
        <f t="shared" si="108"/>
        <v>Infraestruturais</v>
      </c>
      <c r="M1019" s="90" t="str">
        <f t="shared" si="108"/>
        <v>Rodoviários</v>
      </c>
      <c r="N1019" s="90" t="str">
        <f t="shared" si="109"/>
        <v>OAE Partes</v>
      </c>
      <c r="O1019" s="55" t="str">
        <f t="shared" si="110"/>
        <v>OAE.Iluminação</v>
      </c>
      <c r="P1019" s="55" t="s">
        <v>4371</v>
      </c>
      <c r="Q1019" s="63" t="s">
        <v>4372</v>
      </c>
      <c r="R1019" s="55" t="s">
        <v>6982</v>
      </c>
      <c r="S1019" s="55" t="s">
        <v>692</v>
      </c>
      <c r="T1019" s="55" t="str">
        <f t="shared" si="111"/>
        <v>Infraestruturais</v>
      </c>
      <c r="U1019" s="55" t="str">
        <f t="shared" si="111"/>
        <v>Rodoviários</v>
      </c>
      <c r="V1019" s="55" t="str">
        <f t="shared" si="111"/>
        <v>OAE Partes</v>
      </c>
      <c r="W1019" s="54" t="s">
        <v>7259</v>
      </c>
      <c r="X1019" s="84" t="str">
        <f t="shared" si="106"/>
        <v>Key-COD-CT-1019</v>
      </c>
      <c r="Y1019" s="84" t="s">
        <v>5472</v>
      </c>
      <c r="Z1019" s="84" t="s">
        <v>692</v>
      </c>
      <c r="AA1019" s="84" t="s">
        <v>7177</v>
      </c>
      <c r="AB1019" s="84" t="s">
        <v>692</v>
      </c>
      <c r="AC1019" s="84" t="s">
        <v>692</v>
      </c>
      <c r="AD1019" s="54" t="s">
        <v>692</v>
      </c>
    </row>
    <row r="1020" spans="1:30" ht="6.6" customHeight="1" x14ac:dyDescent="0.25">
      <c r="A1020" s="85">
        <v>1020</v>
      </c>
      <c r="B1020" s="80" t="s">
        <v>5419</v>
      </c>
      <c r="C1020" s="91" t="s">
        <v>5467</v>
      </c>
      <c r="D1020" s="80" t="s">
        <v>3979</v>
      </c>
      <c r="E1020" s="80" t="s">
        <v>4373</v>
      </c>
      <c r="F1020" s="28" t="s">
        <v>4374</v>
      </c>
      <c r="G1020" s="92" t="s">
        <v>692</v>
      </c>
      <c r="H1020" s="92" t="s">
        <v>692</v>
      </c>
      <c r="I1020" s="92" t="s">
        <v>692</v>
      </c>
      <c r="J1020" s="92" t="s">
        <v>692</v>
      </c>
      <c r="K1020" s="92" t="s">
        <v>692</v>
      </c>
      <c r="L1020" s="90" t="str">
        <f t="shared" si="108"/>
        <v>Infraestruturais</v>
      </c>
      <c r="M1020" s="90" t="str">
        <f t="shared" si="108"/>
        <v>Ferroviários</v>
      </c>
      <c r="N1020" s="90" t="str">
        <f t="shared" si="109"/>
        <v>Ferrovias</v>
      </c>
      <c r="O1020" s="55" t="str">
        <f t="shared" si="110"/>
        <v>Ferrovia.AV</v>
      </c>
      <c r="P1020" s="58" t="s">
        <v>4375</v>
      </c>
      <c r="Q1020" s="55" t="s">
        <v>4376</v>
      </c>
      <c r="R1020" s="55" t="s">
        <v>6983</v>
      </c>
      <c r="S1020" s="55" t="s">
        <v>692</v>
      </c>
      <c r="T1020" s="55" t="str">
        <f t="shared" si="111"/>
        <v>Infraestruturais</v>
      </c>
      <c r="U1020" s="55" t="str">
        <f t="shared" si="111"/>
        <v>Ferroviários</v>
      </c>
      <c r="V1020" s="55" t="str">
        <f t="shared" si="111"/>
        <v>Ferrovias</v>
      </c>
      <c r="W1020" s="54" t="s">
        <v>7259</v>
      </c>
      <c r="X1020" s="84" t="str">
        <f t="shared" si="106"/>
        <v>Key-COD-CT-1020</v>
      </c>
      <c r="Y1020" s="84" t="s">
        <v>7214</v>
      </c>
      <c r="Z1020" s="84" t="s">
        <v>692</v>
      </c>
      <c r="AA1020" s="84" t="s">
        <v>7177</v>
      </c>
      <c r="AB1020" s="84" t="s">
        <v>692</v>
      </c>
      <c r="AC1020" s="84" t="s">
        <v>692</v>
      </c>
      <c r="AD1020" s="54" t="s">
        <v>692</v>
      </c>
    </row>
    <row r="1021" spans="1:30" ht="6.6" customHeight="1" x14ac:dyDescent="0.25">
      <c r="A1021" s="85">
        <v>1021</v>
      </c>
      <c r="B1021" s="80" t="s">
        <v>5419</v>
      </c>
      <c r="C1021" s="91" t="s">
        <v>5467</v>
      </c>
      <c r="D1021" s="80" t="s">
        <v>3979</v>
      </c>
      <c r="E1021" s="80" t="s">
        <v>4373</v>
      </c>
      <c r="F1021" s="28" t="s">
        <v>4377</v>
      </c>
      <c r="G1021" s="92" t="s">
        <v>692</v>
      </c>
      <c r="H1021" s="92" t="s">
        <v>692</v>
      </c>
      <c r="I1021" s="92" t="s">
        <v>692</v>
      </c>
      <c r="J1021" s="92" t="s">
        <v>692</v>
      </c>
      <c r="K1021" s="92" t="s">
        <v>692</v>
      </c>
      <c r="L1021" s="90" t="str">
        <f t="shared" si="108"/>
        <v>Infraestruturais</v>
      </c>
      <c r="M1021" s="90" t="str">
        <f t="shared" si="108"/>
        <v>Ferroviários</v>
      </c>
      <c r="N1021" s="90" t="str">
        <f t="shared" si="109"/>
        <v>Ferrovias</v>
      </c>
      <c r="O1021" s="55" t="str">
        <f t="shared" si="110"/>
        <v>Ferrovia.Radial</v>
      </c>
      <c r="P1021" s="58" t="s">
        <v>4378</v>
      </c>
      <c r="Q1021" s="55" t="s">
        <v>4379</v>
      </c>
      <c r="R1021" s="55" t="s">
        <v>6984</v>
      </c>
      <c r="S1021" s="55" t="s">
        <v>692</v>
      </c>
      <c r="T1021" s="55" t="str">
        <f t="shared" si="111"/>
        <v>Infraestruturais</v>
      </c>
      <c r="U1021" s="55" t="str">
        <f t="shared" si="111"/>
        <v>Ferroviários</v>
      </c>
      <c r="V1021" s="55" t="str">
        <f t="shared" si="111"/>
        <v>Ferrovias</v>
      </c>
      <c r="W1021" s="54" t="s">
        <v>7259</v>
      </c>
      <c r="X1021" s="84" t="str">
        <f t="shared" si="106"/>
        <v>Key-COD-CT-1021</v>
      </c>
      <c r="Y1021" s="84" t="s">
        <v>7214</v>
      </c>
      <c r="Z1021" s="84" t="s">
        <v>692</v>
      </c>
      <c r="AA1021" s="84" t="s">
        <v>7177</v>
      </c>
      <c r="AB1021" s="84" t="s">
        <v>692</v>
      </c>
      <c r="AC1021" s="84" t="s">
        <v>692</v>
      </c>
      <c r="AD1021" s="54" t="s">
        <v>692</v>
      </c>
    </row>
    <row r="1022" spans="1:30" ht="6.6" customHeight="1" x14ac:dyDescent="0.25">
      <c r="A1022" s="85">
        <v>1022</v>
      </c>
      <c r="B1022" s="80" t="s">
        <v>5419</v>
      </c>
      <c r="C1022" s="91" t="s">
        <v>5467</v>
      </c>
      <c r="D1022" s="80" t="s">
        <v>3979</v>
      </c>
      <c r="E1022" s="80" t="s">
        <v>4373</v>
      </c>
      <c r="F1022" s="28" t="s">
        <v>4380</v>
      </c>
      <c r="G1022" s="92" t="s">
        <v>692</v>
      </c>
      <c r="H1022" s="92" t="s">
        <v>692</v>
      </c>
      <c r="I1022" s="92" t="s">
        <v>692</v>
      </c>
      <c r="J1022" s="92" t="s">
        <v>692</v>
      </c>
      <c r="K1022" s="92" t="s">
        <v>692</v>
      </c>
      <c r="L1022" s="90" t="str">
        <f t="shared" si="108"/>
        <v>Infraestruturais</v>
      </c>
      <c r="M1022" s="90" t="str">
        <f t="shared" si="108"/>
        <v>Ferroviários</v>
      </c>
      <c r="N1022" s="90" t="str">
        <f t="shared" si="109"/>
        <v>Ferrovias</v>
      </c>
      <c r="O1022" s="55" t="str">
        <f t="shared" si="110"/>
        <v>Ferrovia.NS</v>
      </c>
      <c r="P1022" s="58" t="s">
        <v>4381</v>
      </c>
      <c r="Q1022" s="55" t="s">
        <v>4382</v>
      </c>
      <c r="R1022" s="55" t="s">
        <v>6985</v>
      </c>
      <c r="S1022" s="55" t="s">
        <v>692</v>
      </c>
      <c r="T1022" s="55" t="str">
        <f t="shared" si="111"/>
        <v>Infraestruturais</v>
      </c>
      <c r="U1022" s="55" t="str">
        <f t="shared" si="111"/>
        <v>Ferroviários</v>
      </c>
      <c r="V1022" s="55" t="str">
        <f t="shared" si="111"/>
        <v>Ferrovias</v>
      </c>
      <c r="W1022" s="54" t="s">
        <v>7259</v>
      </c>
      <c r="X1022" s="84" t="str">
        <f t="shared" si="106"/>
        <v>Key-COD-CT-1022</v>
      </c>
      <c r="Y1022" s="84" t="s">
        <v>7214</v>
      </c>
      <c r="Z1022" s="84" t="s">
        <v>692</v>
      </c>
      <c r="AA1022" s="84" t="s">
        <v>7177</v>
      </c>
      <c r="AB1022" s="84" t="s">
        <v>692</v>
      </c>
      <c r="AC1022" s="84" t="s">
        <v>692</v>
      </c>
      <c r="AD1022" s="54" t="s">
        <v>692</v>
      </c>
    </row>
    <row r="1023" spans="1:30" ht="6.6" customHeight="1" x14ac:dyDescent="0.25">
      <c r="A1023" s="85">
        <v>1023</v>
      </c>
      <c r="B1023" s="80" t="s">
        <v>5419</v>
      </c>
      <c r="C1023" s="91" t="s">
        <v>5467</v>
      </c>
      <c r="D1023" s="80" t="s">
        <v>3979</v>
      </c>
      <c r="E1023" s="80" t="s">
        <v>4373</v>
      </c>
      <c r="F1023" s="28" t="s">
        <v>4383</v>
      </c>
      <c r="G1023" s="92" t="s">
        <v>692</v>
      </c>
      <c r="H1023" s="92" t="s">
        <v>692</v>
      </c>
      <c r="I1023" s="92" t="s">
        <v>692</v>
      </c>
      <c r="J1023" s="92" t="s">
        <v>692</v>
      </c>
      <c r="K1023" s="92" t="s">
        <v>692</v>
      </c>
      <c r="L1023" s="90" t="str">
        <f t="shared" si="108"/>
        <v>Infraestruturais</v>
      </c>
      <c r="M1023" s="90" t="str">
        <f t="shared" si="108"/>
        <v>Ferroviários</v>
      </c>
      <c r="N1023" s="90" t="str">
        <f t="shared" si="109"/>
        <v>Ferrovias</v>
      </c>
      <c r="O1023" s="55" t="str">
        <f t="shared" si="110"/>
        <v>Ferrovia.EW</v>
      </c>
      <c r="P1023" s="58" t="s">
        <v>4384</v>
      </c>
      <c r="Q1023" s="55" t="s">
        <v>4385</v>
      </c>
      <c r="R1023" s="55" t="s">
        <v>6986</v>
      </c>
      <c r="S1023" s="55" t="s">
        <v>692</v>
      </c>
      <c r="T1023" s="55" t="str">
        <f t="shared" si="111"/>
        <v>Infraestruturais</v>
      </c>
      <c r="U1023" s="55" t="str">
        <f t="shared" si="111"/>
        <v>Ferroviários</v>
      </c>
      <c r="V1023" s="55" t="str">
        <f t="shared" si="111"/>
        <v>Ferrovias</v>
      </c>
      <c r="W1023" s="54" t="s">
        <v>7259</v>
      </c>
      <c r="X1023" s="84" t="str">
        <f t="shared" si="106"/>
        <v>Key-COD-CT-1023</v>
      </c>
      <c r="Y1023" s="84" t="s">
        <v>7214</v>
      </c>
      <c r="Z1023" s="84" t="s">
        <v>692</v>
      </c>
      <c r="AA1023" s="84" t="s">
        <v>7177</v>
      </c>
      <c r="AB1023" s="84" t="s">
        <v>692</v>
      </c>
      <c r="AC1023" s="84" t="s">
        <v>692</v>
      </c>
      <c r="AD1023" s="54" t="s">
        <v>692</v>
      </c>
    </row>
    <row r="1024" spans="1:30" ht="6.6" customHeight="1" x14ac:dyDescent="0.25">
      <c r="A1024" s="85">
        <v>1024</v>
      </c>
      <c r="B1024" s="80" t="s">
        <v>5419</v>
      </c>
      <c r="C1024" s="91" t="s">
        <v>5467</v>
      </c>
      <c r="D1024" s="80" t="s">
        <v>3979</v>
      </c>
      <c r="E1024" s="80" t="s">
        <v>4373</v>
      </c>
      <c r="F1024" s="28" t="s">
        <v>4386</v>
      </c>
      <c r="G1024" s="92" t="s">
        <v>692</v>
      </c>
      <c r="H1024" s="92" t="s">
        <v>692</v>
      </c>
      <c r="I1024" s="92" t="s">
        <v>692</v>
      </c>
      <c r="J1024" s="92" t="s">
        <v>692</v>
      </c>
      <c r="K1024" s="92" t="s">
        <v>692</v>
      </c>
      <c r="L1024" s="90" t="str">
        <f t="shared" si="108"/>
        <v>Infraestruturais</v>
      </c>
      <c r="M1024" s="90" t="str">
        <f t="shared" si="108"/>
        <v>Ferroviários</v>
      </c>
      <c r="N1024" s="90" t="str">
        <f t="shared" si="109"/>
        <v>Ferrovias</v>
      </c>
      <c r="O1024" s="55" t="str">
        <f t="shared" si="110"/>
        <v>Ferrovia.Diagonal</v>
      </c>
      <c r="P1024" s="58" t="s">
        <v>4387</v>
      </c>
      <c r="Q1024" s="55" t="s">
        <v>4388</v>
      </c>
      <c r="R1024" s="55" t="s">
        <v>6987</v>
      </c>
      <c r="S1024" s="55" t="s">
        <v>692</v>
      </c>
      <c r="T1024" s="55" t="str">
        <f t="shared" si="111"/>
        <v>Infraestruturais</v>
      </c>
      <c r="U1024" s="55" t="str">
        <f t="shared" si="111"/>
        <v>Ferroviários</v>
      </c>
      <c r="V1024" s="55" t="str">
        <f t="shared" si="111"/>
        <v>Ferrovias</v>
      </c>
      <c r="W1024" s="54" t="s">
        <v>7259</v>
      </c>
      <c r="X1024" s="84" t="str">
        <f t="shared" si="106"/>
        <v>Key-COD-CT-1024</v>
      </c>
      <c r="Y1024" s="84" t="s">
        <v>7214</v>
      </c>
      <c r="Z1024" s="84" t="s">
        <v>692</v>
      </c>
      <c r="AA1024" s="84" t="s">
        <v>7177</v>
      </c>
      <c r="AB1024" s="84" t="s">
        <v>692</v>
      </c>
      <c r="AC1024" s="84" t="s">
        <v>692</v>
      </c>
      <c r="AD1024" s="54" t="s">
        <v>692</v>
      </c>
    </row>
    <row r="1025" spans="1:30" ht="6.6" customHeight="1" x14ac:dyDescent="0.25">
      <c r="A1025" s="85">
        <v>1025</v>
      </c>
      <c r="B1025" s="80" t="s">
        <v>5419</v>
      </c>
      <c r="C1025" s="91" t="s">
        <v>5467</v>
      </c>
      <c r="D1025" s="80" t="s">
        <v>3979</v>
      </c>
      <c r="E1025" s="80" t="s">
        <v>4373</v>
      </c>
      <c r="F1025" s="28" t="s">
        <v>4389</v>
      </c>
      <c r="G1025" s="92" t="s">
        <v>692</v>
      </c>
      <c r="H1025" s="92" t="s">
        <v>692</v>
      </c>
      <c r="I1025" s="92" t="s">
        <v>692</v>
      </c>
      <c r="J1025" s="92" t="s">
        <v>692</v>
      </c>
      <c r="K1025" s="92" t="s">
        <v>692</v>
      </c>
      <c r="L1025" s="90" t="str">
        <f t="shared" si="108"/>
        <v>Infraestruturais</v>
      </c>
      <c r="M1025" s="90" t="str">
        <f t="shared" si="108"/>
        <v>Ferroviários</v>
      </c>
      <c r="N1025" s="90" t="str">
        <f t="shared" si="109"/>
        <v>Ferrovias</v>
      </c>
      <c r="O1025" s="55" t="str">
        <f t="shared" si="110"/>
        <v>Ferrovia.Ligação</v>
      </c>
      <c r="P1025" s="58" t="s">
        <v>4390</v>
      </c>
      <c r="Q1025" s="55" t="s">
        <v>4391</v>
      </c>
      <c r="R1025" s="55" t="s">
        <v>6988</v>
      </c>
      <c r="S1025" s="55" t="s">
        <v>692</v>
      </c>
      <c r="T1025" s="55" t="str">
        <f t="shared" si="111"/>
        <v>Infraestruturais</v>
      </c>
      <c r="U1025" s="55" t="str">
        <f t="shared" si="111"/>
        <v>Ferroviários</v>
      </c>
      <c r="V1025" s="55" t="str">
        <f t="shared" si="111"/>
        <v>Ferrovias</v>
      </c>
      <c r="W1025" s="54" t="s">
        <v>7259</v>
      </c>
      <c r="X1025" s="84" t="str">
        <f t="shared" si="106"/>
        <v>Key-COD-CT-1025</v>
      </c>
      <c r="Y1025" s="84" t="s">
        <v>7214</v>
      </c>
      <c r="Z1025" s="84" t="s">
        <v>692</v>
      </c>
      <c r="AA1025" s="84" t="s">
        <v>7177</v>
      </c>
      <c r="AB1025" s="84" t="s">
        <v>692</v>
      </c>
      <c r="AC1025" s="84" t="s">
        <v>692</v>
      </c>
      <c r="AD1025" s="54" t="s">
        <v>692</v>
      </c>
    </row>
    <row r="1026" spans="1:30" ht="6.6" customHeight="1" x14ac:dyDescent="0.25">
      <c r="A1026" s="85">
        <v>1026</v>
      </c>
      <c r="B1026" s="80" t="s">
        <v>5419</v>
      </c>
      <c r="C1026" s="91" t="s">
        <v>5467</v>
      </c>
      <c r="D1026" s="80" t="s">
        <v>3979</v>
      </c>
      <c r="E1026" s="80" t="s">
        <v>4373</v>
      </c>
      <c r="F1026" s="28" t="s">
        <v>4392</v>
      </c>
      <c r="G1026" s="92" t="s">
        <v>692</v>
      </c>
      <c r="H1026" s="92" t="s">
        <v>692</v>
      </c>
      <c r="I1026" s="92" t="s">
        <v>692</v>
      </c>
      <c r="J1026" s="92" t="s">
        <v>692</v>
      </c>
      <c r="K1026" s="92" t="s">
        <v>692</v>
      </c>
      <c r="L1026" s="90" t="str">
        <f t="shared" si="108"/>
        <v>Infraestruturais</v>
      </c>
      <c r="M1026" s="90" t="str">
        <f t="shared" si="108"/>
        <v>Ferroviários</v>
      </c>
      <c r="N1026" s="90" t="str">
        <f t="shared" si="109"/>
        <v>Ferrovias</v>
      </c>
      <c r="O1026" s="55" t="str">
        <f t="shared" si="110"/>
        <v>Metrovia</v>
      </c>
      <c r="P1026" s="58" t="s">
        <v>4393</v>
      </c>
      <c r="Q1026" s="55" t="s">
        <v>4394</v>
      </c>
      <c r="R1026" s="55" t="s">
        <v>6989</v>
      </c>
      <c r="S1026" s="55" t="s">
        <v>692</v>
      </c>
      <c r="T1026" s="55" t="str">
        <f t="shared" si="111"/>
        <v>Infraestruturais</v>
      </c>
      <c r="U1026" s="55" t="str">
        <f t="shared" si="111"/>
        <v>Ferroviários</v>
      </c>
      <c r="V1026" s="55" t="str">
        <f t="shared" si="111"/>
        <v>Ferrovias</v>
      </c>
      <c r="W1026" s="54" t="s">
        <v>7259</v>
      </c>
      <c r="X1026" s="84" t="str">
        <f t="shared" si="106"/>
        <v>Key-COD-CT-1026</v>
      </c>
      <c r="Y1026" s="84" t="s">
        <v>7214</v>
      </c>
      <c r="Z1026" s="84" t="s">
        <v>692</v>
      </c>
      <c r="AA1026" s="84" t="s">
        <v>7177</v>
      </c>
      <c r="AB1026" s="84" t="s">
        <v>692</v>
      </c>
      <c r="AC1026" s="84" t="s">
        <v>692</v>
      </c>
      <c r="AD1026" s="54" t="s">
        <v>692</v>
      </c>
    </row>
    <row r="1027" spans="1:30" ht="6.6" customHeight="1" x14ac:dyDescent="0.25">
      <c r="A1027" s="85">
        <v>1027</v>
      </c>
      <c r="B1027" s="80" t="s">
        <v>5419</v>
      </c>
      <c r="C1027" s="91" t="s">
        <v>5467</v>
      </c>
      <c r="D1027" s="80" t="s">
        <v>3979</v>
      </c>
      <c r="E1027" s="80" t="s">
        <v>4373</v>
      </c>
      <c r="F1027" s="28" t="s">
        <v>4395</v>
      </c>
      <c r="G1027" s="92" t="s">
        <v>692</v>
      </c>
      <c r="H1027" s="92" t="s">
        <v>692</v>
      </c>
      <c r="I1027" s="92" t="s">
        <v>692</v>
      </c>
      <c r="J1027" s="92" t="s">
        <v>692</v>
      </c>
      <c r="K1027" s="92" t="s">
        <v>692</v>
      </c>
      <c r="L1027" s="90" t="str">
        <f t="shared" si="108"/>
        <v>Infraestruturais</v>
      </c>
      <c r="M1027" s="90" t="str">
        <f t="shared" si="108"/>
        <v>Ferroviários</v>
      </c>
      <c r="N1027" s="90" t="str">
        <f t="shared" si="109"/>
        <v>Ferrovias</v>
      </c>
      <c r="O1027" s="55" t="str">
        <f t="shared" si="110"/>
        <v>Metrovia.VLT</v>
      </c>
      <c r="P1027" s="58" t="s">
        <v>4396</v>
      </c>
      <c r="Q1027" s="58" t="s">
        <v>4397</v>
      </c>
      <c r="R1027" s="55" t="s">
        <v>6990</v>
      </c>
      <c r="S1027" s="55" t="s">
        <v>692</v>
      </c>
      <c r="T1027" s="55" t="str">
        <f t="shared" si="111"/>
        <v>Infraestruturais</v>
      </c>
      <c r="U1027" s="55" t="str">
        <f t="shared" si="111"/>
        <v>Ferroviários</v>
      </c>
      <c r="V1027" s="55" t="str">
        <f t="shared" si="111"/>
        <v>Ferrovias</v>
      </c>
      <c r="W1027" s="54" t="s">
        <v>7259</v>
      </c>
      <c r="X1027" s="84" t="str">
        <f t="shared" ref="X1027:X1090" si="112">CONCATENATE("Key-COD-CT-",A1027)</f>
        <v>Key-COD-CT-1027</v>
      </c>
      <c r="Y1027" s="84" t="s">
        <v>7214</v>
      </c>
      <c r="Z1027" s="84" t="s">
        <v>692</v>
      </c>
      <c r="AA1027" s="84" t="s">
        <v>7177</v>
      </c>
      <c r="AB1027" s="84" t="s">
        <v>692</v>
      </c>
      <c r="AC1027" s="84" t="s">
        <v>692</v>
      </c>
      <c r="AD1027" s="54" t="s">
        <v>692</v>
      </c>
    </row>
    <row r="1028" spans="1:30" ht="6.6" customHeight="1" x14ac:dyDescent="0.25">
      <c r="A1028" s="85">
        <v>1028</v>
      </c>
      <c r="B1028" s="80" t="s">
        <v>5419</v>
      </c>
      <c r="C1028" s="91" t="s">
        <v>5467</v>
      </c>
      <c r="D1028" s="80" t="s">
        <v>3979</v>
      </c>
      <c r="E1028" s="80" t="s">
        <v>4373</v>
      </c>
      <c r="F1028" s="28" t="s">
        <v>4398</v>
      </c>
      <c r="G1028" s="92" t="s">
        <v>692</v>
      </c>
      <c r="H1028" s="92" t="s">
        <v>692</v>
      </c>
      <c r="I1028" s="92" t="s">
        <v>692</v>
      </c>
      <c r="J1028" s="92" t="s">
        <v>692</v>
      </c>
      <c r="K1028" s="92" t="s">
        <v>692</v>
      </c>
      <c r="L1028" s="90" t="str">
        <f t="shared" si="108"/>
        <v>Infraestruturais</v>
      </c>
      <c r="M1028" s="90" t="str">
        <f t="shared" si="108"/>
        <v>Ferroviários</v>
      </c>
      <c r="N1028" s="90" t="str">
        <f t="shared" si="109"/>
        <v>Ferrovias</v>
      </c>
      <c r="O1028" s="55" t="str">
        <f t="shared" si="110"/>
        <v>Monotrilho</v>
      </c>
      <c r="P1028" s="58" t="s">
        <v>4399</v>
      </c>
      <c r="Q1028" s="55" t="s">
        <v>4400</v>
      </c>
      <c r="R1028" s="55" t="s">
        <v>6991</v>
      </c>
      <c r="S1028" s="55" t="s">
        <v>692</v>
      </c>
      <c r="T1028" s="55" t="str">
        <f t="shared" si="111"/>
        <v>Infraestruturais</v>
      </c>
      <c r="U1028" s="55" t="str">
        <f t="shared" si="111"/>
        <v>Ferroviários</v>
      </c>
      <c r="V1028" s="55" t="str">
        <f t="shared" si="111"/>
        <v>Ferrovias</v>
      </c>
      <c r="W1028" s="54" t="s">
        <v>7259</v>
      </c>
      <c r="X1028" s="84" t="str">
        <f t="shared" si="112"/>
        <v>Key-COD-CT-1028</v>
      </c>
      <c r="Y1028" s="84" t="s">
        <v>7214</v>
      </c>
      <c r="Z1028" s="84" t="s">
        <v>692</v>
      </c>
      <c r="AA1028" s="84" t="s">
        <v>5456</v>
      </c>
      <c r="AB1028" s="84" t="s">
        <v>692</v>
      </c>
      <c r="AC1028" s="84" t="s">
        <v>692</v>
      </c>
      <c r="AD1028" s="54" t="s">
        <v>692</v>
      </c>
    </row>
    <row r="1029" spans="1:30" ht="6.6" customHeight="1" x14ac:dyDescent="0.25">
      <c r="A1029" s="85">
        <v>1029</v>
      </c>
      <c r="B1029" s="80" t="s">
        <v>5419</v>
      </c>
      <c r="C1029" s="91" t="s">
        <v>5467</v>
      </c>
      <c r="D1029" s="80" t="s">
        <v>3979</v>
      </c>
      <c r="E1029" s="80" t="s">
        <v>4373</v>
      </c>
      <c r="F1029" s="28" t="s">
        <v>4401</v>
      </c>
      <c r="G1029" s="92" t="s">
        <v>692</v>
      </c>
      <c r="H1029" s="92" t="s">
        <v>692</v>
      </c>
      <c r="I1029" s="92" t="s">
        <v>692</v>
      </c>
      <c r="J1029" s="92" t="s">
        <v>692</v>
      </c>
      <c r="K1029" s="92" t="s">
        <v>692</v>
      </c>
      <c r="L1029" s="90" t="str">
        <f t="shared" si="108"/>
        <v>Infraestruturais</v>
      </c>
      <c r="M1029" s="90" t="str">
        <f t="shared" si="108"/>
        <v>Ferroviários</v>
      </c>
      <c r="N1029" s="90" t="str">
        <f t="shared" si="109"/>
        <v>Ferrovias</v>
      </c>
      <c r="O1029" s="55" t="str">
        <f t="shared" si="110"/>
        <v>Túnel.Ferroviário</v>
      </c>
      <c r="P1029" s="58" t="s">
        <v>4402</v>
      </c>
      <c r="Q1029" s="58" t="s">
        <v>4403</v>
      </c>
      <c r="R1029" s="55" t="s">
        <v>6992</v>
      </c>
      <c r="S1029" s="55" t="s">
        <v>692</v>
      </c>
      <c r="T1029" s="55" t="str">
        <f t="shared" si="111"/>
        <v>Infraestruturais</v>
      </c>
      <c r="U1029" s="55" t="str">
        <f t="shared" si="111"/>
        <v>Ferroviários</v>
      </c>
      <c r="V1029" s="55" t="str">
        <f t="shared" si="111"/>
        <v>Ferrovias</v>
      </c>
      <c r="W1029" s="54" t="s">
        <v>7259</v>
      </c>
      <c r="X1029" s="84" t="str">
        <f t="shared" si="112"/>
        <v>Key-COD-CT-1029</v>
      </c>
      <c r="Y1029" s="84" t="s">
        <v>7212</v>
      </c>
      <c r="Z1029" s="84" t="s">
        <v>692</v>
      </c>
      <c r="AA1029" s="84" t="s">
        <v>5456</v>
      </c>
      <c r="AB1029" s="84" t="s">
        <v>692</v>
      </c>
      <c r="AC1029" s="84" t="s">
        <v>692</v>
      </c>
      <c r="AD1029" s="54" t="s">
        <v>692</v>
      </c>
    </row>
    <row r="1030" spans="1:30" ht="6.6" customHeight="1" x14ac:dyDescent="0.25">
      <c r="A1030" s="85">
        <v>1030</v>
      </c>
      <c r="B1030" s="80" t="s">
        <v>5419</v>
      </c>
      <c r="C1030" s="91" t="s">
        <v>5467</v>
      </c>
      <c r="D1030" s="80" t="s">
        <v>3979</v>
      </c>
      <c r="E1030" s="80" t="s">
        <v>4404</v>
      </c>
      <c r="F1030" s="28" t="s">
        <v>4405</v>
      </c>
      <c r="G1030" s="92" t="s">
        <v>692</v>
      </c>
      <c r="H1030" s="92" t="s">
        <v>692</v>
      </c>
      <c r="I1030" s="92" t="s">
        <v>692</v>
      </c>
      <c r="J1030" s="92" t="s">
        <v>692</v>
      </c>
      <c r="K1030" s="92" t="s">
        <v>692</v>
      </c>
      <c r="L1030" s="90" t="str">
        <f t="shared" si="108"/>
        <v>Infraestruturais</v>
      </c>
      <c r="M1030" s="90" t="str">
        <f t="shared" si="108"/>
        <v>Ferroviários</v>
      </c>
      <c r="N1030" s="90" t="str">
        <f t="shared" si="109"/>
        <v>Ferrovias Estações</v>
      </c>
      <c r="O1030" s="55" t="str">
        <f t="shared" si="110"/>
        <v>Estação.Central</v>
      </c>
      <c r="P1030" s="58" t="s">
        <v>4406</v>
      </c>
      <c r="Q1030" s="58" t="s">
        <v>4407</v>
      </c>
      <c r="R1030" s="55" t="s">
        <v>6993</v>
      </c>
      <c r="S1030" s="55" t="s">
        <v>692</v>
      </c>
      <c r="T1030" s="55" t="str">
        <f t="shared" si="111"/>
        <v>Infraestruturais</v>
      </c>
      <c r="U1030" s="55" t="str">
        <f t="shared" si="111"/>
        <v>Ferroviários</v>
      </c>
      <c r="V1030" s="55" t="str">
        <f t="shared" si="111"/>
        <v>Ferrovias Estações</v>
      </c>
      <c r="W1030" s="54" t="s">
        <v>7259</v>
      </c>
      <c r="X1030" s="84" t="str">
        <f t="shared" si="112"/>
        <v>Key-COD-CT-1030</v>
      </c>
      <c r="Y1030" s="84" t="s">
        <v>7212</v>
      </c>
      <c r="Z1030" s="84" t="s">
        <v>692</v>
      </c>
      <c r="AA1030" s="84" t="s">
        <v>5456</v>
      </c>
      <c r="AB1030" s="84" t="s">
        <v>692</v>
      </c>
      <c r="AC1030" s="84" t="s">
        <v>692</v>
      </c>
      <c r="AD1030" s="54" t="s">
        <v>692</v>
      </c>
    </row>
    <row r="1031" spans="1:30" ht="6.6" customHeight="1" x14ac:dyDescent="0.25">
      <c r="A1031" s="85">
        <v>1031</v>
      </c>
      <c r="B1031" s="80" t="s">
        <v>5419</v>
      </c>
      <c r="C1031" s="91" t="s">
        <v>5467</v>
      </c>
      <c r="D1031" s="80" t="s">
        <v>3979</v>
      </c>
      <c r="E1031" s="80" t="s">
        <v>4404</v>
      </c>
      <c r="F1031" s="28" t="s">
        <v>4408</v>
      </c>
      <c r="G1031" s="92" t="s">
        <v>692</v>
      </c>
      <c r="H1031" s="92" t="s">
        <v>692</v>
      </c>
      <c r="I1031" s="92" t="s">
        <v>692</v>
      </c>
      <c r="J1031" s="92" t="s">
        <v>692</v>
      </c>
      <c r="K1031" s="92" t="s">
        <v>692</v>
      </c>
      <c r="L1031" s="90" t="str">
        <f t="shared" si="108"/>
        <v>Infraestruturais</v>
      </c>
      <c r="M1031" s="90" t="str">
        <f t="shared" si="108"/>
        <v>Ferroviários</v>
      </c>
      <c r="N1031" s="90" t="str">
        <f t="shared" si="109"/>
        <v>Ferrovias Estações</v>
      </c>
      <c r="O1031" s="55" t="str">
        <f t="shared" si="110"/>
        <v>Estação.Terminal</v>
      </c>
      <c r="P1031" s="58" t="s">
        <v>4409</v>
      </c>
      <c r="Q1031" s="58" t="s">
        <v>4410</v>
      </c>
      <c r="R1031" s="55" t="s">
        <v>6994</v>
      </c>
      <c r="S1031" s="55" t="s">
        <v>692</v>
      </c>
      <c r="T1031" s="55" t="str">
        <f t="shared" si="111"/>
        <v>Infraestruturais</v>
      </c>
      <c r="U1031" s="55" t="str">
        <f t="shared" si="111"/>
        <v>Ferroviários</v>
      </c>
      <c r="V1031" s="55" t="str">
        <f t="shared" si="111"/>
        <v>Ferrovias Estações</v>
      </c>
      <c r="W1031" s="54" t="s">
        <v>7259</v>
      </c>
      <c r="X1031" s="84" t="str">
        <f t="shared" si="112"/>
        <v>Key-COD-CT-1031</v>
      </c>
      <c r="Y1031" s="84" t="s">
        <v>7212</v>
      </c>
      <c r="Z1031" s="84" t="s">
        <v>692</v>
      </c>
      <c r="AA1031" s="84" t="s">
        <v>5456</v>
      </c>
      <c r="AB1031" s="84" t="s">
        <v>692</v>
      </c>
      <c r="AC1031" s="84" t="s">
        <v>692</v>
      </c>
      <c r="AD1031" s="54" t="s">
        <v>692</v>
      </c>
    </row>
    <row r="1032" spans="1:30" ht="6.6" customHeight="1" x14ac:dyDescent="0.25">
      <c r="A1032" s="85">
        <v>1032</v>
      </c>
      <c r="B1032" s="80" t="s">
        <v>5419</v>
      </c>
      <c r="C1032" s="91" t="s">
        <v>5467</v>
      </c>
      <c r="D1032" s="80" t="s">
        <v>3979</v>
      </c>
      <c r="E1032" s="80" t="s">
        <v>4404</v>
      </c>
      <c r="F1032" s="28" t="s">
        <v>4411</v>
      </c>
      <c r="G1032" s="92" t="s">
        <v>692</v>
      </c>
      <c r="H1032" s="92" t="s">
        <v>692</v>
      </c>
      <c r="I1032" s="92" t="s">
        <v>692</v>
      </c>
      <c r="J1032" s="92" t="s">
        <v>692</v>
      </c>
      <c r="K1032" s="92" t="s">
        <v>692</v>
      </c>
      <c r="L1032" s="90" t="str">
        <f t="shared" si="108"/>
        <v>Infraestruturais</v>
      </c>
      <c r="M1032" s="90" t="str">
        <f t="shared" si="108"/>
        <v>Ferroviários</v>
      </c>
      <c r="N1032" s="90" t="str">
        <f t="shared" si="109"/>
        <v>Ferrovias Estações</v>
      </c>
      <c r="O1032" s="55" t="str">
        <f t="shared" si="110"/>
        <v>Estação.de.Transferência</v>
      </c>
      <c r="P1032" s="58" t="s">
        <v>4412</v>
      </c>
      <c r="Q1032" s="58" t="s">
        <v>4413</v>
      </c>
      <c r="R1032" s="55" t="s">
        <v>6995</v>
      </c>
      <c r="S1032" s="55" t="s">
        <v>692</v>
      </c>
      <c r="T1032" s="55" t="str">
        <f t="shared" si="111"/>
        <v>Infraestruturais</v>
      </c>
      <c r="U1032" s="55" t="str">
        <f t="shared" si="111"/>
        <v>Ferroviários</v>
      </c>
      <c r="V1032" s="55" t="str">
        <f t="shared" si="111"/>
        <v>Ferrovias Estações</v>
      </c>
      <c r="W1032" s="54" t="s">
        <v>7259</v>
      </c>
      <c r="X1032" s="84" t="str">
        <f t="shared" si="112"/>
        <v>Key-COD-CT-1032</v>
      </c>
      <c r="Y1032" s="84" t="s">
        <v>7212</v>
      </c>
      <c r="Z1032" s="84" t="s">
        <v>692</v>
      </c>
      <c r="AA1032" s="84" t="s">
        <v>5456</v>
      </c>
      <c r="AB1032" s="84" t="s">
        <v>692</v>
      </c>
      <c r="AC1032" s="84" t="s">
        <v>692</v>
      </c>
      <c r="AD1032" s="54" t="s">
        <v>692</v>
      </c>
    </row>
    <row r="1033" spans="1:30" ht="6.6" customHeight="1" x14ac:dyDescent="0.25">
      <c r="A1033" s="85">
        <v>1033</v>
      </c>
      <c r="B1033" s="80" t="s">
        <v>5419</v>
      </c>
      <c r="C1033" s="91" t="s">
        <v>5467</v>
      </c>
      <c r="D1033" s="80" t="s">
        <v>3979</v>
      </c>
      <c r="E1033" s="80" t="s">
        <v>4404</v>
      </c>
      <c r="F1033" s="28" t="s">
        <v>4414</v>
      </c>
      <c r="G1033" s="92" t="s">
        <v>692</v>
      </c>
      <c r="H1033" s="92" t="s">
        <v>692</v>
      </c>
      <c r="I1033" s="92" t="s">
        <v>692</v>
      </c>
      <c r="J1033" s="92" t="s">
        <v>692</v>
      </c>
      <c r="K1033" s="92" t="s">
        <v>692</v>
      </c>
      <c r="L1033" s="90" t="str">
        <f t="shared" si="108"/>
        <v>Infraestruturais</v>
      </c>
      <c r="M1033" s="90" t="str">
        <f t="shared" si="108"/>
        <v>Ferroviários</v>
      </c>
      <c r="N1033" s="90" t="str">
        <f t="shared" si="109"/>
        <v>Ferrovias Estações</v>
      </c>
      <c r="O1033" s="55" t="str">
        <f t="shared" si="110"/>
        <v>Estação.Intermodal</v>
      </c>
      <c r="P1033" s="58" t="s">
        <v>4415</v>
      </c>
      <c r="Q1033" s="58" t="s">
        <v>4416</v>
      </c>
      <c r="R1033" s="55" t="s">
        <v>6996</v>
      </c>
      <c r="S1033" s="55" t="s">
        <v>692</v>
      </c>
      <c r="T1033" s="55" t="str">
        <f t="shared" si="111"/>
        <v>Infraestruturais</v>
      </c>
      <c r="U1033" s="55" t="str">
        <f t="shared" si="111"/>
        <v>Ferroviários</v>
      </c>
      <c r="V1033" s="55" t="str">
        <f t="shared" si="111"/>
        <v>Ferrovias Estações</v>
      </c>
      <c r="W1033" s="54" t="s">
        <v>7259</v>
      </c>
      <c r="X1033" s="84" t="str">
        <f t="shared" si="112"/>
        <v>Key-COD-CT-1033</v>
      </c>
      <c r="Y1033" s="84" t="s">
        <v>7212</v>
      </c>
      <c r="Z1033" s="84" t="s">
        <v>692</v>
      </c>
      <c r="AA1033" s="84" t="s">
        <v>5456</v>
      </c>
      <c r="AB1033" s="84" t="s">
        <v>692</v>
      </c>
      <c r="AC1033" s="84" t="s">
        <v>692</v>
      </c>
      <c r="AD1033" s="54" t="s">
        <v>692</v>
      </c>
    </row>
    <row r="1034" spans="1:30" ht="6.6" customHeight="1" x14ac:dyDescent="0.25">
      <c r="A1034" s="85">
        <v>1034</v>
      </c>
      <c r="B1034" s="80" t="s">
        <v>5419</v>
      </c>
      <c r="C1034" s="91" t="s">
        <v>5467</v>
      </c>
      <c r="D1034" s="80" t="s">
        <v>3979</v>
      </c>
      <c r="E1034" s="80" t="s">
        <v>4404</v>
      </c>
      <c r="F1034" s="28" t="s">
        <v>4417</v>
      </c>
      <c r="G1034" s="92" t="s">
        <v>692</v>
      </c>
      <c r="H1034" s="92" t="s">
        <v>692</v>
      </c>
      <c r="I1034" s="92" t="s">
        <v>692</v>
      </c>
      <c r="J1034" s="92" t="s">
        <v>692</v>
      </c>
      <c r="K1034" s="92" t="s">
        <v>692</v>
      </c>
      <c r="L1034" s="90" t="str">
        <f t="shared" ref="L1034:M1050" si="113">CONCATENATE("", C1034)</f>
        <v>Infraestruturais</v>
      </c>
      <c r="M1034" s="90" t="str">
        <f t="shared" si="113"/>
        <v>Ferroviários</v>
      </c>
      <c r="N1034" s="90" t="str">
        <f t="shared" si="109"/>
        <v>Ferrovias Estações</v>
      </c>
      <c r="O1034" s="55" t="str">
        <f t="shared" si="110"/>
        <v>Estação.de.Trem</v>
      </c>
      <c r="P1034" s="58" t="s">
        <v>4418</v>
      </c>
      <c r="Q1034" s="58" t="s">
        <v>4419</v>
      </c>
      <c r="R1034" s="55" t="s">
        <v>6997</v>
      </c>
      <c r="S1034" s="55" t="s">
        <v>692</v>
      </c>
      <c r="T1034" s="55" t="str">
        <f t="shared" si="111"/>
        <v>Infraestruturais</v>
      </c>
      <c r="U1034" s="55" t="str">
        <f t="shared" si="111"/>
        <v>Ferroviários</v>
      </c>
      <c r="V1034" s="55" t="str">
        <f t="shared" si="111"/>
        <v>Ferrovias Estações</v>
      </c>
      <c r="W1034" s="54" t="s">
        <v>7259</v>
      </c>
      <c r="X1034" s="84" t="str">
        <f t="shared" si="112"/>
        <v>Key-COD-CT-1034</v>
      </c>
      <c r="Y1034" s="84" t="s">
        <v>7212</v>
      </c>
      <c r="Z1034" s="84" t="s">
        <v>692</v>
      </c>
      <c r="AA1034" s="84" t="s">
        <v>5456</v>
      </c>
      <c r="AB1034" s="84" t="s">
        <v>692</v>
      </c>
      <c r="AC1034" s="84" t="s">
        <v>692</v>
      </c>
      <c r="AD1034" s="54" t="s">
        <v>692</v>
      </c>
    </row>
    <row r="1035" spans="1:30" ht="6.6" customHeight="1" x14ac:dyDescent="0.25">
      <c r="A1035" s="85">
        <v>1035</v>
      </c>
      <c r="B1035" s="80" t="s">
        <v>5419</v>
      </c>
      <c r="C1035" s="91" t="s">
        <v>5467</v>
      </c>
      <c r="D1035" s="80" t="s">
        <v>3979</v>
      </c>
      <c r="E1035" s="80" t="s">
        <v>4404</v>
      </c>
      <c r="F1035" s="28" t="s">
        <v>4420</v>
      </c>
      <c r="G1035" s="92" t="s">
        <v>692</v>
      </c>
      <c r="H1035" s="92" t="s">
        <v>692</v>
      </c>
      <c r="I1035" s="92" t="s">
        <v>692</v>
      </c>
      <c r="J1035" s="92" t="s">
        <v>692</v>
      </c>
      <c r="K1035" s="92" t="s">
        <v>692</v>
      </c>
      <c r="L1035" s="90" t="str">
        <f t="shared" si="113"/>
        <v>Infraestruturais</v>
      </c>
      <c r="M1035" s="90" t="str">
        <f t="shared" si="113"/>
        <v>Ferroviários</v>
      </c>
      <c r="N1035" s="90" t="str">
        <f t="shared" si="109"/>
        <v>Ferrovias Estações</v>
      </c>
      <c r="O1035" s="55" t="str">
        <f t="shared" si="110"/>
        <v>Estação.de.Metro</v>
      </c>
      <c r="P1035" s="58" t="s">
        <v>4421</v>
      </c>
      <c r="Q1035" s="58" t="s">
        <v>4422</v>
      </c>
      <c r="R1035" s="55" t="s">
        <v>6998</v>
      </c>
      <c r="S1035" s="55" t="s">
        <v>692</v>
      </c>
      <c r="T1035" s="55" t="str">
        <f t="shared" si="111"/>
        <v>Infraestruturais</v>
      </c>
      <c r="U1035" s="55" t="str">
        <f t="shared" si="111"/>
        <v>Ferroviários</v>
      </c>
      <c r="V1035" s="55" t="str">
        <f t="shared" si="111"/>
        <v>Ferrovias Estações</v>
      </c>
      <c r="W1035" s="54" t="s">
        <v>7259</v>
      </c>
      <c r="X1035" s="84" t="str">
        <f t="shared" si="112"/>
        <v>Key-COD-CT-1035</v>
      </c>
      <c r="Y1035" s="84" t="s">
        <v>7212</v>
      </c>
      <c r="Z1035" s="84" t="s">
        <v>692</v>
      </c>
      <c r="AA1035" s="84" t="s">
        <v>5456</v>
      </c>
      <c r="AB1035" s="84" t="s">
        <v>692</v>
      </c>
      <c r="AC1035" s="84" t="s">
        <v>692</v>
      </c>
      <c r="AD1035" s="54" t="s">
        <v>692</v>
      </c>
    </row>
    <row r="1036" spans="1:30" ht="6.6" customHeight="1" x14ac:dyDescent="0.25">
      <c r="A1036" s="85">
        <v>1036</v>
      </c>
      <c r="B1036" s="80" t="s">
        <v>5419</v>
      </c>
      <c r="C1036" s="91" t="s">
        <v>5467</v>
      </c>
      <c r="D1036" s="80" t="s">
        <v>3979</v>
      </c>
      <c r="E1036" s="80" t="s">
        <v>4404</v>
      </c>
      <c r="F1036" s="28" t="s">
        <v>4423</v>
      </c>
      <c r="G1036" s="92" t="s">
        <v>692</v>
      </c>
      <c r="H1036" s="92" t="s">
        <v>692</v>
      </c>
      <c r="I1036" s="92" t="s">
        <v>692</v>
      </c>
      <c r="J1036" s="92" t="s">
        <v>692</v>
      </c>
      <c r="K1036" s="92" t="s">
        <v>692</v>
      </c>
      <c r="L1036" s="90" t="str">
        <f t="shared" si="113"/>
        <v>Infraestruturais</v>
      </c>
      <c r="M1036" s="90" t="str">
        <f t="shared" si="113"/>
        <v>Ferroviários</v>
      </c>
      <c r="N1036" s="90" t="str">
        <f t="shared" si="109"/>
        <v>Ferrovias Estações</v>
      </c>
      <c r="O1036" s="55" t="str">
        <f t="shared" si="110"/>
        <v>Estação.de.VLT</v>
      </c>
      <c r="P1036" s="58" t="s">
        <v>4424</v>
      </c>
      <c r="Q1036" s="58" t="s">
        <v>4425</v>
      </c>
      <c r="R1036" s="55" t="s">
        <v>6999</v>
      </c>
      <c r="S1036" s="55" t="s">
        <v>692</v>
      </c>
      <c r="T1036" s="55" t="str">
        <f t="shared" si="111"/>
        <v>Infraestruturais</v>
      </c>
      <c r="U1036" s="55" t="str">
        <f t="shared" si="111"/>
        <v>Ferroviários</v>
      </c>
      <c r="V1036" s="55" t="str">
        <f t="shared" si="111"/>
        <v>Ferrovias Estações</v>
      </c>
      <c r="W1036" s="54" t="s">
        <v>7259</v>
      </c>
      <c r="X1036" s="84" t="str">
        <f t="shared" si="112"/>
        <v>Key-COD-CT-1036</v>
      </c>
      <c r="Y1036" s="84" t="s">
        <v>7212</v>
      </c>
      <c r="Z1036" s="84" t="s">
        <v>692</v>
      </c>
      <c r="AA1036" s="84" t="s">
        <v>5456</v>
      </c>
      <c r="AB1036" s="84" t="s">
        <v>692</v>
      </c>
      <c r="AC1036" s="84" t="s">
        <v>692</v>
      </c>
      <c r="AD1036" s="54" t="s">
        <v>692</v>
      </c>
    </row>
    <row r="1037" spans="1:30" ht="6.6" customHeight="1" x14ac:dyDescent="0.25">
      <c r="A1037" s="85">
        <v>1037</v>
      </c>
      <c r="B1037" s="80" t="s">
        <v>5419</v>
      </c>
      <c r="C1037" s="91" t="s">
        <v>5467</v>
      </c>
      <c r="D1037" s="80" t="s">
        <v>3979</v>
      </c>
      <c r="E1037" s="80" t="s">
        <v>4404</v>
      </c>
      <c r="F1037" s="28" t="s">
        <v>4426</v>
      </c>
      <c r="G1037" s="92" t="s">
        <v>692</v>
      </c>
      <c r="H1037" s="92" t="s">
        <v>692</v>
      </c>
      <c r="I1037" s="92" t="s">
        <v>692</v>
      </c>
      <c r="J1037" s="92" t="s">
        <v>692</v>
      </c>
      <c r="K1037" s="92" t="s">
        <v>692</v>
      </c>
      <c r="L1037" s="90" t="str">
        <f t="shared" si="113"/>
        <v>Infraestruturais</v>
      </c>
      <c r="M1037" s="90" t="str">
        <f t="shared" si="113"/>
        <v>Ferroviários</v>
      </c>
      <c r="N1037" s="90" t="str">
        <f t="shared" si="109"/>
        <v>Ferrovias Estações</v>
      </c>
      <c r="O1037" s="55" t="str">
        <f t="shared" si="110"/>
        <v>Estação.de.Monotrilho</v>
      </c>
      <c r="P1037" s="58" t="s">
        <v>4427</v>
      </c>
      <c r="Q1037" s="58" t="s">
        <v>4428</v>
      </c>
      <c r="R1037" s="55" t="s">
        <v>7000</v>
      </c>
      <c r="S1037" s="55" t="s">
        <v>692</v>
      </c>
      <c r="T1037" s="55" t="str">
        <f t="shared" si="111"/>
        <v>Infraestruturais</v>
      </c>
      <c r="U1037" s="55" t="str">
        <f t="shared" si="111"/>
        <v>Ferroviários</v>
      </c>
      <c r="V1037" s="55" t="str">
        <f t="shared" si="111"/>
        <v>Ferrovias Estações</v>
      </c>
      <c r="W1037" s="54" t="s">
        <v>7259</v>
      </c>
      <c r="X1037" s="84" t="str">
        <f t="shared" si="112"/>
        <v>Key-COD-CT-1037</v>
      </c>
      <c r="Y1037" s="84" t="s">
        <v>7212</v>
      </c>
      <c r="Z1037" s="84" t="s">
        <v>692</v>
      </c>
      <c r="AA1037" s="84" t="s">
        <v>7177</v>
      </c>
      <c r="AB1037" s="84" t="s">
        <v>692</v>
      </c>
      <c r="AC1037" s="84" t="s">
        <v>692</v>
      </c>
      <c r="AD1037" s="54" t="s">
        <v>692</v>
      </c>
    </row>
    <row r="1038" spans="1:30" ht="6.6" customHeight="1" x14ac:dyDescent="0.25">
      <c r="A1038" s="85">
        <v>1038</v>
      </c>
      <c r="B1038" s="80" t="s">
        <v>5419</v>
      </c>
      <c r="C1038" s="91" t="s">
        <v>5467</v>
      </c>
      <c r="D1038" s="80" t="s">
        <v>3979</v>
      </c>
      <c r="E1038" s="80" t="s">
        <v>4429</v>
      </c>
      <c r="F1038" s="28" t="s">
        <v>4430</v>
      </c>
      <c r="G1038" s="92" t="s">
        <v>692</v>
      </c>
      <c r="H1038" s="92" t="s">
        <v>692</v>
      </c>
      <c r="I1038" s="92" t="s">
        <v>692</v>
      </c>
      <c r="J1038" s="92" t="s">
        <v>692</v>
      </c>
      <c r="K1038" s="92" t="s">
        <v>692</v>
      </c>
      <c r="L1038" s="90" t="str">
        <f t="shared" si="113"/>
        <v>Infraestruturais</v>
      </c>
      <c r="M1038" s="90" t="str">
        <f t="shared" si="113"/>
        <v>Ferroviários</v>
      </c>
      <c r="N1038" s="90" t="str">
        <f t="shared" si="109"/>
        <v>Ferrovias Trilhos</v>
      </c>
      <c r="O1038" s="55" t="str">
        <f t="shared" si="110"/>
        <v>Trilho.de.Bitola.Métrica</v>
      </c>
      <c r="P1038" s="58" t="s">
        <v>4431</v>
      </c>
      <c r="Q1038" s="55" t="s">
        <v>4432</v>
      </c>
      <c r="R1038" s="55" t="s">
        <v>7001</v>
      </c>
      <c r="S1038" s="55" t="s">
        <v>692</v>
      </c>
      <c r="T1038" s="55" t="str">
        <f t="shared" si="111"/>
        <v>Infraestruturais</v>
      </c>
      <c r="U1038" s="55" t="str">
        <f t="shared" si="111"/>
        <v>Ferroviários</v>
      </c>
      <c r="V1038" s="55" t="str">
        <f t="shared" si="111"/>
        <v>Ferrovias Trilhos</v>
      </c>
      <c r="W1038" s="54" t="s">
        <v>7259</v>
      </c>
      <c r="X1038" s="84" t="str">
        <f t="shared" si="112"/>
        <v>Key-COD-CT-1038</v>
      </c>
      <c r="Y1038" s="84" t="s">
        <v>7214</v>
      </c>
      <c r="Z1038" s="84" t="s">
        <v>692</v>
      </c>
      <c r="AA1038" s="84" t="s">
        <v>7177</v>
      </c>
      <c r="AB1038" s="84" t="s">
        <v>692</v>
      </c>
      <c r="AC1038" s="84" t="s">
        <v>692</v>
      </c>
      <c r="AD1038" s="54" t="s">
        <v>692</v>
      </c>
    </row>
    <row r="1039" spans="1:30" ht="6.6" customHeight="1" x14ac:dyDescent="0.25">
      <c r="A1039" s="85">
        <v>1039</v>
      </c>
      <c r="B1039" s="80" t="s">
        <v>5419</v>
      </c>
      <c r="C1039" s="91" t="s">
        <v>5467</v>
      </c>
      <c r="D1039" s="80" t="s">
        <v>3979</v>
      </c>
      <c r="E1039" s="80" t="s">
        <v>4429</v>
      </c>
      <c r="F1039" s="28" t="s">
        <v>4433</v>
      </c>
      <c r="G1039" s="92" t="s">
        <v>692</v>
      </c>
      <c r="H1039" s="92" t="s">
        <v>692</v>
      </c>
      <c r="I1039" s="92" t="s">
        <v>692</v>
      </c>
      <c r="J1039" s="92" t="s">
        <v>692</v>
      </c>
      <c r="K1039" s="92" t="s">
        <v>692</v>
      </c>
      <c r="L1039" s="90" t="str">
        <f t="shared" si="113"/>
        <v>Infraestruturais</v>
      </c>
      <c r="M1039" s="90" t="str">
        <f t="shared" si="113"/>
        <v>Ferroviários</v>
      </c>
      <c r="N1039" s="90" t="str">
        <f t="shared" si="109"/>
        <v>Ferrovias Trilhos</v>
      </c>
      <c r="O1039" s="55" t="str">
        <f t="shared" si="110"/>
        <v>Trilho.de.Bitola.Internacional</v>
      </c>
      <c r="P1039" s="58" t="s">
        <v>4434</v>
      </c>
      <c r="Q1039" s="55" t="s">
        <v>4435</v>
      </c>
      <c r="R1039" s="55" t="s">
        <v>7002</v>
      </c>
      <c r="S1039" s="55" t="s">
        <v>692</v>
      </c>
      <c r="T1039" s="55" t="str">
        <f t="shared" si="111"/>
        <v>Infraestruturais</v>
      </c>
      <c r="U1039" s="55" t="str">
        <f t="shared" si="111"/>
        <v>Ferroviários</v>
      </c>
      <c r="V1039" s="55" t="str">
        <f t="shared" si="111"/>
        <v>Ferrovias Trilhos</v>
      </c>
      <c r="W1039" s="54" t="s">
        <v>7259</v>
      </c>
      <c r="X1039" s="84" t="str">
        <f t="shared" si="112"/>
        <v>Key-COD-CT-1039</v>
      </c>
      <c r="Y1039" s="84" t="s">
        <v>7214</v>
      </c>
      <c r="Z1039" s="84" t="s">
        <v>692</v>
      </c>
      <c r="AA1039" s="84" t="s">
        <v>7177</v>
      </c>
      <c r="AB1039" s="84" t="s">
        <v>692</v>
      </c>
      <c r="AC1039" s="84" t="s">
        <v>692</v>
      </c>
      <c r="AD1039" s="54" t="s">
        <v>692</v>
      </c>
    </row>
    <row r="1040" spans="1:30" ht="6.6" customHeight="1" x14ac:dyDescent="0.25">
      <c r="A1040" s="85">
        <v>1040</v>
      </c>
      <c r="B1040" s="80" t="s">
        <v>5419</v>
      </c>
      <c r="C1040" s="91" t="s">
        <v>5467</v>
      </c>
      <c r="D1040" s="80" t="s">
        <v>3979</v>
      </c>
      <c r="E1040" s="80" t="s">
        <v>4429</v>
      </c>
      <c r="F1040" s="28" t="s">
        <v>4436</v>
      </c>
      <c r="G1040" s="92" t="s">
        <v>692</v>
      </c>
      <c r="H1040" s="92" t="s">
        <v>692</v>
      </c>
      <c r="I1040" s="92" t="s">
        <v>692</v>
      </c>
      <c r="J1040" s="92" t="s">
        <v>692</v>
      </c>
      <c r="K1040" s="92" t="s">
        <v>692</v>
      </c>
      <c r="L1040" s="90" t="str">
        <f t="shared" si="113"/>
        <v>Infraestruturais</v>
      </c>
      <c r="M1040" s="90" t="str">
        <f t="shared" si="113"/>
        <v>Ferroviários</v>
      </c>
      <c r="N1040" s="90" t="str">
        <f t="shared" si="109"/>
        <v>Ferrovias Trilhos</v>
      </c>
      <c r="O1040" s="55" t="str">
        <f t="shared" si="110"/>
        <v>Trilho.de.Bitola.Irlandesa</v>
      </c>
      <c r="P1040" s="58" t="s">
        <v>4437</v>
      </c>
      <c r="Q1040" s="55" t="s">
        <v>4438</v>
      </c>
      <c r="R1040" s="55" t="s">
        <v>7003</v>
      </c>
      <c r="S1040" s="55" t="s">
        <v>692</v>
      </c>
      <c r="T1040" s="55" t="str">
        <f t="shared" si="111"/>
        <v>Infraestruturais</v>
      </c>
      <c r="U1040" s="55" t="str">
        <f t="shared" si="111"/>
        <v>Ferroviários</v>
      </c>
      <c r="V1040" s="55" t="str">
        <f t="shared" si="111"/>
        <v>Ferrovias Trilhos</v>
      </c>
      <c r="W1040" s="54" t="s">
        <v>7259</v>
      </c>
      <c r="X1040" s="84" t="str">
        <f t="shared" si="112"/>
        <v>Key-COD-CT-1040</v>
      </c>
      <c r="Y1040" s="84" t="s">
        <v>7214</v>
      </c>
      <c r="Z1040" s="84" t="s">
        <v>692</v>
      </c>
      <c r="AA1040" s="84" t="s">
        <v>7177</v>
      </c>
      <c r="AB1040" s="84" t="s">
        <v>692</v>
      </c>
      <c r="AC1040" s="84" t="s">
        <v>692</v>
      </c>
      <c r="AD1040" s="54" t="s">
        <v>692</v>
      </c>
    </row>
    <row r="1041" spans="1:30" ht="6.6" customHeight="1" x14ac:dyDescent="0.25">
      <c r="A1041" s="85">
        <v>1041</v>
      </c>
      <c r="B1041" s="80" t="s">
        <v>5419</v>
      </c>
      <c r="C1041" s="91" t="s">
        <v>5467</v>
      </c>
      <c r="D1041" s="80" t="s">
        <v>3979</v>
      </c>
      <c r="E1041" s="80" t="s">
        <v>4429</v>
      </c>
      <c r="F1041" s="28" t="s">
        <v>4439</v>
      </c>
      <c r="G1041" s="92" t="s">
        <v>692</v>
      </c>
      <c r="H1041" s="92" t="s">
        <v>692</v>
      </c>
      <c r="I1041" s="92" t="s">
        <v>692</v>
      </c>
      <c r="J1041" s="92" t="s">
        <v>692</v>
      </c>
      <c r="K1041" s="92" t="s">
        <v>692</v>
      </c>
      <c r="L1041" s="90" t="str">
        <f t="shared" si="113"/>
        <v>Infraestruturais</v>
      </c>
      <c r="M1041" s="90" t="str">
        <f t="shared" si="113"/>
        <v>Ferroviários</v>
      </c>
      <c r="N1041" s="90" t="str">
        <f t="shared" si="109"/>
        <v>Ferrovias Trilhos</v>
      </c>
      <c r="O1041" s="55" t="str">
        <f t="shared" si="110"/>
        <v>Trilho.de.Bitola.Mista</v>
      </c>
      <c r="P1041" s="58" t="s">
        <v>4440</v>
      </c>
      <c r="Q1041" s="55" t="s">
        <v>4441</v>
      </c>
      <c r="R1041" s="55" t="s">
        <v>7004</v>
      </c>
      <c r="S1041" s="55" t="s">
        <v>692</v>
      </c>
      <c r="T1041" s="55" t="str">
        <f t="shared" si="111"/>
        <v>Infraestruturais</v>
      </c>
      <c r="U1041" s="55" t="str">
        <f t="shared" si="111"/>
        <v>Ferroviários</v>
      </c>
      <c r="V1041" s="55" t="str">
        <f t="shared" si="111"/>
        <v>Ferrovias Trilhos</v>
      </c>
      <c r="W1041" s="54" t="s">
        <v>7259</v>
      </c>
      <c r="X1041" s="84" t="str">
        <f t="shared" si="112"/>
        <v>Key-COD-CT-1041</v>
      </c>
      <c r="Y1041" s="84" t="s">
        <v>7214</v>
      </c>
      <c r="Z1041" s="84" t="s">
        <v>692</v>
      </c>
      <c r="AA1041" s="84" t="s">
        <v>7178</v>
      </c>
      <c r="AB1041" s="84" t="s">
        <v>692</v>
      </c>
      <c r="AC1041" s="84" t="s">
        <v>692</v>
      </c>
      <c r="AD1041" s="54" t="s">
        <v>692</v>
      </c>
    </row>
    <row r="1042" spans="1:30" ht="6.6" customHeight="1" x14ac:dyDescent="0.25">
      <c r="A1042" s="85">
        <v>1042</v>
      </c>
      <c r="B1042" s="80" t="s">
        <v>5419</v>
      </c>
      <c r="C1042" s="91" t="s">
        <v>5467</v>
      </c>
      <c r="D1042" s="80" t="s">
        <v>3979</v>
      </c>
      <c r="E1042" s="80" t="s">
        <v>4429</v>
      </c>
      <c r="F1042" s="67" t="s">
        <v>4442</v>
      </c>
      <c r="G1042" s="92" t="s">
        <v>692</v>
      </c>
      <c r="H1042" s="92" t="s">
        <v>692</v>
      </c>
      <c r="I1042" s="92" t="s">
        <v>692</v>
      </c>
      <c r="J1042" s="92" t="s">
        <v>692</v>
      </c>
      <c r="K1042" s="92" t="s">
        <v>692</v>
      </c>
      <c r="L1042" s="90" t="str">
        <f t="shared" si="113"/>
        <v>Infraestruturais</v>
      </c>
      <c r="M1042" s="90" t="str">
        <f t="shared" si="113"/>
        <v>Ferroviários</v>
      </c>
      <c r="N1042" s="90" t="str">
        <f t="shared" si="109"/>
        <v>Ferrovias Trilhos</v>
      </c>
      <c r="O1042" s="55" t="str">
        <f t="shared" si="110"/>
        <v>Trilho</v>
      </c>
      <c r="P1042" s="68" t="s">
        <v>4443</v>
      </c>
      <c r="Q1042" s="55" t="s">
        <v>4444</v>
      </c>
      <c r="R1042" s="55" t="s">
        <v>7005</v>
      </c>
      <c r="S1042" s="55" t="s">
        <v>692</v>
      </c>
      <c r="T1042" s="55" t="str">
        <f t="shared" si="111"/>
        <v>Infraestruturais</v>
      </c>
      <c r="U1042" s="55" t="str">
        <f t="shared" si="111"/>
        <v>Ferroviários</v>
      </c>
      <c r="V1042" s="55" t="str">
        <f t="shared" si="111"/>
        <v>Ferrovias Trilhos</v>
      </c>
      <c r="W1042" s="54" t="s">
        <v>7259</v>
      </c>
      <c r="X1042" s="84" t="str">
        <f t="shared" si="112"/>
        <v>Key-COD-CT-1042</v>
      </c>
      <c r="Y1042" s="84" t="s">
        <v>7214</v>
      </c>
      <c r="Z1042" s="84" t="s">
        <v>692</v>
      </c>
      <c r="AA1042" s="84" t="s">
        <v>7178</v>
      </c>
      <c r="AB1042" s="84" t="s">
        <v>692</v>
      </c>
      <c r="AC1042" s="84" t="s">
        <v>692</v>
      </c>
      <c r="AD1042" s="54" t="s">
        <v>692</v>
      </c>
    </row>
    <row r="1043" spans="1:30" ht="6.6" customHeight="1" x14ac:dyDescent="0.25">
      <c r="A1043" s="85">
        <v>1043</v>
      </c>
      <c r="B1043" s="80" t="s">
        <v>5419</v>
      </c>
      <c r="C1043" s="91" t="s">
        <v>5467</v>
      </c>
      <c r="D1043" s="80" t="s">
        <v>3979</v>
      </c>
      <c r="E1043" s="80" t="s">
        <v>4429</v>
      </c>
      <c r="F1043" s="67" t="s">
        <v>4445</v>
      </c>
      <c r="G1043" s="92" t="s">
        <v>692</v>
      </c>
      <c r="H1043" s="92" t="s">
        <v>692</v>
      </c>
      <c r="I1043" s="92" t="s">
        <v>692</v>
      </c>
      <c r="J1043" s="92" t="s">
        <v>692</v>
      </c>
      <c r="K1043" s="92" t="s">
        <v>692</v>
      </c>
      <c r="L1043" s="90" t="str">
        <f t="shared" si="113"/>
        <v>Infraestruturais</v>
      </c>
      <c r="M1043" s="90" t="str">
        <f t="shared" si="113"/>
        <v>Ferroviários</v>
      </c>
      <c r="N1043" s="90" t="str">
        <f t="shared" si="109"/>
        <v>Ferrovias Trilhos</v>
      </c>
      <c r="O1043" s="55" t="str">
        <f t="shared" si="110"/>
        <v>Trilho.Lâmina</v>
      </c>
      <c r="P1043" s="68" t="s">
        <v>4446</v>
      </c>
      <c r="Q1043" s="55" t="s">
        <v>4447</v>
      </c>
      <c r="R1043" s="55" t="s">
        <v>7006</v>
      </c>
      <c r="S1043" s="55" t="s">
        <v>692</v>
      </c>
      <c r="T1043" s="55" t="str">
        <f t="shared" si="111"/>
        <v>Infraestruturais</v>
      </c>
      <c r="U1043" s="55" t="str">
        <f t="shared" si="111"/>
        <v>Ferroviários</v>
      </c>
      <c r="V1043" s="55" t="str">
        <f t="shared" si="111"/>
        <v>Ferrovias Trilhos</v>
      </c>
      <c r="W1043" s="54" t="s">
        <v>7259</v>
      </c>
      <c r="X1043" s="84" t="str">
        <f t="shared" si="112"/>
        <v>Key-COD-CT-1043</v>
      </c>
      <c r="Y1043" s="84" t="s">
        <v>7214</v>
      </c>
      <c r="Z1043" s="84" t="s">
        <v>692</v>
      </c>
      <c r="AA1043" s="84" t="s">
        <v>7178</v>
      </c>
      <c r="AB1043" s="84" t="s">
        <v>692</v>
      </c>
      <c r="AC1043" s="84" t="s">
        <v>692</v>
      </c>
      <c r="AD1043" s="54" t="s">
        <v>692</v>
      </c>
    </row>
    <row r="1044" spans="1:30" ht="6.6" customHeight="1" x14ac:dyDescent="0.25">
      <c r="A1044" s="85">
        <v>1044</v>
      </c>
      <c r="B1044" s="80" t="s">
        <v>5419</v>
      </c>
      <c r="C1044" s="91" t="s">
        <v>5467</v>
      </c>
      <c r="D1044" s="80" t="s">
        <v>3979</v>
      </c>
      <c r="E1044" s="80" t="s">
        <v>4429</v>
      </c>
      <c r="F1044" s="67" t="s">
        <v>4448</v>
      </c>
      <c r="G1044" s="92" t="s">
        <v>692</v>
      </c>
      <c r="H1044" s="92" t="s">
        <v>692</v>
      </c>
      <c r="I1044" s="92" t="s">
        <v>692</v>
      </c>
      <c r="J1044" s="92" t="s">
        <v>692</v>
      </c>
      <c r="K1044" s="92" t="s">
        <v>692</v>
      </c>
      <c r="L1044" s="90" t="str">
        <f t="shared" si="113"/>
        <v>Infraestruturais</v>
      </c>
      <c r="M1044" s="90" t="str">
        <f t="shared" si="113"/>
        <v>Ferroviários</v>
      </c>
      <c r="N1044" s="90" t="str">
        <f t="shared" si="109"/>
        <v>Ferrovias Trilhos</v>
      </c>
      <c r="O1044" s="55" t="str">
        <f t="shared" si="110"/>
        <v>Trilho.de.Contenção</v>
      </c>
      <c r="P1044" s="68" t="s">
        <v>4449</v>
      </c>
      <c r="Q1044" s="55" t="s">
        <v>4450</v>
      </c>
      <c r="R1044" s="55" t="s">
        <v>7007</v>
      </c>
      <c r="S1044" s="55" t="s">
        <v>692</v>
      </c>
      <c r="T1044" s="55" t="str">
        <f t="shared" si="111"/>
        <v>Infraestruturais</v>
      </c>
      <c r="U1044" s="55" t="str">
        <f t="shared" si="111"/>
        <v>Ferroviários</v>
      </c>
      <c r="V1044" s="55" t="str">
        <f t="shared" si="111"/>
        <v>Ferrovias Trilhos</v>
      </c>
      <c r="W1044" s="54" t="s">
        <v>7259</v>
      </c>
      <c r="X1044" s="84" t="str">
        <f t="shared" si="112"/>
        <v>Key-COD-CT-1044</v>
      </c>
      <c r="Y1044" s="84" t="s">
        <v>7214</v>
      </c>
      <c r="Z1044" s="84" t="s">
        <v>692</v>
      </c>
      <c r="AA1044" s="84" t="s">
        <v>7178</v>
      </c>
      <c r="AB1044" s="84" t="s">
        <v>692</v>
      </c>
      <c r="AC1044" s="84" t="s">
        <v>692</v>
      </c>
      <c r="AD1044" s="54" t="s">
        <v>692</v>
      </c>
    </row>
    <row r="1045" spans="1:30" ht="6.6" customHeight="1" x14ac:dyDescent="0.25">
      <c r="A1045" s="85">
        <v>1045</v>
      </c>
      <c r="B1045" s="80" t="s">
        <v>5419</v>
      </c>
      <c r="C1045" s="91" t="s">
        <v>5467</v>
      </c>
      <c r="D1045" s="80" t="s">
        <v>3979</v>
      </c>
      <c r="E1045" s="80" t="s">
        <v>4429</v>
      </c>
      <c r="F1045" s="67" t="s">
        <v>4451</v>
      </c>
      <c r="G1045" s="92" t="s">
        <v>692</v>
      </c>
      <c r="H1045" s="92" t="s">
        <v>692</v>
      </c>
      <c r="I1045" s="92" t="s">
        <v>692</v>
      </c>
      <c r="J1045" s="92" t="s">
        <v>692</v>
      </c>
      <c r="K1045" s="92" t="s">
        <v>692</v>
      </c>
      <c r="L1045" s="90" t="str">
        <f t="shared" si="113"/>
        <v>Infraestruturais</v>
      </c>
      <c r="M1045" s="90" t="str">
        <f t="shared" si="113"/>
        <v>Ferroviários</v>
      </c>
      <c r="N1045" s="90" t="str">
        <f t="shared" si="109"/>
        <v>Ferrovias Trilhos</v>
      </c>
      <c r="O1045" s="55" t="str">
        <f t="shared" si="110"/>
        <v>Trilho.de.Segurança</v>
      </c>
      <c r="P1045" s="68" t="s">
        <v>4452</v>
      </c>
      <c r="Q1045" s="55" t="s">
        <v>4453</v>
      </c>
      <c r="R1045" s="55" t="s">
        <v>7008</v>
      </c>
      <c r="S1045" s="55" t="s">
        <v>692</v>
      </c>
      <c r="T1045" s="55" t="str">
        <f t="shared" si="111"/>
        <v>Infraestruturais</v>
      </c>
      <c r="U1045" s="55" t="str">
        <f t="shared" si="111"/>
        <v>Ferroviários</v>
      </c>
      <c r="V1045" s="55" t="str">
        <f t="shared" si="111"/>
        <v>Ferrovias Trilhos</v>
      </c>
      <c r="W1045" s="54" t="s">
        <v>7259</v>
      </c>
      <c r="X1045" s="84" t="str">
        <f t="shared" si="112"/>
        <v>Key-COD-CT-1045</v>
      </c>
      <c r="Y1045" s="84" t="s">
        <v>7214</v>
      </c>
      <c r="Z1045" s="84" t="s">
        <v>692</v>
      </c>
      <c r="AA1045" s="84" t="s">
        <v>7178</v>
      </c>
      <c r="AB1045" s="84" t="s">
        <v>692</v>
      </c>
      <c r="AC1045" s="84" t="s">
        <v>692</v>
      </c>
      <c r="AD1045" s="54" t="s">
        <v>692</v>
      </c>
    </row>
    <row r="1046" spans="1:30" ht="6.6" customHeight="1" x14ac:dyDescent="0.25">
      <c r="A1046" s="85">
        <v>1046</v>
      </c>
      <c r="B1046" s="80" t="s">
        <v>5419</v>
      </c>
      <c r="C1046" s="91" t="s">
        <v>5467</v>
      </c>
      <c r="D1046" s="80" t="s">
        <v>3979</v>
      </c>
      <c r="E1046" s="80" t="s">
        <v>4429</v>
      </c>
      <c r="F1046" s="67" t="s">
        <v>4454</v>
      </c>
      <c r="G1046" s="92" t="s">
        <v>692</v>
      </c>
      <c r="H1046" s="92" t="s">
        <v>692</v>
      </c>
      <c r="I1046" s="92" t="s">
        <v>692</v>
      </c>
      <c r="J1046" s="92" t="s">
        <v>692</v>
      </c>
      <c r="K1046" s="92" t="s">
        <v>692</v>
      </c>
      <c r="L1046" s="90" t="str">
        <f t="shared" si="113"/>
        <v>Infraestruturais</v>
      </c>
      <c r="M1046" s="90" t="str">
        <f t="shared" si="113"/>
        <v>Ferroviários</v>
      </c>
      <c r="N1046" s="90" t="str">
        <f t="shared" si="109"/>
        <v>Ferrovias Trilhos</v>
      </c>
      <c r="O1046" s="55" t="str">
        <f t="shared" si="110"/>
        <v>Trilho.Dentado</v>
      </c>
      <c r="P1046" s="68" t="s">
        <v>4455</v>
      </c>
      <c r="Q1046" s="55" t="s">
        <v>4456</v>
      </c>
      <c r="R1046" s="55" t="s">
        <v>7009</v>
      </c>
      <c r="S1046" s="55" t="s">
        <v>692</v>
      </c>
      <c r="T1046" s="55" t="str">
        <f t="shared" si="111"/>
        <v>Infraestruturais</v>
      </c>
      <c r="U1046" s="55" t="str">
        <f t="shared" si="111"/>
        <v>Ferroviários</v>
      </c>
      <c r="V1046" s="55" t="str">
        <f t="shared" si="111"/>
        <v>Ferrovias Trilhos</v>
      </c>
      <c r="W1046" s="54" t="s">
        <v>7259</v>
      </c>
      <c r="X1046" s="84" t="str">
        <f t="shared" si="112"/>
        <v>Key-COD-CT-1046</v>
      </c>
      <c r="Y1046" s="84" t="s">
        <v>7214</v>
      </c>
      <c r="Z1046" s="84" t="s">
        <v>692</v>
      </c>
      <c r="AA1046" s="84" t="s">
        <v>7178</v>
      </c>
      <c r="AB1046" s="84" t="s">
        <v>692</v>
      </c>
      <c r="AC1046" s="84" t="s">
        <v>692</v>
      </c>
      <c r="AD1046" s="54" t="s">
        <v>692</v>
      </c>
    </row>
    <row r="1047" spans="1:30" ht="6.6" customHeight="1" x14ac:dyDescent="0.25">
      <c r="A1047" s="85">
        <v>1047</v>
      </c>
      <c r="B1047" s="80" t="s">
        <v>5419</v>
      </c>
      <c r="C1047" s="91" t="s">
        <v>5467</v>
      </c>
      <c r="D1047" s="80" t="s">
        <v>3979</v>
      </c>
      <c r="E1047" s="80" t="s">
        <v>4429</v>
      </c>
      <c r="F1047" s="67" t="s">
        <v>4457</v>
      </c>
      <c r="G1047" s="92" t="s">
        <v>692</v>
      </c>
      <c r="H1047" s="92" t="s">
        <v>692</v>
      </c>
      <c r="I1047" s="92" t="s">
        <v>692</v>
      </c>
      <c r="J1047" s="92" t="s">
        <v>692</v>
      </c>
      <c r="K1047" s="92" t="s">
        <v>692</v>
      </c>
      <c r="L1047" s="90" t="str">
        <f t="shared" si="113"/>
        <v>Infraestruturais</v>
      </c>
      <c r="M1047" s="90" t="str">
        <f t="shared" si="113"/>
        <v>Ferroviários</v>
      </c>
      <c r="N1047" s="90" t="str">
        <f t="shared" si="109"/>
        <v>Ferrovias Trilhos</v>
      </c>
      <c r="O1047" s="55" t="str">
        <f t="shared" si="110"/>
        <v>Trilho.Fixo</v>
      </c>
      <c r="P1047" s="68" t="s">
        <v>4458</v>
      </c>
      <c r="Q1047" s="55" t="s">
        <v>4459</v>
      </c>
      <c r="R1047" s="55" t="s">
        <v>7010</v>
      </c>
      <c r="S1047" s="55" t="s">
        <v>692</v>
      </c>
      <c r="T1047" s="55" t="str">
        <f t="shared" si="111"/>
        <v>Infraestruturais</v>
      </c>
      <c r="U1047" s="55" t="str">
        <f t="shared" si="111"/>
        <v>Ferroviários</v>
      </c>
      <c r="V1047" s="55" t="str">
        <f t="shared" si="111"/>
        <v>Ferrovias Trilhos</v>
      </c>
      <c r="W1047" s="54" t="s">
        <v>7259</v>
      </c>
      <c r="X1047" s="84" t="str">
        <f t="shared" si="112"/>
        <v>Key-COD-CT-1047</v>
      </c>
      <c r="Y1047" s="84" t="s">
        <v>7214</v>
      </c>
      <c r="Z1047" s="84" t="s">
        <v>692</v>
      </c>
      <c r="AA1047" s="84" t="s">
        <v>7179</v>
      </c>
      <c r="AB1047" s="84" t="s">
        <v>692</v>
      </c>
      <c r="AC1047" s="84" t="s">
        <v>692</v>
      </c>
      <c r="AD1047" s="54" t="s">
        <v>692</v>
      </c>
    </row>
    <row r="1048" spans="1:30" ht="6.6" customHeight="1" x14ac:dyDescent="0.25">
      <c r="A1048" s="85">
        <v>1048</v>
      </c>
      <c r="B1048" s="80" t="s">
        <v>5419</v>
      </c>
      <c r="C1048" s="91" t="s">
        <v>5467</v>
      </c>
      <c r="D1048" s="80" t="s">
        <v>3979</v>
      </c>
      <c r="E1048" s="80" t="s">
        <v>4429</v>
      </c>
      <c r="F1048" s="67" t="s">
        <v>4460</v>
      </c>
      <c r="G1048" s="92" t="s">
        <v>692</v>
      </c>
      <c r="H1048" s="92" t="s">
        <v>692</v>
      </c>
      <c r="I1048" s="92" t="s">
        <v>692</v>
      </c>
      <c r="J1048" s="92" t="s">
        <v>692</v>
      </c>
      <c r="K1048" s="92" t="s">
        <v>692</v>
      </c>
      <c r="L1048" s="90" t="str">
        <f t="shared" si="113"/>
        <v>Infraestruturais</v>
      </c>
      <c r="M1048" s="90" t="str">
        <f t="shared" si="113"/>
        <v>Ferroviários</v>
      </c>
      <c r="N1048" s="90" t="str">
        <f t="shared" si="109"/>
        <v>Ferrovias Trilhos</v>
      </c>
      <c r="O1048" s="55" t="str">
        <f t="shared" si="110"/>
        <v>Trilho.AMV</v>
      </c>
      <c r="P1048" s="68" t="s">
        <v>4461</v>
      </c>
      <c r="Q1048" s="55" t="s">
        <v>4462</v>
      </c>
      <c r="R1048" s="55" t="s">
        <v>7011</v>
      </c>
      <c r="S1048" s="55" t="s">
        <v>692</v>
      </c>
      <c r="T1048" s="55" t="str">
        <f t="shared" si="111"/>
        <v>Infraestruturais</v>
      </c>
      <c r="U1048" s="55" t="str">
        <f t="shared" si="111"/>
        <v>Ferroviários</v>
      </c>
      <c r="V1048" s="55" t="str">
        <f t="shared" si="111"/>
        <v>Ferrovias Trilhos</v>
      </c>
      <c r="W1048" s="54" t="s">
        <v>7259</v>
      </c>
      <c r="X1048" s="84" t="str">
        <f t="shared" si="112"/>
        <v>Key-COD-CT-1048</v>
      </c>
      <c r="Y1048" s="84" t="s">
        <v>7214</v>
      </c>
      <c r="Z1048" s="84" t="s">
        <v>692</v>
      </c>
      <c r="AA1048" s="84" t="s">
        <v>7179</v>
      </c>
      <c r="AB1048" s="84" t="s">
        <v>692</v>
      </c>
      <c r="AC1048" s="84" t="s">
        <v>692</v>
      </c>
      <c r="AD1048" s="54" t="s">
        <v>692</v>
      </c>
    </row>
    <row r="1049" spans="1:30" ht="6.6" customHeight="1" x14ac:dyDescent="0.25">
      <c r="A1049" s="85">
        <v>1049</v>
      </c>
      <c r="B1049" s="80" t="s">
        <v>5419</v>
      </c>
      <c r="C1049" s="91" t="s">
        <v>5467</v>
      </c>
      <c r="D1049" s="80" t="s">
        <v>3979</v>
      </c>
      <c r="E1049" s="80" t="s">
        <v>4429</v>
      </c>
      <c r="F1049" s="67" t="s">
        <v>4463</v>
      </c>
      <c r="G1049" s="92" t="s">
        <v>692</v>
      </c>
      <c r="H1049" s="92" t="s">
        <v>692</v>
      </c>
      <c r="I1049" s="92" t="s">
        <v>692</v>
      </c>
      <c r="J1049" s="92" t="s">
        <v>692</v>
      </c>
      <c r="K1049" s="92" t="s">
        <v>692</v>
      </c>
      <c r="L1049" s="90" t="str">
        <f t="shared" si="113"/>
        <v>Infraestruturais</v>
      </c>
      <c r="M1049" s="90" t="str">
        <f t="shared" si="113"/>
        <v>Ferroviários</v>
      </c>
      <c r="N1049" s="90" t="str">
        <f t="shared" si="109"/>
        <v>Ferrovias Trilhos</v>
      </c>
      <c r="O1049" s="55" t="str">
        <f t="shared" si="110"/>
        <v>Trilho.Bloqueador</v>
      </c>
      <c r="P1049" s="68" t="s">
        <v>4464</v>
      </c>
      <c r="Q1049" s="55" t="s">
        <v>4465</v>
      </c>
      <c r="R1049" s="55" t="s">
        <v>7012</v>
      </c>
      <c r="S1049" s="55" t="s">
        <v>692</v>
      </c>
      <c r="T1049" s="55" t="str">
        <f t="shared" si="111"/>
        <v>Infraestruturais</v>
      </c>
      <c r="U1049" s="55" t="str">
        <f t="shared" si="111"/>
        <v>Ferroviários</v>
      </c>
      <c r="V1049" s="55" t="str">
        <f t="shared" si="111"/>
        <v>Ferrovias Trilhos</v>
      </c>
      <c r="W1049" s="54" t="s">
        <v>7259</v>
      </c>
      <c r="X1049" s="84" t="str">
        <f t="shared" si="112"/>
        <v>Key-COD-CT-1049</v>
      </c>
      <c r="Y1049" s="84" t="s">
        <v>7214</v>
      </c>
      <c r="Z1049" s="84" t="s">
        <v>692</v>
      </c>
      <c r="AA1049" s="84" t="s">
        <v>7179</v>
      </c>
      <c r="AB1049" s="84" t="s">
        <v>692</v>
      </c>
      <c r="AC1049" s="84" t="s">
        <v>692</v>
      </c>
      <c r="AD1049" s="54" t="s">
        <v>692</v>
      </c>
    </row>
    <row r="1050" spans="1:30" ht="6.6" customHeight="1" x14ac:dyDescent="0.25">
      <c r="A1050" s="85">
        <v>1050</v>
      </c>
      <c r="B1050" s="80" t="s">
        <v>5419</v>
      </c>
      <c r="C1050" s="91" t="s">
        <v>5467</v>
      </c>
      <c r="D1050" s="80" t="s">
        <v>3979</v>
      </c>
      <c r="E1050" s="80" t="s">
        <v>4429</v>
      </c>
      <c r="F1050" s="67" t="s">
        <v>4466</v>
      </c>
      <c r="G1050" s="92" t="s">
        <v>692</v>
      </c>
      <c r="H1050" s="92" t="s">
        <v>692</v>
      </c>
      <c r="I1050" s="92" t="s">
        <v>692</v>
      </c>
      <c r="J1050" s="92" t="s">
        <v>692</v>
      </c>
      <c r="K1050" s="92" t="s">
        <v>692</v>
      </c>
      <c r="L1050" s="90" t="str">
        <f t="shared" si="113"/>
        <v>Infraestruturais</v>
      </c>
      <c r="M1050" s="90" t="str">
        <f t="shared" si="113"/>
        <v>Ferroviários</v>
      </c>
      <c r="N1050" s="90" t="str">
        <f t="shared" si="109"/>
        <v>Ferrovias Trilhos</v>
      </c>
      <c r="O1050" s="55" t="str">
        <f t="shared" si="110"/>
        <v>Trilho.Descarrilador</v>
      </c>
      <c r="P1050" s="68" t="s">
        <v>4467</v>
      </c>
      <c r="Q1050" s="55" t="s">
        <v>4468</v>
      </c>
      <c r="R1050" s="55" t="s">
        <v>7013</v>
      </c>
      <c r="S1050" s="55" t="s">
        <v>692</v>
      </c>
      <c r="T1050" s="55" t="str">
        <f t="shared" si="111"/>
        <v>Infraestruturais</v>
      </c>
      <c r="U1050" s="55" t="str">
        <f t="shared" si="111"/>
        <v>Ferroviários</v>
      </c>
      <c r="V1050" s="55" t="str">
        <f t="shared" si="111"/>
        <v>Ferrovias Trilhos</v>
      </c>
      <c r="W1050" s="54" t="s">
        <v>7259</v>
      </c>
      <c r="X1050" s="84" t="str">
        <f t="shared" si="112"/>
        <v>Key-COD-CT-1050</v>
      </c>
      <c r="Y1050" s="84" t="s">
        <v>7214</v>
      </c>
      <c r="Z1050" s="84" t="s">
        <v>692</v>
      </c>
      <c r="AA1050" s="84" t="s">
        <v>7179</v>
      </c>
      <c r="AB1050" s="84" t="s">
        <v>692</v>
      </c>
      <c r="AC1050" s="84" t="s">
        <v>692</v>
      </c>
      <c r="AD1050" s="54" t="s">
        <v>692</v>
      </c>
    </row>
    <row r="1051" spans="1:30" ht="6.6" customHeight="1" x14ac:dyDescent="0.25">
      <c r="A1051" s="85">
        <v>1051</v>
      </c>
      <c r="B1051" s="80" t="s">
        <v>5419</v>
      </c>
      <c r="C1051" s="91" t="s">
        <v>5467</v>
      </c>
      <c r="D1051" s="80" t="s">
        <v>3979</v>
      </c>
      <c r="E1051" s="80" t="s">
        <v>4429</v>
      </c>
      <c r="F1051" s="67" t="s">
        <v>4469</v>
      </c>
      <c r="G1051" s="92" t="s">
        <v>692</v>
      </c>
      <c r="H1051" s="92" t="s">
        <v>692</v>
      </c>
      <c r="I1051" s="92" t="s">
        <v>692</v>
      </c>
      <c r="J1051" s="92" t="s">
        <v>692</v>
      </c>
      <c r="K1051" s="92" t="s">
        <v>692</v>
      </c>
      <c r="L1051" s="90" t="str">
        <f t="shared" ref="L1051:M1066" si="114">CONCATENATE("", C1051)</f>
        <v>Infraestruturais</v>
      </c>
      <c r="M1051" s="90" t="str">
        <f t="shared" si="114"/>
        <v>Ferroviários</v>
      </c>
      <c r="N1051" s="90" t="str">
        <f t="shared" si="109"/>
        <v>Ferrovias Trilhos</v>
      </c>
      <c r="O1051" s="55" t="str">
        <f t="shared" si="110"/>
        <v>Trilho.Cruz</v>
      </c>
      <c r="P1051" s="68" t="s">
        <v>4470</v>
      </c>
      <c r="Q1051" s="55" t="s">
        <v>4471</v>
      </c>
      <c r="R1051" s="55" t="s">
        <v>7014</v>
      </c>
      <c r="S1051" s="55" t="s">
        <v>692</v>
      </c>
      <c r="T1051" s="55" t="str">
        <f t="shared" si="111"/>
        <v>Infraestruturais</v>
      </c>
      <c r="U1051" s="55" t="str">
        <f t="shared" si="111"/>
        <v>Ferroviários</v>
      </c>
      <c r="V1051" s="55" t="str">
        <f t="shared" si="111"/>
        <v>Ferrovias Trilhos</v>
      </c>
      <c r="W1051" s="54" t="s">
        <v>7259</v>
      </c>
      <c r="X1051" s="84" t="str">
        <f t="shared" si="112"/>
        <v>Key-COD-CT-1051</v>
      </c>
      <c r="Y1051" s="84" t="s">
        <v>7214</v>
      </c>
      <c r="Z1051" s="84" t="s">
        <v>692</v>
      </c>
      <c r="AA1051" s="84" t="s">
        <v>7179</v>
      </c>
      <c r="AB1051" s="84" t="s">
        <v>692</v>
      </c>
      <c r="AC1051" s="84" t="s">
        <v>692</v>
      </c>
      <c r="AD1051" s="54" t="s">
        <v>692</v>
      </c>
    </row>
    <row r="1052" spans="1:30" ht="6.6" customHeight="1" x14ac:dyDescent="0.25">
      <c r="A1052" s="85">
        <v>1052</v>
      </c>
      <c r="B1052" s="80" t="s">
        <v>5419</v>
      </c>
      <c r="C1052" s="91" t="s">
        <v>5467</v>
      </c>
      <c r="D1052" s="80" t="s">
        <v>3979</v>
      </c>
      <c r="E1052" s="80" t="s">
        <v>4429</v>
      </c>
      <c r="F1052" s="67" t="s">
        <v>4472</v>
      </c>
      <c r="G1052" s="92" t="s">
        <v>692</v>
      </c>
      <c r="H1052" s="92" t="s">
        <v>692</v>
      </c>
      <c r="I1052" s="92" t="s">
        <v>692</v>
      </c>
      <c r="J1052" s="92" t="s">
        <v>692</v>
      </c>
      <c r="K1052" s="92" t="s">
        <v>692</v>
      </c>
      <c r="L1052" s="90" t="str">
        <f t="shared" si="114"/>
        <v>Infraestruturais</v>
      </c>
      <c r="M1052" s="90" t="str">
        <f t="shared" si="114"/>
        <v>Ferroviários</v>
      </c>
      <c r="N1052" s="90" t="str">
        <f t="shared" si="109"/>
        <v>Ferrovias Trilhos</v>
      </c>
      <c r="O1052" s="55" t="str">
        <f t="shared" si="110"/>
        <v>Trilho.Lâmina.Desviadora</v>
      </c>
      <c r="P1052" s="68" t="s">
        <v>4473</v>
      </c>
      <c r="Q1052" s="55" t="s">
        <v>4474</v>
      </c>
      <c r="R1052" s="55" t="s">
        <v>7015</v>
      </c>
      <c r="S1052" s="55" t="s">
        <v>692</v>
      </c>
      <c r="T1052" s="55" t="str">
        <f t="shared" si="111"/>
        <v>Infraestruturais</v>
      </c>
      <c r="U1052" s="55" t="str">
        <f t="shared" si="111"/>
        <v>Ferroviários</v>
      </c>
      <c r="V1052" s="55" t="str">
        <f t="shared" si="111"/>
        <v>Ferrovias Trilhos</v>
      </c>
      <c r="W1052" s="54" t="s">
        <v>7259</v>
      </c>
      <c r="X1052" s="84" t="str">
        <f t="shared" si="112"/>
        <v>Key-COD-CT-1052</v>
      </c>
      <c r="Y1052" s="84" t="s">
        <v>7214</v>
      </c>
      <c r="Z1052" s="84" t="s">
        <v>692</v>
      </c>
      <c r="AA1052" s="84" t="s">
        <v>7179</v>
      </c>
      <c r="AB1052" s="84" t="s">
        <v>692</v>
      </c>
      <c r="AC1052" s="84" t="s">
        <v>692</v>
      </c>
      <c r="AD1052" s="54" t="s">
        <v>692</v>
      </c>
    </row>
    <row r="1053" spans="1:30" ht="6.6" customHeight="1" x14ac:dyDescent="0.25">
      <c r="A1053" s="85">
        <v>1053</v>
      </c>
      <c r="B1053" s="80" t="s">
        <v>5419</v>
      </c>
      <c r="C1053" s="91" t="s">
        <v>5467</v>
      </c>
      <c r="D1053" s="80" t="s">
        <v>3979</v>
      </c>
      <c r="E1053" s="80" t="s">
        <v>4429</v>
      </c>
      <c r="F1053" s="67" t="s">
        <v>4475</v>
      </c>
      <c r="G1053" s="92" t="s">
        <v>692</v>
      </c>
      <c r="H1053" s="92" t="s">
        <v>692</v>
      </c>
      <c r="I1053" s="92" t="s">
        <v>692</v>
      </c>
      <c r="J1053" s="92" t="s">
        <v>692</v>
      </c>
      <c r="K1053" s="92" t="s">
        <v>692</v>
      </c>
      <c r="L1053" s="90" t="str">
        <f t="shared" si="114"/>
        <v>Infraestruturais</v>
      </c>
      <c r="M1053" s="90" t="str">
        <f t="shared" si="114"/>
        <v>Ferroviários</v>
      </c>
      <c r="N1053" s="90" t="str">
        <f t="shared" si="109"/>
        <v>Ferrovias Trilhos</v>
      </c>
      <c r="O1053" s="55" t="str">
        <f t="shared" si="110"/>
        <v>Trilho.Dormente</v>
      </c>
      <c r="P1053" s="68" t="s">
        <v>4476</v>
      </c>
      <c r="Q1053" s="55" t="s">
        <v>4477</v>
      </c>
      <c r="R1053" s="55" t="s">
        <v>7016</v>
      </c>
      <c r="S1053" s="55" t="s">
        <v>692</v>
      </c>
      <c r="T1053" s="55" t="str">
        <f t="shared" si="111"/>
        <v>Infraestruturais</v>
      </c>
      <c r="U1053" s="55" t="str">
        <f t="shared" si="111"/>
        <v>Ferroviários</v>
      </c>
      <c r="V1053" s="55" t="str">
        <f t="shared" si="111"/>
        <v>Ferrovias Trilhos</v>
      </c>
      <c r="W1053" s="54" t="s">
        <v>7259</v>
      </c>
      <c r="X1053" s="84" t="str">
        <f t="shared" si="112"/>
        <v>Key-COD-CT-1053</v>
      </c>
      <c r="Y1053" s="84" t="s">
        <v>7214</v>
      </c>
      <c r="Z1053" s="84" t="s">
        <v>692</v>
      </c>
      <c r="AA1053" s="84" t="s">
        <v>7179</v>
      </c>
      <c r="AB1053" s="84" t="s">
        <v>692</v>
      </c>
      <c r="AC1053" s="84" t="s">
        <v>692</v>
      </c>
      <c r="AD1053" s="54" t="s">
        <v>692</v>
      </c>
    </row>
    <row r="1054" spans="1:30" s="69" customFormat="1" ht="6.6" customHeight="1" x14ac:dyDescent="0.15">
      <c r="A1054" s="85">
        <v>1054</v>
      </c>
      <c r="B1054" s="80" t="s">
        <v>5419</v>
      </c>
      <c r="C1054" s="91" t="s">
        <v>5467</v>
      </c>
      <c r="D1054" s="80" t="s">
        <v>3979</v>
      </c>
      <c r="E1054" s="80" t="s">
        <v>4429</v>
      </c>
      <c r="F1054" s="67" t="s">
        <v>4478</v>
      </c>
      <c r="G1054" s="92" t="s">
        <v>692</v>
      </c>
      <c r="H1054" s="92" t="s">
        <v>692</v>
      </c>
      <c r="I1054" s="92" t="s">
        <v>692</v>
      </c>
      <c r="J1054" s="92" t="s">
        <v>692</v>
      </c>
      <c r="K1054" s="92" t="s">
        <v>692</v>
      </c>
      <c r="L1054" s="90" t="str">
        <f t="shared" si="114"/>
        <v>Infraestruturais</v>
      </c>
      <c r="M1054" s="90" t="str">
        <f t="shared" si="114"/>
        <v>Ferroviários</v>
      </c>
      <c r="N1054" s="90" t="str">
        <f t="shared" si="109"/>
        <v>Ferrovias Trilhos</v>
      </c>
      <c r="O1054" s="55" t="str">
        <f t="shared" si="110"/>
        <v>Trilho.Regulador.de.Velocidade</v>
      </c>
      <c r="P1054" s="68" t="s">
        <v>4479</v>
      </c>
      <c r="Q1054" s="55" t="s">
        <v>4480</v>
      </c>
      <c r="R1054" s="55" t="s">
        <v>7017</v>
      </c>
      <c r="S1054" s="55" t="s">
        <v>692</v>
      </c>
      <c r="T1054" s="55" t="str">
        <f t="shared" si="111"/>
        <v>Infraestruturais</v>
      </c>
      <c r="U1054" s="55" t="str">
        <f t="shared" si="111"/>
        <v>Ferroviários</v>
      </c>
      <c r="V1054" s="55" t="str">
        <f t="shared" si="111"/>
        <v>Ferrovias Trilhos</v>
      </c>
      <c r="W1054" s="54" t="s">
        <v>7259</v>
      </c>
      <c r="X1054" s="84" t="str">
        <f t="shared" si="112"/>
        <v>Key-COD-CT-1054</v>
      </c>
      <c r="Y1054" s="84" t="s">
        <v>7214</v>
      </c>
      <c r="Z1054" s="84" t="s">
        <v>692</v>
      </c>
      <c r="AA1054" s="84" t="s">
        <v>7179</v>
      </c>
      <c r="AB1054" s="84" t="s">
        <v>692</v>
      </c>
      <c r="AC1054" s="84" t="s">
        <v>692</v>
      </c>
      <c r="AD1054" s="54" t="s">
        <v>692</v>
      </c>
    </row>
    <row r="1055" spans="1:30" s="69" customFormat="1" ht="6.6" customHeight="1" x14ac:dyDescent="0.15">
      <c r="A1055" s="85">
        <v>1055</v>
      </c>
      <c r="B1055" s="80" t="s">
        <v>5419</v>
      </c>
      <c r="C1055" s="91" t="s">
        <v>5467</v>
      </c>
      <c r="D1055" s="80" t="s">
        <v>3979</v>
      </c>
      <c r="E1055" s="80" t="s">
        <v>4429</v>
      </c>
      <c r="F1055" s="67" t="s">
        <v>4481</v>
      </c>
      <c r="G1055" s="92" t="s">
        <v>692</v>
      </c>
      <c r="H1055" s="92" t="s">
        <v>692</v>
      </c>
      <c r="I1055" s="92" t="s">
        <v>692</v>
      </c>
      <c r="J1055" s="92" t="s">
        <v>692</v>
      </c>
      <c r="K1055" s="92" t="s">
        <v>692</v>
      </c>
      <c r="L1055" s="90" t="str">
        <f t="shared" si="114"/>
        <v>Infraestruturais</v>
      </c>
      <c r="M1055" s="90" t="str">
        <f t="shared" si="114"/>
        <v>Ferroviários</v>
      </c>
      <c r="N1055" s="90" t="str">
        <f t="shared" si="109"/>
        <v>Ferrovias Trilhos</v>
      </c>
      <c r="O1055" s="55" t="str">
        <f t="shared" si="110"/>
        <v>Trilho.Batente.Via</v>
      </c>
      <c r="P1055" s="68" t="s">
        <v>4482</v>
      </c>
      <c r="Q1055" s="55" t="s">
        <v>4483</v>
      </c>
      <c r="R1055" s="55" t="s">
        <v>7018</v>
      </c>
      <c r="S1055" s="55" t="s">
        <v>692</v>
      </c>
      <c r="T1055" s="55" t="str">
        <f t="shared" si="111"/>
        <v>Infraestruturais</v>
      </c>
      <c r="U1055" s="55" t="str">
        <f t="shared" si="111"/>
        <v>Ferroviários</v>
      </c>
      <c r="V1055" s="55" t="str">
        <f t="shared" si="111"/>
        <v>Ferrovias Trilhos</v>
      </c>
      <c r="W1055" s="54" t="s">
        <v>7259</v>
      </c>
      <c r="X1055" s="84" t="str">
        <f t="shared" si="112"/>
        <v>Key-COD-CT-1055</v>
      </c>
      <c r="Y1055" s="84" t="s">
        <v>7214</v>
      </c>
      <c r="Z1055" s="84" t="s">
        <v>692</v>
      </c>
      <c r="AA1055" s="84" t="s">
        <v>7179</v>
      </c>
      <c r="AB1055" s="84" t="s">
        <v>692</v>
      </c>
      <c r="AC1055" s="84" t="s">
        <v>692</v>
      </c>
      <c r="AD1055" s="54" t="s">
        <v>692</v>
      </c>
    </row>
    <row r="1056" spans="1:30" s="69" customFormat="1" ht="6.6" customHeight="1" x14ac:dyDescent="0.15">
      <c r="A1056" s="85">
        <v>1056</v>
      </c>
      <c r="B1056" s="80" t="s">
        <v>5419</v>
      </c>
      <c r="C1056" s="91" t="s">
        <v>5467</v>
      </c>
      <c r="D1056" s="80" t="s">
        <v>3979</v>
      </c>
      <c r="E1056" s="80" t="s">
        <v>4429</v>
      </c>
      <c r="F1056" s="67" t="s">
        <v>4484</v>
      </c>
      <c r="G1056" s="92" t="s">
        <v>692</v>
      </c>
      <c r="H1056" s="92" t="s">
        <v>692</v>
      </c>
      <c r="I1056" s="92" t="s">
        <v>692</v>
      </c>
      <c r="J1056" s="92" t="s">
        <v>692</v>
      </c>
      <c r="K1056" s="92" t="s">
        <v>692</v>
      </c>
      <c r="L1056" s="90" t="str">
        <f t="shared" si="114"/>
        <v>Infraestruturais</v>
      </c>
      <c r="M1056" s="90" t="str">
        <f t="shared" si="114"/>
        <v>Ferroviários</v>
      </c>
      <c r="N1056" s="90" t="str">
        <f t="shared" si="109"/>
        <v>Ferrovias Trilhos</v>
      </c>
      <c r="O1056" s="55" t="str">
        <f t="shared" si="110"/>
        <v>Trilho.Batente.Veícular</v>
      </c>
      <c r="P1056" s="68" t="s">
        <v>4485</v>
      </c>
      <c r="Q1056" s="55" t="s">
        <v>4486</v>
      </c>
      <c r="R1056" s="55" t="s">
        <v>7019</v>
      </c>
      <c r="S1056" s="55" t="s">
        <v>692</v>
      </c>
      <c r="T1056" s="55" t="str">
        <f t="shared" si="111"/>
        <v>Infraestruturais</v>
      </c>
      <c r="U1056" s="55" t="str">
        <f t="shared" si="111"/>
        <v>Ferroviários</v>
      </c>
      <c r="V1056" s="55" t="str">
        <f t="shared" si="111"/>
        <v>Ferrovias Trilhos</v>
      </c>
      <c r="W1056" s="54" t="s">
        <v>7259</v>
      </c>
      <c r="X1056" s="84" t="str">
        <f t="shared" si="112"/>
        <v>Key-COD-CT-1056</v>
      </c>
      <c r="Y1056" s="84" t="s">
        <v>7214</v>
      </c>
      <c r="Z1056" s="84" t="s">
        <v>692</v>
      </c>
      <c r="AA1056" s="84" t="s">
        <v>7180</v>
      </c>
      <c r="AB1056" s="84" t="s">
        <v>692</v>
      </c>
      <c r="AC1056" s="84" t="s">
        <v>692</v>
      </c>
      <c r="AD1056" s="54" t="s">
        <v>692</v>
      </c>
    </row>
    <row r="1057" spans="1:30" ht="6.6" customHeight="1" x14ac:dyDescent="0.25">
      <c r="A1057" s="85">
        <v>1057</v>
      </c>
      <c r="B1057" s="80" t="s">
        <v>5419</v>
      </c>
      <c r="C1057" s="91" t="s">
        <v>5467</v>
      </c>
      <c r="D1057" s="80" t="s">
        <v>3979</v>
      </c>
      <c r="E1057" s="80" t="s">
        <v>4487</v>
      </c>
      <c r="F1057" s="67" t="s">
        <v>4488</v>
      </c>
      <c r="G1057" s="92" t="s">
        <v>692</v>
      </c>
      <c r="H1057" s="92" t="s">
        <v>692</v>
      </c>
      <c r="I1057" s="92" t="s">
        <v>692</v>
      </c>
      <c r="J1057" s="92" t="s">
        <v>692</v>
      </c>
      <c r="K1057" s="92" t="s">
        <v>692</v>
      </c>
      <c r="L1057" s="90" t="str">
        <f t="shared" si="114"/>
        <v>Infraestruturais</v>
      </c>
      <c r="M1057" s="90" t="str">
        <f t="shared" si="114"/>
        <v>Ferroviários</v>
      </c>
      <c r="N1057" s="90" t="str">
        <f t="shared" si="109"/>
        <v>Ferrovias Partes</v>
      </c>
      <c r="O1057" s="55" t="str">
        <f t="shared" si="110"/>
        <v>Ferrovia.Componente</v>
      </c>
      <c r="P1057" s="68" t="s">
        <v>4489</v>
      </c>
      <c r="Q1057" s="55" t="s">
        <v>4490</v>
      </c>
      <c r="R1057" s="55" t="s">
        <v>7020</v>
      </c>
      <c r="S1057" s="55" t="s">
        <v>692</v>
      </c>
      <c r="T1057" s="55" t="str">
        <f t="shared" si="111"/>
        <v>Infraestruturais</v>
      </c>
      <c r="U1057" s="55" t="str">
        <f t="shared" si="111"/>
        <v>Ferroviários</v>
      </c>
      <c r="V1057" s="55" t="str">
        <f t="shared" si="111"/>
        <v>Ferrovias Partes</v>
      </c>
      <c r="W1057" s="54" t="s">
        <v>7259</v>
      </c>
      <c r="X1057" s="84" t="str">
        <f t="shared" si="112"/>
        <v>Key-COD-CT-1057</v>
      </c>
      <c r="Y1057" s="84" t="s">
        <v>7214</v>
      </c>
      <c r="Z1057" s="84" t="s">
        <v>692</v>
      </c>
      <c r="AA1057" s="84" t="s">
        <v>7180</v>
      </c>
      <c r="AB1057" s="84" t="s">
        <v>692</v>
      </c>
      <c r="AC1057" s="84" t="s">
        <v>692</v>
      </c>
      <c r="AD1057" s="54" t="s">
        <v>692</v>
      </c>
    </row>
    <row r="1058" spans="1:30" ht="6.6" customHeight="1" x14ac:dyDescent="0.25">
      <c r="A1058" s="85">
        <v>1058</v>
      </c>
      <c r="B1058" s="80" t="s">
        <v>5419</v>
      </c>
      <c r="C1058" s="91" t="s">
        <v>5467</v>
      </c>
      <c r="D1058" s="80" t="s">
        <v>3979</v>
      </c>
      <c r="E1058" s="80" t="s">
        <v>4487</v>
      </c>
      <c r="F1058" s="67" t="s">
        <v>4491</v>
      </c>
      <c r="G1058" s="92" t="s">
        <v>692</v>
      </c>
      <c r="H1058" s="92" t="s">
        <v>692</v>
      </c>
      <c r="I1058" s="92" t="s">
        <v>692</v>
      </c>
      <c r="J1058" s="92" t="s">
        <v>692</v>
      </c>
      <c r="K1058" s="92" t="s">
        <v>692</v>
      </c>
      <c r="L1058" s="90" t="str">
        <f t="shared" si="114"/>
        <v>Infraestruturais</v>
      </c>
      <c r="M1058" s="90" t="str">
        <f t="shared" si="114"/>
        <v>Ferroviários</v>
      </c>
      <c r="N1058" s="90" t="str">
        <f t="shared" si="109"/>
        <v>Ferrovias Partes</v>
      </c>
      <c r="O1058" s="55" t="str">
        <f t="shared" si="110"/>
        <v>Ferrovia.Cancela</v>
      </c>
      <c r="P1058" s="68" t="s">
        <v>4492</v>
      </c>
      <c r="Q1058" s="55" t="s">
        <v>4493</v>
      </c>
      <c r="R1058" s="55" t="s">
        <v>7021</v>
      </c>
      <c r="S1058" s="55" t="s">
        <v>692</v>
      </c>
      <c r="T1058" s="55" t="str">
        <f t="shared" si="111"/>
        <v>Infraestruturais</v>
      </c>
      <c r="U1058" s="55" t="str">
        <f t="shared" si="111"/>
        <v>Ferroviários</v>
      </c>
      <c r="V1058" s="55" t="str">
        <f t="shared" si="111"/>
        <v>Ferrovias Partes</v>
      </c>
      <c r="W1058" s="54" t="s">
        <v>7259</v>
      </c>
      <c r="X1058" s="84" t="str">
        <f t="shared" si="112"/>
        <v>Key-COD-CT-1058</v>
      </c>
      <c r="Y1058" s="84" t="s">
        <v>7214</v>
      </c>
      <c r="Z1058" s="84" t="s">
        <v>692</v>
      </c>
      <c r="AA1058" s="84" t="s">
        <v>7180</v>
      </c>
      <c r="AB1058" s="84" t="s">
        <v>692</v>
      </c>
      <c r="AC1058" s="84" t="s">
        <v>692</v>
      </c>
      <c r="AD1058" s="54" t="s">
        <v>692</v>
      </c>
    </row>
    <row r="1059" spans="1:30" ht="6.6" customHeight="1" x14ac:dyDescent="0.25">
      <c r="A1059" s="85">
        <v>1059</v>
      </c>
      <c r="B1059" s="80" t="s">
        <v>5419</v>
      </c>
      <c r="C1059" s="91" t="s">
        <v>5467</v>
      </c>
      <c r="D1059" s="80" t="s">
        <v>3979</v>
      </c>
      <c r="E1059" s="80" t="s">
        <v>4487</v>
      </c>
      <c r="F1059" s="67" t="s">
        <v>4494</v>
      </c>
      <c r="G1059" s="92" t="s">
        <v>692</v>
      </c>
      <c r="H1059" s="92" t="s">
        <v>692</v>
      </c>
      <c r="I1059" s="92" t="s">
        <v>692</v>
      </c>
      <c r="J1059" s="92" t="s">
        <v>692</v>
      </c>
      <c r="K1059" s="92" t="s">
        <v>692</v>
      </c>
      <c r="L1059" s="90" t="str">
        <f t="shared" si="114"/>
        <v>Infraestruturais</v>
      </c>
      <c r="M1059" s="90" t="str">
        <f t="shared" si="114"/>
        <v>Ferroviários</v>
      </c>
      <c r="N1059" s="90" t="str">
        <f t="shared" si="109"/>
        <v>Ferrovias Partes</v>
      </c>
      <c r="O1059" s="55" t="str">
        <f t="shared" si="110"/>
        <v>Ferrovia.Berma</v>
      </c>
      <c r="P1059" s="68" t="s">
        <v>4495</v>
      </c>
      <c r="Q1059" s="55" t="s">
        <v>4496</v>
      </c>
      <c r="R1059" s="55" t="s">
        <v>7022</v>
      </c>
      <c r="S1059" s="55" t="s">
        <v>692</v>
      </c>
      <c r="T1059" s="55" t="str">
        <f t="shared" si="111"/>
        <v>Infraestruturais</v>
      </c>
      <c r="U1059" s="55" t="str">
        <f t="shared" si="111"/>
        <v>Ferroviários</v>
      </c>
      <c r="V1059" s="55" t="str">
        <f t="shared" si="111"/>
        <v>Ferrovias Partes</v>
      </c>
      <c r="W1059" s="54" t="s">
        <v>7259</v>
      </c>
      <c r="X1059" s="84" t="str">
        <f t="shared" si="112"/>
        <v>Key-COD-CT-1059</v>
      </c>
      <c r="Y1059" s="84" t="s">
        <v>7214</v>
      </c>
      <c r="Z1059" s="84" t="s">
        <v>692</v>
      </c>
      <c r="AA1059" s="84" t="s">
        <v>7180</v>
      </c>
      <c r="AB1059" s="84" t="s">
        <v>692</v>
      </c>
      <c r="AC1059" s="84" t="s">
        <v>692</v>
      </c>
      <c r="AD1059" s="54" t="s">
        <v>692</v>
      </c>
    </row>
    <row r="1060" spans="1:30" ht="6.6" customHeight="1" x14ac:dyDescent="0.25">
      <c r="A1060" s="85">
        <v>1060</v>
      </c>
      <c r="B1060" s="80" t="s">
        <v>5419</v>
      </c>
      <c r="C1060" s="91" t="s">
        <v>5467</v>
      </c>
      <c r="D1060" s="80" t="s">
        <v>3979</v>
      </c>
      <c r="E1060" s="80" t="s">
        <v>4487</v>
      </c>
      <c r="F1060" s="67" t="s">
        <v>4497</v>
      </c>
      <c r="G1060" s="92" t="s">
        <v>692</v>
      </c>
      <c r="H1060" s="92" t="s">
        <v>692</v>
      </c>
      <c r="I1060" s="92" t="s">
        <v>692</v>
      </c>
      <c r="J1060" s="92" t="s">
        <v>692</v>
      </c>
      <c r="K1060" s="92" t="s">
        <v>692</v>
      </c>
      <c r="L1060" s="90" t="str">
        <f t="shared" si="114"/>
        <v>Infraestruturais</v>
      </c>
      <c r="M1060" s="90" t="str">
        <f t="shared" si="114"/>
        <v>Ferroviários</v>
      </c>
      <c r="N1060" s="90" t="str">
        <f t="shared" si="109"/>
        <v>Ferrovias Partes</v>
      </c>
      <c r="O1060" s="55" t="str">
        <f t="shared" si="110"/>
        <v>Ferrovia.Aerea</v>
      </c>
      <c r="P1060" s="68" t="s">
        <v>4498</v>
      </c>
      <c r="Q1060" s="55" t="s">
        <v>4499</v>
      </c>
      <c r="R1060" s="55" t="s">
        <v>7023</v>
      </c>
      <c r="S1060" s="55" t="s">
        <v>692</v>
      </c>
      <c r="T1060" s="55" t="str">
        <f t="shared" si="111"/>
        <v>Infraestruturais</v>
      </c>
      <c r="U1060" s="55" t="str">
        <f t="shared" si="111"/>
        <v>Ferroviários</v>
      </c>
      <c r="V1060" s="55" t="str">
        <f t="shared" si="111"/>
        <v>Ferrovias Partes</v>
      </c>
      <c r="W1060" s="54" t="s">
        <v>7259</v>
      </c>
      <c r="X1060" s="84" t="str">
        <f t="shared" si="112"/>
        <v>Key-COD-CT-1060</v>
      </c>
      <c r="Y1060" s="84" t="s">
        <v>7214</v>
      </c>
      <c r="Z1060" s="84" t="s">
        <v>692</v>
      </c>
      <c r="AA1060" s="84" t="s">
        <v>7180</v>
      </c>
      <c r="AB1060" s="84" t="s">
        <v>692</v>
      </c>
      <c r="AC1060" s="84" t="s">
        <v>692</v>
      </c>
      <c r="AD1060" s="54" t="s">
        <v>692</v>
      </c>
    </row>
    <row r="1061" spans="1:30" ht="6.6" customHeight="1" x14ac:dyDescent="0.25">
      <c r="A1061" s="85">
        <v>1061</v>
      </c>
      <c r="B1061" s="80" t="s">
        <v>5419</v>
      </c>
      <c r="C1061" s="91" t="s">
        <v>5467</v>
      </c>
      <c r="D1061" s="80" t="s">
        <v>3979</v>
      </c>
      <c r="E1061" s="80" t="s">
        <v>4487</v>
      </c>
      <c r="F1061" s="67" t="s">
        <v>4500</v>
      </c>
      <c r="G1061" s="92" t="s">
        <v>692</v>
      </c>
      <c r="H1061" s="92" t="s">
        <v>692</v>
      </c>
      <c r="I1061" s="92" t="s">
        <v>692</v>
      </c>
      <c r="J1061" s="92" t="s">
        <v>692</v>
      </c>
      <c r="K1061" s="92" t="s">
        <v>692</v>
      </c>
      <c r="L1061" s="90" t="str">
        <f t="shared" si="114"/>
        <v>Infraestruturais</v>
      </c>
      <c r="M1061" s="90" t="str">
        <f t="shared" si="114"/>
        <v>Ferroviários</v>
      </c>
      <c r="N1061" s="90" t="str">
        <f t="shared" si="109"/>
        <v>Ferrovias Partes</v>
      </c>
      <c r="O1061" s="55" t="str">
        <f t="shared" si="110"/>
        <v>Ferrovia.Superestrutura</v>
      </c>
      <c r="P1061" s="68" t="s">
        <v>4501</v>
      </c>
      <c r="Q1061" s="55" t="s">
        <v>4502</v>
      </c>
      <c r="R1061" s="55" t="s">
        <v>7024</v>
      </c>
      <c r="S1061" s="55" t="s">
        <v>692</v>
      </c>
      <c r="T1061" s="55" t="str">
        <f t="shared" si="111"/>
        <v>Infraestruturais</v>
      </c>
      <c r="U1061" s="55" t="str">
        <f t="shared" si="111"/>
        <v>Ferroviários</v>
      </c>
      <c r="V1061" s="55" t="str">
        <f t="shared" si="111"/>
        <v>Ferrovias Partes</v>
      </c>
      <c r="W1061" s="54" t="s">
        <v>7259</v>
      </c>
      <c r="X1061" s="84" t="str">
        <f t="shared" si="112"/>
        <v>Key-COD-CT-1061</v>
      </c>
      <c r="Y1061" s="84" t="s">
        <v>7214</v>
      </c>
      <c r="Z1061" s="84" t="s">
        <v>692</v>
      </c>
      <c r="AA1061" s="84" t="s">
        <v>7180</v>
      </c>
      <c r="AB1061" s="84" t="s">
        <v>692</v>
      </c>
      <c r="AC1061" s="84" t="s">
        <v>692</v>
      </c>
      <c r="AD1061" s="54" t="s">
        <v>692</v>
      </c>
    </row>
    <row r="1062" spans="1:30" ht="6.6" customHeight="1" x14ac:dyDescent="0.25">
      <c r="A1062" s="85">
        <v>1062</v>
      </c>
      <c r="B1062" s="80" t="s">
        <v>5419</v>
      </c>
      <c r="C1062" s="91" t="s">
        <v>5467</v>
      </c>
      <c r="D1062" s="80" t="s">
        <v>3979</v>
      </c>
      <c r="E1062" s="80" t="s">
        <v>4487</v>
      </c>
      <c r="F1062" s="67" t="s">
        <v>4503</v>
      </c>
      <c r="G1062" s="92" t="s">
        <v>692</v>
      </c>
      <c r="H1062" s="92" t="s">
        <v>692</v>
      </c>
      <c r="I1062" s="92" t="s">
        <v>692</v>
      </c>
      <c r="J1062" s="92" t="s">
        <v>692</v>
      </c>
      <c r="K1062" s="92" t="s">
        <v>692</v>
      </c>
      <c r="L1062" s="90" t="str">
        <f t="shared" si="114"/>
        <v>Infraestruturais</v>
      </c>
      <c r="M1062" s="90" t="str">
        <f t="shared" si="114"/>
        <v>Ferroviários</v>
      </c>
      <c r="N1062" s="90" t="str">
        <f t="shared" si="109"/>
        <v>Ferrovias Partes</v>
      </c>
      <c r="O1062" s="55" t="str">
        <f t="shared" si="110"/>
        <v>Ferrovia.Subestrutura</v>
      </c>
      <c r="P1062" s="68" t="s">
        <v>4504</v>
      </c>
      <c r="Q1062" s="55" t="s">
        <v>4505</v>
      </c>
      <c r="R1062" s="55" t="s">
        <v>7025</v>
      </c>
      <c r="S1062" s="55" t="s">
        <v>692</v>
      </c>
      <c r="T1062" s="55" t="str">
        <f t="shared" si="111"/>
        <v>Infraestruturais</v>
      </c>
      <c r="U1062" s="55" t="str">
        <f t="shared" si="111"/>
        <v>Ferroviários</v>
      </c>
      <c r="V1062" s="55" t="str">
        <f t="shared" si="111"/>
        <v>Ferrovias Partes</v>
      </c>
      <c r="W1062" s="54" t="s">
        <v>7259</v>
      </c>
      <c r="X1062" s="84" t="str">
        <f t="shared" si="112"/>
        <v>Key-COD-CT-1062</v>
      </c>
      <c r="Y1062" s="84" t="s">
        <v>7214</v>
      </c>
      <c r="Z1062" s="84" t="s">
        <v>692</v>
      </c>
      <c r="AA1062" s="84" t="s">
        <v>7180</v>
      </c>
      <c r="AB1062" s="84" t="s">
        <v>692</v>
      </c>
      <c r="AC1062" s="84" t="s">
        <v>692</v>
      </c>
      <c r="AD1062" s="54" t="s">
        <v>692</v>
      </c>
    </row>
    <row r="1063" spans="1:30" ht="6.6" customHeight="1" x14ac:dyDescent="0.25">
      <c r="A1063" s="85">
        <v>1063</v>
      </c>
      <c r="B1063" s="80" t="s">
        <v>5419</v>
      </c>
      <c r="C1063" s="91" t="s">
        <v>5467</v>
      </c>
      <c r="D1063" s="80" t="s">
        <v>3979</v>
      </c>
      <c r="E1063" s="80" t="s">
        <v>4487</v>
      </c>
      <c r="F1063" s="67" t="s">
        <v>4506</v>
      </c>
      <c r="G1063" s="92" t="s">
        <v>692</v>
      </c>
      <c r="H1063" s="92" t="s">
        <v>692</v>
      </c>
      <c r="I1063" s="92" t="s">
        <v>692</v>
      </c>
      <c r="J1063" s="92" t="s">
        <v>692</v>
      </c>
      <c r="K1063" s="92" t="s">
        <v>692</v>
      </c>
      <c r="L1063" s="90" t="str">
        <f t="shared" si="114"/>
        <v>Infraestruturais</v>
      </c>
      <c r="M1063" s="90" t="str">
        <f t="shared" si="114"/>
        <v>Ferroviários</v>
      </c>
      <c r="N1063" s="90" t="str">
        <f t="shared" si="109"/>
        <v>Ferrovias Partes</v>
      </c>
      <c r="O1063" s="55" t="str">
        <f t="shared" si="110"/>
        <v>Ferrovia.Simples</v>
      </c>
      <c r="P1063" s="68" t="s">
        <v>4507</v>
      </c>
      <c r="Q1063" s="55" t="s">
        <v>4508</v>
      </c>
      <c r="R1063" s="55" t="s">
        <v>7026</v>
      </c>
      <c r="S1063" s="55" t="s">
        <v>692</v>
      </c>
      <c r="T1063" s="55" t="str">
        <f t="shared" si="111"/>
        <v>Infraestruturais</v>
      </c>
      <c r="U1063" s="55" t="str">
        <f t="shared" si="111"/>
        <v>Ferroviários</v>
      </c>
      <c r="V1063" s="55" t="str">
        <f t="shared" si="111"/>
        <v>Ferrovias Partes</v>
      </c>
      <c r="W1063" s="54" t="s">
        <v>7259</v>
      </c>
      <c r="X1063" s="84" t="str">
        <f t="shared" si="112"/>
        <v>Key-COD-CT-1063</v>
      </c>
      <c r="Y1063" s="84" t="s">
        <v>7214</v>
      </c>
      <c r="Z1063" s="84" t="s">
        <v>692</v>
      </c>
      <c r="AA1063" s="84" t="s">
        <v>7180</v>
      </c>
      <c r="AB1063" s="84" t="s">
        <v>692</v>
      </c>
      <c r="AC1063" s="84" t="s">
        <v>692</v>
      </c>
      <c r="AD1063" s="54" t="s">
        <v>692</v>
      </c>
    </row>
    <row r="1064" spans="1:30" ht="6.6" customHeight="1" x14ac:dyDescent="0.25">
      <c r="A1064" s="85">
        <v>1064</v>
      </c>
      <c r="B1064" s="80" t="s">
        <v>5419</v>
      </c>
      <c r="C1064" s="91" t="s">
        <v>5467</v>
      </c>
      <c r="D1064" s="80" t="s">
        <v>3979</v>
      </c>
      <c r="E1064" s="80" t="s">
        <v>4487</v>
      </c>
      <c r="F1064" s="67" t="s">
        <v>4509</v>
      </c>
      <c r="G1064" s="92" t="s">
        <v>692</v>
      </c>
      <c r="H1064" s="92" t="s">
        <v>692</v>
      </c>
      <c r="I1064" s="92" t="s">
        <v>692</v>
      </c>
      <c r="J1064" s="92" t="s">
        <v>692</v>
      </c>
      <c r="K1064" s="92" t="s">
        <v>692</v>
      </c>
      <c r="L1064" s="90" t="str">
        <f t="shared" si="114"/>
        <v>Infraestruturais</v>
      </c>
      <c r="M1064" s="90" t="str">
        <f t="shared" si="114"/>
        <v>Ferroviários</v>
      </c>
      <c r="N1064" s="90" t="str">
        <f t="shared" si="109"/>
        <v>Ferrovias Partes</v>
      </c>
      <c r="O1064" s="55" t="str">
        <f t="shared" si="110"/>
        <v>Ferrovia.Completa</v>
      </c>
      <c r="P1064" s="68" t="s">
        <v>4510</v>
      </c>
      <c r="Q1064" s="55" t="s">
        <v>4511</v>
      </c>
      <c r="R1064" s="55" t="s">
        <v>7027</v>
      </c>
      <c r="S1064" s="55" t="s">
        <v>692</v>
      </c>
      <c r="T1064" s="55" t="str">
        <f t="shared" si="111"/>
        <v>Infraestruturais</v>
      </c>
      <c r="U1064" s="55" t="str">
        <f t="shared" si="111"/>
        <v>Ferroviários</v>
      </c>
      <c r="V1064" s="55" t="str">
        <f t="shared" si="111"/>
        <v>Ferrovias Partes</v>
      </c>
      <c r="W1064" s="54" t="s">
        <v>7259</v>
      </c>
      <c r="X1064" s="84" t="str">
        <f t="shared" si="112"/>
        <v>Key-COD-CT-1064</v>
      </c>
      <c r="Y1064" s="84" t="s">
        <v>7214</v>
      </c>
      <c r="Z1064" s="84" t="s">
        <v>692</v>
      </c>
      <c r="AA1064" s="84" t="s">
        <v>7180</v>
      </c>
      <c r="AB1064" s="84" t="s">
        <v>692</v>
      </c>
      <c r="AC1064" s="84" t="s">
        <v>692</v>
      </c>
      <c r="AD1064" s="54" t="s">
        <v>692</v>
      </c>
    </row>
    <row r="1065" spans="1:30" ht="6.6" customHeight="1" x14ac:dyDescent="0.25">
      <c r="A1065" s="85">
        <v>1065</v>
      </c>
      <c r="B1065" s="80" t="s">
        <v>5419</v>
      </c>
      <c r="C1065" s="91" t="s">
        <v>5467</v>
      </c>
      <c r="D1065" s="80" t="s">
        <v>3979</v>
      </c>
      <c r="E1065" s="80" t="s">
        <v>4487</v>
      </c>
      <c r="F1065" s="67" t="s">
        <v>4512</v>
      </c>
      <c r="G1065" s="92" t="s">
        <v>692</v>
      </c>
      <c r="H1065" s="92" t="s">
        <v>692</v>
      </c>
      <c r="I1065" s="92" t="s">
        <v>692</v>
      </c>
      <c r="J1065" s="92" t="s">
        <v>692</v>
      </c>
      <c r="K1065" s="92" t="s">
        <v>692</v>
      </c>
      <c r="L1065" s="90" t="str">
        <f t="shared" si="114"/>
        <v>Infraestruturais</v>
      </c>
      <c r="M1065" s="90" t="str">
        <f t="shared" si="114"/>
        <v>Ferroviários</v>
      </c>
      <c r="N1065" s="90" t="str">
        <f t="shared" si="109"/>
        <v>Ferrovias Partes</v>
      </c>
      <c r="O1065" s="55" t="str">
        <f t="shared" si="110"/>
        <v>Ferrovia.Dilatação</v>
      </c>
      <c r="P1065" s="68" t="s">
        <v>4513</v>
      </c>
      <c r="Q1065" s="55" t="s">
        <v>4514</v>
      </c>
      <c r="R1065" s="55" t="s">
        <v>7028</v>
      </c>
      <c r="S1065" s="55" t="s">
        <v>692</v>
      </c>
      <c r="T1065" s="55" t="str">
        <f t="shared" si="111"/>
        <v>Infraestruturais</v>
      </c>
      <c r="U1065" s="55" t="str">
        <f t="shared" si="111"/>
        <v>Ferroviários</v>
      </c>
      <c r="V1065" s="55" t="str">
        <f t="shared" si="111"/>
        <v>Ferrovias Partes</v>
      </c>
      <c r="W1065" s="54" t="s">
        <v>7259</v>
      </c>
      <c r="X1065" s="84" t="str">
        <f t="shared" si="112"/>
        <v>Key-COD-CT-1065</v>
      </c>
      <c r="Y1065" s="84" t="s">
        <v>7214</v>
      </c>
      <c r="Z1065" s="84" t="s">
        <v>692</v>
      </c>
      <c r="AA1065" s="84" t="s">
        <v>7181</v>
      </c>
      <c r="AB1065" s="84" t="s">
        <v>692</v>
      </c>
      <c r="AC1065" s="84" t="s">
        <v>692</v>
      </c>
      <c r="AD1065" s="54" t="s">
        <v>692</v>
      </c>
    </row>
    <row r="1066" spans="1:30" ht="6.6" customHeight="1" x14ac:dyDescent="0.25">
      <c r="A1066" s="85">
        <v>1066</v>
      </c>
      <c r="B1066" s="80" t="s">
        <v>5419</v>
      </c>
      <c r="C1066" s="91" t="s">
        <v>5467</v>
      </c>
      <c r="D1066" s="80" t="s">
        <v>5473</v>
      </c>
      <c r="E1066" s="94" t="s">
        <v>4515</v>
      </c>
      <c r="F1066" s="95" t="s">
        <v>4516</v>
      </c>
      <c r="G1066" s="96" t="s">
        <v>692</v>
      </c>
      <c r="H1066" s="96" t="s">
        <v>692</v>
      </c>
      <c r="I1066" s="96" t="s">
        <v>692</v>
      </c>
      <c r="J1066" s="92" t="s">
        <v>692</v>
      </c>
      <c r="K1066" s="92" t="s">
        <v>692</v>
      </c>
      <c r="L1066" s="63" t="str">
        <f t="shared" ref="L1066:L1129" si="115">_xlfn.CONCAT(C1066)</f>
        <v>Infraestruturais</v>
      </c>
      <c r="M1066" s="90" t="str">
        <f t="shared" si="114"/>
        <v>Hidroviários</v>
      </c>
      <c r="N1066" s="90" t="str">
        <f t="shared" si="109"/>
        <v>Vias de Navegação</v>
      </c>
      <c r="O1066" s="55" t="str">
        <f t="shared" si="110"/>
        <v>Farol</v>
      </c>
      <c r="P1066" s="55" t="s">
        <v>4517</v>
      </c>
      <c r="Q1066" s="63" t="s">
        <v>4518</v>
      </c>
      <c r="R1066" s="55" t="s">
        <v>7029</v>
      </c>
      <c r="S1066" s="55" t="s">
        <v>692</v>
      </c>
      <c r="T1066" s="55" t="str">
        <f t="shared" si="111"/>
        <v>Infraestruturais</v>
      </c>
      <c r="U1066" s="55" t="str">
        <f t="shared" si="111"/>
        <v>Hidroviários</v>
      </c>
      <c r="V1066" s="55" t="str">
        <f t="shared" si="111"/>
        <v>Vias de Navegação</v>
      </c>
      <c r="W1066" s="54" t="s">
        <v>7259</v>
      </c>
      <c r="X1066" s="84" t="str">
        <f t="shared" si="112"/>
        <v>Key-COD-CT-1066</v>
      </c>
      <c r="Y1066" s="84" t="s">
        <v>7230</v>
      </c>
      <c r="Z1066" s="84" t="s">
        <v>692</v>
      </c>
      <c r="AA1066" s="84" t="s">
        <v>7181</v>
      </c>
      <c r="AB1066" s="84" t="s">
        <v>692</v>
      </c>
      <c r="AC1066" s="84" t="s">
        <v>692</v>
      </c>
      <c r="AD1066" s="54" t="s">
        <v>692</v>
      </c>
    </row>
    <row r="1067" spans="1:30" ht="6.6" customHeight="1" x14ac:dyDescent="0.25">
      <c r="A1067" s="85">
        <v>1067</v>
      </c>
      <c r="B1067" s="80" t="s">
        <v>5419</v>
      </c>
      <c r="C1067" s="91" t="s">
        <v>5467</v>
      </c>
      <c r="D1067" s="80" t="s">
        <v>5473</v>
      </c>
      <c r="E1067" s="94" t="s">
        <v>4515</v>
      </c>
      <c r="F1067" s="95" t="s">
        <v>4519</v>
      </c>
      <c r="G1067" s="96" t="s">
        <v>692</v>
      </c>
      <c r="H1067" s="96" t="s">
        <v>692</v>
      </c>
      <c r="I1067" s="96" t="s">
        <v>692</v>
      </c>
      <c r="J1067" s="92" t="s">
        <v>692</v>
      </c>
      <c r="K1067" s="92" t="s">
        <v>692</v>
      </c>
      <c r="L1067" s="63" t="str">
        <f t="shared" si="115"/>
        <v>Infraestruturais</v>
      </c>
      <c r="M1067" s="90" t="str">
        <f t="shared" ref="M1067:M1130" si="116">CONCATENATE("", D1067)</f>
        <v>Hidroviários</v>
      </c>
      <c r="N1067" s="90" t="str">
        <f t="shared" si="109"/>
        <v>Vias de Navegação</v>
      </c>
      <c r="O1067" s="55" t="str">
        <f t="shared" si="110"/>
        <v>Bóia</v>
      </c>
      <c r="P1067" s="55" t="s">
        <v>4520</v>
      </c>
      <c r="Q1067" s="63" t="s">
        <v>4521</v>
      </c>
      <c r="R1067" s="55" t="s">
        <v>7030</v>
      </c>
      <c r="S1067" s="55" t="s">
        <v>692</v>
      </c>
      <c r="T1067" s="55" t="str">
        <f t="shared" si="111"/>
        <v>Infraestruturais</v>
      </c>
      <c r="U1067" s="55" t="str">
        <f t="shared" si="111"/>
        <v>Hidroviários</v>
      </c>
      <c r="V1067" s="55" t="str">
        <f t="shared" si="111"/>
        <v>Vias de Navegação</v>
      </c>
      <c r="W1067" s="54" t="s">
        <v>7259</v>
      </c>
      <c r="X1067" s="84" t="str">
        <f t="shared" si="112"/>
        <v>Key-COD-CT-1067</v>
      </c>
      <c r="Y1067" s="84" t="s">
        <v>7230</v>
      </c>
      <c r="Z1067" s="84" t="s">
        <v>692</v>
      </c>
      <c r="AA1067" s="84" t="s">
        <v>7181</v>
      </c>
      <c r="AB1067" s="84" t="s">
        <v>692</v>
      </c>
      <c r="AC1067" s="84" t="s">
        <v>692</v>
      </c>
      <c r="AD1067" s="54" t="s">
        <v>692</v>
      </c>
    </row>
    <row r="1068" spans="1:30" ht="6.6" customHeight="1" x14ac:dyDescent="0.25">
      <c r="A1068" s="85">
        <v>1068</v>
      </c>
      <c r="B1068" s="80" t="s">
        <v>5419</v>
      </c>
      <c r="C1068" s="91" t="s">
        <v>5467</v>
      </c>
      <c r="D1068" s="80" t="s">
        <v>5473</v>
      </c>
      <c r="E1068" s="94" t="s">
        <v>4515</v>
      </c>
      <c r="F1068" s="70" t="s">
        <v>4522</v>
      </c>
      <c r="G1068" s="96" t="s">
        <v>692</v>
      </c>
      <c r="H1068" s="96" t="s">
        <v>692</v>
      </c>
      <c r="I1068" s="96" t="s">
        <v>692</v>
      </c>
      <c r="J1068" s="92" t="s">
        <v>692</v>
      </c>
      <c r="K1068" s="92" t="s">
        <v>692</v>
      </c>
      <c r="L1068" s="63" t="str">
        <f t="shared" si="115"/>
        <v>Infraestruturais</v>
      </c>
      <c r="M1068" s="90" t="str">
        <f t="shared" si="116"/>
        <v>Hidroviários</v>
      </c>
      <c r="N1068" s="90" t="str">
        <f t="shared" si="109"/>
        <v>Vias de Navegação</v>
      </c>
      <c r="O1068" s="55" t="str">
        <f t="shared" si="110"/>
        <v>Bóia.de.Navegação</v>
      </c>
      <c r="P1068" s="55" t="s">
        <v>4523</v>
      </c>
      <c r="Q1068" s="97" t="s">
        <v>4524</v>
      </c>
      <c r="R1068" s="55" t="s">
        <v>7031</v>
      </c>
      <c r="S1068" s="55" t="s">
        <v>692</v>
      </c>
      <c r="T1068" s="55" t="str">
        <f t="shared" si="111"/>
        <v>Infraestruturais</v>
      </c>
      <c r="U1068" s="55" t="str">
        <f t="shared" si="111"/>
        <v>Hidroviários</v>
      </c>
      <c r="V1068" s="55" t="str">
        <f t="shared" si="111"/>
        <v>Vias de Navegação</v>
      </c>
      <c r="W1068" s="54" t="s">
        <v>7259</v>
      </c>
      <c r="X1068" s="84" t="str">
        <f t="shared" si="112"/>
        <v>Key-COD-CT-1068</v>
      </c>
      <c r="Y1068" s="84" t="s">
        <v>7230</v>
      </c>
      <c r="Z1068" s="84" t="s">
        <v>692</v>
      </c>
      <c r="AA1068" s="84" t="s">
        <v>7181</v>
      </c>
      <c r="AB1068" s="84" t="s">
        <v>692</v>
      </c>
      <c r="AC1068" s="84" t="s">
        <v>692</v>
      </c>
      <c r="AD1068" s="54" t="s">
        <v>692</v>
      </c>
    </row>
    <row r="1069" spans="1:30" ht="6.6" customHeight="1" x14ac:dyDescent="0.25">
      <c r="A1069" s="85">
        <v>1069</v>
      </c>
      <c r="B1069" s="80" t="s">
        <v>5419</v>
      </c>
      <c r="C1069" s="91" t="s">
        <v>5467</v>
      </c>
      <c r="D1069" s="80" t="s">
        <v>5473</v>
      </c>
      <c r="E1069" s="94" t="s">
        <v>4515</v>
      </c>
      <c r="F1069" s="70" t="s">
        <v>4525</v>
      </c>
      <c r="G1069" s="96" t="s">
        <v>692</v>
      </c>
      <c r="H1069" s="96" t="s">
        <v>692</v>
      </c>
      <c r="I1069" s="96" t="s">
        <v>692</v>
      </c>
      <c r="J1069" s="92" t="s">
        <v>692</v>
      </c>
      <c r="K1069" s="92" t="s">
        <v>692</v>
      </c>
      <c r="L1069" s="63" t="str">
        <f t="shared" si="115"/>
        <v>Infraestruturais</v>
      </c>
      <c r="M1069" s="90" t="str">
        <f t="shared" si="116"/>
        <v>Hidroviários</v>
      </c>
      <c r="N1069" s="90" t="str">
        <f t="shared" si="109"/>
        <v>Vias de Navegação</v>
      </c>
      <c r="O1069" s="55" t="str">
        <f t="shared" si="110"/>
        <v>Fundeadouro</v>
      </c>
      <c r="P1069" s="55" t="s">
        <v>4526</v>
      </c>
      <c r="Q1069" s="58" t="s">
        <v>4527</v>
      </c>
      <c r="R1069" s="55" t="s">
        <v>7032</v>
      </c>
      <c r="S1069" s="55" t="s">
        <v>692</v>
      </c>
      <c r="T1069" s="55" t="str">
        <f t="shared" si="111"/>
        <v>Infraestruturais</v>
      </c>
      <c r="U1069" s="55" t="str">
        <f t="shared" si="111"/>
        <v>Hidroviários</v>
      </c>
      <c r="V1069" s="55" t="str">
        <f t="shared" si="111"/>
        <v>Vias de Navegação</v>
      </c>
      <c r="W1069" s="54" t="s">
        <v>7259</v>
      </c>
      <c r="X1069" s="84" t="str">
        <f t="shared" si="112"/>
        <v>Key-COD-CT-1069</v>
      </c>
      <c r="Y1069" s="84" t="s">
        <v>5459</v>
      </c>
      <c r="Z1069" s="84" t="s">
        <v>692</v>
      </c>
      <c r="AA1069" s="84" t="s">
        <v>7181</v>
      </c>
      <c r="AB1069" s="84" t="s">
        <v>692</v>
      </c>
      <c r="AC1069" s="84" t="s">
        <v>692</v>
      </c>
      <c r="AD1069" s="54" t="s">
        <v>692</v>
      </c>
    </row>
    <row r="1070" spans="1:30" ht="6.6" customHeight="1" x14ac:dyDescent="0.25">
      <c r="A1070" s="85">
        <v>1070</v>
      </c>
      <c r="B1070" s="80" t="s">
        <v>5419</v>
      </c>
      <c r="C1070" s="91" t="s">
        <v>5467</v>
      </c>
      <c r="D1070" s="80" t="s">
        <v>5473</v>
      </c>
      <c r="E1070" s="94" t="s">
        <v>4515</v>
      </c>
      <c r="F1070" s="70" t="s">
        <v>4528</v>
      </c>
      <c r="G1070" s="96" t="s">
        <v>692</v>
      </c>
      <c r="H1070" s="96" t="s">
        <v>692</v>
      </c>
      <c r="I1070" s="96" t="s">
        <v>692</v>
      </c>
      <c r="J1070" s="92" t="s">
        <v>692</v>
      </c>
      <c r="K1070" s="92" t="s">
        <v>692</v>
      </c>
      <c r="L1070" s="63" t="str">
        <f t="shared" si="115"/>
        <v>Infraestruturais</v>
      </c>
      <c r="M1070" s="90" t="str">
        <f t="shared" si="116"/>
        <v>Hidroviários</v>
      </c>
      <c r="N1070" s="90" t="str">
        <f t="shared" si="109"/>
        <v>Vias de Navegação</v>
      </c>
      <c r="O1070" s="55" t="str">
        <f t="shared" si="110"/>
        <v>Atracadouro</v>
      </c>
      <c r="P1070" s="55" t="s">
        <v>4529</v>
      </c>
      <c r="Q1070" s="58" t="s">
        <v>4530</v>
      </c>
      <c r="R1070" s="55" t="s">
        <v>7033</v>
      </c>
      <c r="S1070" s="55" t="s">
        <v>692</v>
      </c>
      <c r="T1070" s="55" t="str">
        <f t="shared" si="111"/>
        <v>Infraestruturais</v>
      </c>
      <c r="U1070" s="55" t="str">
        <f t="shared" si="111"/>
        <v>Hidroviários</v>
      </c>
      <c r="V1070" s="55" t="str">
        <f t="shared" si="111"/>
        <v>Vias de Navegação</v>
      </c>
      <c r="W1070" s="54" t="s">
        <v>7259</v>
      </c>
      <c r="X1070" s="84" t="str">
        <f t="shared" si="112"/>
        <v>Key-COD-CT-1070</v>
      </c>
      <c r="Y1070" s="84" t="s">
        <v>5459</v>
      </c>
      <c r="Z1070" s="84" t="s">
        <v>692</v>
      </c>
      <c r="AA1070" s="84" t="s">
        <v>7181</v>
      </c>
      <c r="AB1070" s="84" t="s">
        <v>692</v>
      </c>
      <c r="AC1070" s="84" t="s">
        <v>692</v>
      </c>
      <c r="AD1070" s="54" t="s">
        <v>692</v>
      </c>
    </row>
    <row r="1071" spans="1:30" ht="6.6" customHeight="1" x14ac:dyDescent="0.25">
      <c r="A1071" s="85">
        <v>1071</v>
      </c>
      <c r="B1071" s="80" t="s">
        <v>5419</v>
      </c>
      <c r="C1071" s="91" t="s">
        <v>5467</v>
      </c>
      <c r="D1071" s="80" t="s">
        <v>5473</v>
      </c>
      <c r="E1071" s="94" t="s">
        <v>4515</v>
      </c>
      <c r="F1071" s="95" t="s">
        <v>4531</v>
      </c>
      <c r="G1071" s="96" t="s">
        <v>692</v>
      </c>
      <c r="H1071" s="96" t="s">
        <v>692</v>
      </c>
      <c r="I1071" s="96" t="s">
        <v>692</v>
      </c>
      <c r="J1071" s="92" t="s">
        <v>692</v>
      </c>
      <c r="K1071" s="92" t="s">
        <v>692</v>
      </c>
      <c r="L1071" s="63" t="str">
        <f t="shared" si="115"/>
        <v>Infraestruturais</v>
      </c>
      <c r="M1071" s="90" t="str">
        <f t="shared" si="116"/>
        <v>Hidroviários</v>
      </c>
      <c r="N1071" s="90" t="str">
        <f t="shared" si="109"/>
        <v>Vias de Navegação</v>
      </c>
      <c r="O1071" s="55" t="str">
        <f t="shared" si="110"/>
        <v>Canal</v>
      </c>
      <c r="P1071" s="55" t="s">
        <v>4532</v>
      </c>
      <c r="Q1071" s="58" t="s">
        <v>4533</v>
      </c>
      <c r="R1071" s="55" t="s">
        <v>7034</v>
      </c>
      <c r="S1071" s="55" t="s">
        <v>692</v>
      </c>
      <c r="T1071" s="55" t="str">
        <f t="shared" si="111"/>
        <v>Infraestruturais</v>
      </c>
      <c r="U1071" s="55" t="str">
        <f t="shared" si="111"/>
        <v>Hidroviários</v>
      </c>
      <c r="V1071" s="55" t="str">
        <f t="shared" si="111"/>
        <v>Vias de Navegação</v>
      </c>
      <c r="W1071" s="54" t="s">
        <v>7259</v>
      </c>
      <c r="X1071" s="84" t="str">
        <f t="shared" si="112"/>
        <v>Key-COD-CT-1071</v>
      </c>
      <c r="Y1071" s="84" t="s">
        <v>5459</v>
      </c>
      <c r="Z1071" s="84" t="s">
        <v>692</v>
      </c>
      <c r="AA1071" s="84" t="s">
        <v>7181</v>
      </c>
      <c r="AB1071" s="84" t="s">
        <v>692</v>
      </c>
      <c r="AC1071" s="84" t="s">
        <v>692</v>
      </c>
      <c r="AD1071" s="54" t="s">
        <v>692</v>
      </c>
    </row>
    <row r="1072" spans="1:30" ht="6.6" customHeight="1" x14ac:dyDescent="0.25">
      <c r="A1072" s="85">
        <v>1072</v>
      </c>
      <c r="B1072" s="80" t="s">
        <v>5419</v>
      </c>
      <c r="C1072" s="91" t="s">
        <v>5467</v>
      </c>
      <c r="D1072" s="80" t="s">
        <v>5473</v>
      </c>
      <c r="E1072" s="94" t="s">
        <v>4515</v>
      </c>
      <c r="F1072" s="70" t="s">
        <v>4534</v>
      </c>
      <c r="G1072" s="96" t="s">
        <v>692</v>
      </c>
      <c r="H1072" s="96" t="s">
        <v>692</v>
      </c>
      <c r="I1072" s="96" t="s">
        <v>692</v>
      </c>
      <c r="J1072" s="92" t="s">
        <v>692</v>
      </c>
      <c r="K1072" s="92" t="s">
        <v>692</v>
      </c>
      <c r="L1072" s="63" t="str">
        <f t="shared" si="115"/>
        <v>Infraestruturais</v>
      </c>
      <c r="M1072" s="90" t="str">
        <f t="shared" si="116"/>
        <v>Hidroviários</v>
      </c>
      <c r="N1072" s="90" t="str">
        <f t="shared" si="109"/>
        <v>Vias de Navegação</v>
      </c>
      <c r="O1072" s="55" t="str">
        <f t="shared" si="110"/>
        <v>Canal.Acesso</v>
      </c>
      <c r="P1072" s="55" t="s">
        <v>4535</v>
      </c>
      <c r="Q1072" s="58" t="s">
        <v>4536</v>
      </c>
      <c r="R1072" s="55" t="s">
        <v>7035</v>
      </c>
      <c r="S1072" s="55" t="s">
        <v>692</v>
      </c>
      <c r="T1072" s="55" t="str">
        <f t="shared" si="111"/>
        <v>Infraestruturais</v>
      </c>
      <c r="U1072" s="55" t="str">
        <f t="shared" si="111"/>
        <v>Hidroviários</v>
      </c>
      <c r="V1072" s="55" t="str">
        <f t="shared" si="111"/>
        <v>Vias de Navegação</v>
      </c>
      <c r="W1072" s="54" t="s">
        <v>7259</v>
      </c>
      <c r="X1072" s="84" t="str">
        <f t="shared" si="112"/>
        <v>Key-COD-CT-1072</v>
      </c>
      <c r="Y1072" s="84" t="s">
        <v>5459</v>
      </c>
      <c r="Z1072" s="84" t="s">
        <v>692</v>
      </c>
      <c r="AA1072" s="84" t="s">
        <v>7181</v>
      </c>
      <c r="AB1072" s="84" t="s">
        <v>692</v>
      </c>
      <c r="AC1072" s="84" t="s">
        <v>692</v>
      </c>
      <c r="AD1072" s="54" t="s">
        <v>692</v>
      </c>
    </row>
    <row r="1073" spans="1:30" ht="6.6" customHeight="1" x14ac:dyDescent="0.25">
      <c r="A1073" s="85">
        <v>1073</v>
      </c>
      <c r="B1073" s="80" t="s">
        <v>5419</v>
      </c>
      <c r="C1073" s="91" t="s">
        <v>5467</v>
      </c>
      <c r="D1073" s="80" t="s">
        <v>5473</v>
      </c>
      <c r="E1073" s="94" t="s">
        <v>4515</v>
      </c>
      <c r="F1073" s="95" t="s">
        <v>4537</v>
      </c>
      <c r="G1073" s="96" t="s">
        <v>692</v>
      </c>
      <c r="H1073" s="96" t="s">
        <v>692</v>
      </c>
      <c r="I1073" s="96" t="s">
        <v>692</v>
      </c>
      <c r="J1073" s="92" t="s">
        <v>692</v>
      </c>
      <c r="K1073" s="92" t="s">
        <v>692</v>
      </c>
      <c r="L1073" s="63" t="str">
        <f t="shared" si="115"/>
        <v>Infraestruturais</v>
      </c>
      <c r="M1073" s="90" t="str">
        <f t="shared" si="116"/>
        <v>Hidroviários</v>
      </c>
      <c r="N1073" s="90" t="str">
        <f t="shared" si="109"/>
        <v>Vias de Navegação</v>
      </c>
      <c r="O1073" s="55" t="str">
        <f t="shared" si="110"/>
        <v>Canal.Navegável</v>
      </c>
      <c r="P1073" s="55" t="s">
        <v>4538</v>
      </c>
      <c r="Q1073" s="58" t="s">
        <v>4539</v>
      </c>
      <c r="R1073" s="55" t="s">
        <v>7036</v>
      </c>
      <c r="S1073" s="55" t="s">
        <v>692</v>
      </c>
      <c r="T1073" s="55" t="str">
        <f t="shared" si="111"/>
        <v>Infraestruturais</v>
      </c>
      <c r="U1073" s="55" t="str">
        <f t="shared" si="111"/>
        <v>Hidroviários</v>
      </c>
      <c r="V1073" s="55" t="str">
        <f t="shared" si="111"/>
        <v>Vias de Navegação</v>
      </c>
      <c r="W1073" s="54" t="s">
        <v>7259</v>
      </c>
      <c r="X1073" s="84" t="str">
        <f t="shared" si="112"/>
        <v>Key-COD-CT-1073</v>
      </c>
      <c r="Y1073" s="84" t="s">
        <v>5459</v>
      </c>
      <c r="Z1073" s="84" t="s">
        <v>692</v>
      </c>
      <c r="AA1073" s="84" t="s">
        <v>7181</v>
      </c>
      <c r="AB1073" s="84" t="s">
        <v>692</v>
      </c>
      <c r="AC1073" s="84" t="s">
        <v>692</v>
      </c>
      <c r="AD1073" s="54" t="s">
        <v>692</v>
      </c>
    </row>
    <row r="1074" spans="1:30" ht="6.6" customHeight="1" x14ac:dyDescent="0.25">
      <c r="A1074" s="85">
        <v>1074</v>
      </c>
      <c r="B1074" s="80" t="s">
        <v>5419</v>
      </c>
      <c r="C1074" s="91" t="s">
        <v>5467</v>
      </c>
      <c r="D1074" s="80" t="s">
        <v>5473</v>
      </c>
      <c r="E1074" s="94" t="s">
        <v>4515</v>
      </c>
      <c r="F1074" s="95" t="s">
        <v>4540</v>
      </c>
      <c r="G1074" s="96" t="s">
        <v>692</v>
      </c>
      <c r="H1074" s="96" t="s">
        <v>692</v>
      </c>
      <c r="I1074" s="96" t="s">
        <v>692</v>
      </c>
      <c r="J1074" s="92" t="s">
        <v>692</v>
      </c>
      <c r="K1074" s="92" t="s">
        <v>692</v>
      </c>
      <c r="L1074" s="63" t="str">
        <f t="shared" si="115"/>
        <v>Infraestruturais</v>
      </c>
      <c r="M1074" s="90" t="str">
        <f t="shared" si="116"/>
        <v>Hidroviários</v>
      </c>
      <c r="N1074" s="90" t="str">
        <f t="shared" si="109"/>
        <v>Vias de Navegação</v>
      </c>
      <c r="O1074" s="55" t="str">
        <f t="shared" si="110"/>
        <v>Via.Navegável</v>
      </c>
      <c r="P1074" s="55" t="s">
        <v>4541</v>
      </c>
      <c r="Q1074" s="58" t="s">
        <v>4542</v>
      </c>
      <c r="R1074" s="55" t="s">
        <v>7037</v>
      </c>
      <c r="S1074" s="55" t="s">
        <v>692</v>
      </c>
      <c r="T1074" s="55" t="str">
        <f t="shared" si="111"/>
        <v>Infraestruturais</v>
      </c>
      <c r="U1074" s="55" t="str">
        <f t="shared" si="111"/>
        <v>Hidroviários</v>
      </c>
      <c r="V1074" s="55" t="str">
        <f t="shared" si="111"/>
        <v>Vias de Navegação</v>
      </c>
      <c r="W1074" s="54" t="s">
        <v>7259</v>
      </c>
      <c r="X1074" s="84" t="str">
        <f t="shared" si="112"/>
        <v>Key-COD-CT-1074</v>
      </c>
      <c r="Y1074" s="84" t="s">
        <v>5459</v>
      </c>
      <c r="Z1074" s="84" t="s">
        <v>692</v>
      </c>
      <c r="AA1074" s="84" t="s">
        <v>7181</v>
      </c>
      <c r="AB1074" s="84" t="s">
        <v>692</v>
      </c>
      <c r="AC1074" s="84" t="s">
        <v>692</v>
      </c>
      <c r="AD1074" s="54" t="s">
        <v>692</v>
      </c>
    </row>
    <row r="1075" spans="1:30" ht="6.6" customHeight="1" x14ac:dyDescent="0.25">
      <c r="A1075" s="85">
        <v>1075</v>
      </c>
      <c r="B1075" s="80" t="s">
        <v>5419</v>
      </c>
      <c r="C1075" s="91" t="s">
        <v>5467</v>
      </c>
      <c r="D1075" s="80" t="s">
        <v>5473</v>
      </c>
      <c r="E1075" s="94" t="s">
        <v>4515</v>
      </c>
      <c r="F1075" s="95" t="s">
        <v>4543</v>
      </c>
      <c r="G1075" s="96" t="s">
        <v>692</v>
      </c>
      <c r="H1075" s="96" t="s">
        <v>692</v>
      </c>
      <c r="I1075" s="96" t="s">
        <v>692</v>
      </c>
      <c r="J1075" s="92" t="s">
        <v>692</v>
      </c>
      <c r="K1075" s="92" t="s">
        <v>692</v>
      </c>
      <c r="L1075" s="63" t="str">
        <f t="shared" si="115"/>
        <v>Infraestruturais</v>
      </c>
      <c r="M1075" s="90" t="str">
        <f t="shared" si="116"/>
        <v>Hidroviários</v>
      </c>
      <c r="N1075" s="90" t="str">
        <f t="shared" si="109"/>
        <v>Vias de Navegação</v>
      </c>
      <c r="O1075" s="55" t="str">
        <f t="shared" si="110"/>
        <v>Elemento.de.Navegação</v>
      </c>
      <c r="P1075" s="55" t="s">
        <v>4544</v>
      </c>
      <c r="Q1075" s="63" t="s">
        <v>4545</v>
      </c>
      <c r="R1075" s="55" t="s">
        <v>7038</v>
      </c>
      <c r="S1075" s="55" t="s">
        <v>692</v>
      </c>
      <c r="T1075" s="55" t="str">
        <f t="shared" si="111"/>
        <v>Infraestruturais</v>
      </c>
      <c r="U1075" s="55" t="str">
        <f t="shared" si="111"/>
        <v>Hidroviários</v>
      </c>
      <c r="V1075" s="55" t="str">
        <f t="shared" si="111"/>
        <v>Vias de Navegação</v>
      </c>
      <c r="W1075" s="54" t="s">
        <v>7259</v>
      </c>
      <c r="X1075" s="84" t="str">
        <f t="shared" si="112"/>
        <v>Key-COD-CT-1075</v>
      </c>
      <c r="Y1075" s="84" t="s">
        <v>5459</v>
      </c>
      <c r="Z1075" s="84" t="s">
        <v>692</v>
      </c>
      <c r="AA1075" s="84" t="s">
        <v>7181</v>
      </c>
      <c r="AB1075" s="84" t="s">
        <v>692</v>
      </c>
      <c r="AC1075" s="84" t="s">
        <v>692</v>
      </c>
      <c r="AD1075" s="54" t="s">
        <v>692</v>
      </c>
    </row>
    <row r="1076" spans="1:30" ht="6.6" customHeight="1" x14ac:dyDescent="0.25">
      <c r="A1076" s="85">
        <v>1076</v>
      </c>
      <c r="B1076" s="80" t="s">
        <v>5419</v>
      </c>
      <c r="C1076" s="91" t="s">
        <v>5467</v>
      </c>
      <c r="D1076" s="80" t="s">
        <v>5473</v>
      </c>
      <c r="E1076" s="80" t="s">
        <v>4546</v>
      </c>
      <c r="F1076" s="89" t="s">
        <v>4547</v>
      </c>
      <c r="G1076" s="92" t="s">
        <v>692</v>
      </c>
      <c r="H1076" s="92" t="s">
        <v>692</v>
      </c>
      <c r="I1076" s="92" t="s">
        <v>692</v>
      </c>
      <c r="J1076" s="92" t="s">
        <v>692</v>
      </c>
      <c r="K1076" s="92" t="s">
        <v>692</v>
      </c>
      <c r="L1076" s="58" t="str">
        <f t="shared" si="115"/>
        <v>Infraestruturais</v>
      </c>
      <c r="M1076" s="90" t="str">
        <f t="shared" si="116"/>
        <v>Hidroviários</v>
      </c>
      <c r="N1076" s="90" t="str">
        <f t="shared" si="109"/>
        <v>Amarrações</v>
      </c>
      <c r="O1076" s="55" t="str">
        <f t="shared" si="110"/>
        <v>Dispositivo.de.Amarração</v>
      </c>
      <c r="P1076" s="55" t="s">
        <v>4548</v>
      </c>
      <c r="Q1076" s="58" t="s">
        <v>4549</v>
      </c>
      <c r="R1076" s="55" t="s">
        <v>7039</v>
      </c>
      <c r="S1076" s="55" t="s">
        <v>692</v>
      </c>
      <c r="T1076" s="55" t="str">
        <f t="shared" si="111"/>
        <v>Infraestruturais</v>
      </c>
      <c r="U1076" s="55" t="str">
        <f t="shared" si="111"/>
        <v>Hidroviários</v>
      </c>
      <c r="V1076" s="55" t="str">
        <f t="shared" si="111"/>
        <v>Amarrações</v>
      </c>
      <c r="W1076" s="54" t="s">
        <v>7259</v>
      </c>
      <c r="X1076" s="84" t="str">
        <f t="shared" si="112"/>
        <v>Key-COD-CT-1076</v>
      </c>
      <c r="Y1076" s="84" t="s">
        <v>5459</v>
      </c>
      <c r="Z1076" s="84" t="s">
        <v>692</v>
      </c>
      <c r="AA1076" s="84" t="s">
        <v>7181</v>
      </c>
      <c r="AB1076" s="84" t="s">
        <v>692</v>
      </c>
      <c r="AC1076" s="84" t="s">
        <v>692</v>
      </c>
      <c r="AD1076" s="54" t="s">
        <v>692</v>
      </c>
    </row>
    <row r="1077" spans="1:30" ht="6.6" customHeight="1" x14ac:dyDescent="0.25">
      <c r="A1077" s="85">
        <v>1077</v>
      </c>
      <c r="B1077" s="80" t="s">
        <v>5419</v>
      </c>
      <c r="C1077" s="91" t="s">
        <v>5467</v>
      </c>
      <c r="D1077" s="80" t="s">
        <v>5473</v>
      </c>
      <c r="E1077" s="80" t="s">
        <v>4546</v>
      </c>
      <c r="F1077" s="95" t="s">
        <v>4550</v>
      </c>
      <c r="G1077" s="96" t="s">
        <v>692</v>
      </c>
      <c r="H1077" s="96" t="s">
        <v>692</v>
      </c>
      <c r="I1077" s="96" t="s">
        <v>692</v>
      </c>
      <c r="J1077" s="92" t="s">
        <v>692</v>
      </c>
      <c r="K1077" s="92" t="s">
        <v>692</v>
      </c>
      <c r="L1077" s="63" t="str">
        <f t="shared" si="115"/>
        <v>Infraestruturais</v>
      </c>
      <c r="M1077" s="90" t="str">
        <f t="shared" si="116"/>
        <v>Hidroviários</v>
      </c>
      <c r="N1077" s="90" t="str">
        <f t="shared" si="109"/>
        <v>Amarrações</v>
      </c>
      <c r="O1077" s="55" t="str">
        <f t="shared" si="110"/>
        <v>Guincho.de.Amarração</v>
      </c>
      <c r="P1077" s="55" t="s">
        <v>4551</v>
      </c>
      <c r="Q1077" s="63" t="s">
        <v>4552</v>
      </c>
      <c r="R1077" s="55" t="s">
        <v>7040</v>
      </c>
      <c r="S1077" s="55" t="s">
        <v>692</v>
      </c>
      <c r="T1077" s="55" t="str">
        <f t="shared" si="111"/>
        <v>Infraestruturais</v>
      </c>
      <c r="U1077" s="55" t="str">
        <f t="shared" si="111"/>
        <v>Hidroviários</v>
      </c>
      <c r="V1077" s="55" t="str">
        <f t="shared" si="111"/>
        <v>Amarrações</v>
      </c>
      <c r="W1077" s="54" t="s">
        <v>7259</v>
      </c>
      <c r="X1077" s="84" t="str">
        <f t="shared" si="112"/>
        <v>Key-COD-CT-1077</v>
      </c>
      <c r="Y1077" s="84" t="s">
        <v>5459</v>
      </c>
      <c r="Z1077" s="84" t="s">
        <v>692</v>
      </c>
      <c r="AA1077" s="84" t="s">
        <v>7181</v>
      </c>
      <c r="AB1077" s="84" t="s">
        <v>692</v>
      </c>
      <c r="AC1077" s="84" t="s">
        <v>692</v>
      </c>
      <c r="AD1077" s="54" t="s">
        <v>692</v>
      </c>
    </row>
    <row r="1078" spans="1:30" ht="6.6" customHeight="1" x14ac:dyDescent="0.25">
      <c r="A1078" s="85">
        <v>1078</v>
      </c>
      <c r="B1078" s="80" t="s">
        <v>5419</v>
      </c>
      <c r="C1078" s="91" t="s">
        <v>5467</v>
      </c>
      <c r="D1078" s="80" t="s">
        <v>5473</v>
      </c>
      <c r="E1078" s="80" t="s">
        <v>4546</v>
      </c>
      <c r="F1078" s="95" t="s">
        <v>4553</v>
      </c>
      <c r="G1078" s="96" t="s">
        <v>692</v>
      </c>
      <c r="H1078" s="96" t="s">
        <v>692</v>
      </c>
      <c r="I1078" s="96" t="s">
        <v>692</v>
      </c>
      <c r="J1078" s="92" t="s">
        <v>692</v>
      </c>
      <c r="K1078" s="92" t="s">
        <v>692</v>
      </c>
      <c r="L1078" s="63" t="str">
        <f t="shared" si="115"/>
        <v>Infraestruturais</v>
      </c>
      <c r="M1078" s="90" t="str">
        <f t="shared" si="116"/>
        <v>Hidroviários</v>
      </c>
      <c r="N1078" s="90" t="str">
        <f t="shared" si="109"/>
        <v>Amarrações</v>
      </c>
      <c r="O1078" s="55" t="str">
        <f t="shared" si="110"/>
        <v>Cabeço.de.Amarração</v>
      </c>
      <c r="P1078" s="55" t="s">
        <v>4554</v>
      </c>
      <c r="Q1078" s="63" t="s">
        <v>4555</v>
      </c>
      <c r="R1078" s="55" t="s">
        <v>7041</v>
      </c>
      <c r="S1078" s="55" t="s">
        <v>692</v>
      </c>
      <c r="T1078" s="55" t="str">
        <f t="shared" si="111"/>
        <v>Infraestruturais</v>
      </c>
      <c r="U1078" s="55" t="str">
        <f t="shared" si="111"/>
        <v>Hidroviários</v>
      </c>
      <c r="V1078" s="55" t="str">
        <f t="shared" si="111"/>
        <v>Amarrações</v>
      </c>
      <c r="W1078" s="54" t="s">
        <v>7259</v>
      </c>
      <c r="X1078" s="84" t="str">
        <f t="shared" si="112"/>
        <v>Key-COD-CT-1078</v>
      </c>
      <c r="Y1078" s="84" t="s">
        <v>5459</v>
      </c>
      <c r="Z1078" s="84" t="s">
        <v>692</v>
      </c>
      <c r="AA1078" s="84" t="s">
        <v>7181</v>
      </c>
      <c r="AB1078" s="84" t="s">
        <v>692</v>
      </c>
      <c r="AC1078" s="84" t="s">
        <v>692</v>
      </c>
      <c r="AD1078" s="54" t="s">
        <v>692</v>
      </c>
    </row>
    <row r="1079" spans="1:30" ht="6.6" customHeight="1" x14ac:dyDescent="0.25">
      <c r="A1079" s="85">
        <v>1079</v>
      </c>
      <c r="B1079" s="80" t="s">
        <v>5419</v>
      </c>
      <c r="C1079" s="91" t="s">
        <v>5467</v>
      </c>
      <c r="D1079" s="80" t="s">
        <v>5473</v>
      </c>
      <c r="E1079" s="80" t="s">
        <v>4546</v>
      </c>
      <c r="F1079" s="95" t="s">
        <v>4556</v>
      </c>
      <c r="G1079" s="96" t="s">
        <v>692</v>
      </c>
      <c r="H1079" s="96" t="s">
        <v>692</v>
      </c>
      <c r="I1079" s="96" t="s">
        <v>692</v>
      </c>
      <c r="J1079" s="92" t="s">
        <v>692</v>
      </c>
      <c r="K1079" s="92" t="s">
        <v>692</v>
      </c>
      <c r="L1079" s="63" t="str">
        <f t="shared" si="115"/>
        <v>Infraestruturais</v>
      </c>
      <c r="M1079" s="90" t="str">
        <f t="shared" si="116"/>
        <v>Hidroviários</v>
      </c>
      <c r="N1079" s="90" t="str">
        <f t="shared" si="109"/>
        <v>Amarrações</v>
      </c>
      <c r="O1079" s="55" t="str">
        <f t="shared" si="110"/>
        <v>Cabrestante</v>
      </c>
      <c r="P1079" s="97" t="s">
        <v>4557</v>
      </c>
      <c r="Q1079" s="63" t="s">
        <v>4558</v>
      </c>
      <c r="R1079" s="55" t="s">
        <v>7042</v>
      </c>
      <c r="S1079" s="55" t="s">
        <v>692</v>
      </c>
      <c r="T1079" s="55" t="str">
        <f t="shared" si="111"/>
        <v>Infraestruturais</v>
      </c>
      <c r="U1079" s="55" t="str">
        <f t="shared" si="111"/>
        <v>Hidroviários</v>
      </c>
      <c r="V1079" s="55" t="str">
        <f t="shared" si="111"/>
        <v>Amarrações</v>
      </c>
      <c r="W1079" s="54" t="s">
        <v>7259</v>
      </c>
      <c r="X1079" s="84" t="str">
        <f t="shared" si="112"/>
        <v>Key-COD-CT-1079</v>
      </c>
      <c r="Y1079" s="84" t="s">
        <v>5459</v>
      </c>
      <c r="Z1079" s="84" t="s">
        <v>692</v>
      </c>
      <c r="AA1079" s="84" t="s">
        <v>7181</v>
      </c>
      <c r="AB1079" s="84" t="s">
        <v>692</v>
      </c>
      <c r="AC1079" s="84" t="s">
        <v>692</v>
      </c>
      <c r="AD1079" s="54" t="s">
        <v>692</v>
      </c>
    </row>
    <row r="1080" spans="1:30" ht="6.6" customHeight="1" x14ac:dyDescent="0.25">
      <c r="A1080" s="85">
        <v>1080</v>
      </c>
      <c r="B1080" s="80" t="s">
        <v>5419</v>
      </c>
      <c r="C1080" s="91" t="s">
        <v>5467</v>
      </c>
      <c r="D1080" s="80" t="s">
        <v>5473</v>
      </c>
      <c r="E1080" s="80" t="s">
        <v>4546</v>
      </c>
      <c r="F1080" s="95" t="s">
        <v>4559</v>
      </c>
      <c r="G1080" s="96" t="s">
        <v>692</v>
      </c>
      <c r="H1080" s="96" t="s">
        <v>692</v>
      </c>
      <c r="I1080" s="96" t="s">
        <v>692</v>
      </c>
      <c r="J1080" s="92" t="s">
        <v>692</v>
      </c>
      <c r="K1080" s="92" t="s">
        <v>692</v>
      </c>
      <c r="L1080" s="63" t="str">
        <f t="shared" si="115"/>
        <v>Infraestruturais</v>
      </c>
      <c r="M1080" s="90" t="str">
        <f t="shared" si="116"/>
        <v>Hidroviários</v>
      </c>
      <c r="N1080" s="90" t="str">
        <f t="shared" si="109"/>
        <v>Amarrações</v>
      </c>
      <c r="O1080" s="55" t="str">
        <f t="shared" si="110"/>
        <v>Esticador</v>
      </c>
      <c r="P1080" s="97" t="s">
        <v>4560</v>
      </c>
      <c r="Q1080" s="63" t="s">
        <v>4561</v>
      </c>
      <c r="R1080" s="55" t="s">
        <v>7043</v>
      </c>
      <c r="S1080" s="55" t="s">
        <v>692</v>
      </c>
      <c r="T1080" s="55" t="str">
        <f t="shared" si="111"/>
        <v>Infraestruturais</v>
      </c>
      <c r="U1080" s="55" t="str">
        <f t="shared" si="111"/>
        <v>Hidroviários</v>
      </c>
      <c r="V1080" s="55" t="str">
        <f t="shared" si="111"/>
        <v>Amarrações</v>
      </c>
      <c r="W1080" s="54" t="s">
        <v>7259</v>
      </c>
      <c r="X1080" s="84" t="str">
        <f t="shared" si="112"/>
        <v>Key-COD-CT-1080</v>
      </c>
      <c r="Y1080" s="84" t="s">
        <v>5459</v>
      </c>
      <c r="Z1080" s="84" t="s">
        <v>692</v>
      </c>
      <c r="AA1080" s="84" t="s">
        <v>7181</v>
      </c>
      <c r="AB1080" s="84" t="s">
        <v>692</v>
      </c>
      <c r="AC1080" s="84" t="s">
        <v>692</v>
      </c>
      <c r="AD1080" s="54" t="s">
        <v>692</v>
      </c>
    </row>
    <row r="1081" spans="1:30" ht="6.6" customHeight="1" x14ac:dyDescent="0.25">
      <c r="A1081" s="85">
        <v>1081</v>
      </c>
      <c r="B1081" s="80" t="s">
        <v>5419</v>
      </c>
      <c r="C1081" s="91" t="s">
        <v>5467</v>
      </c>
      <c r="D1081" s="80" t="s">
        <v>5473</v>
      </c>
      <c r="E1081" s="80" t="s">
        <v>4546</v>
      </c>
      <c r="F1081" s="95" t="s">
        <v>4562</v>
      </c>
      <c r="G1081" s="96" t="s">
        <v>692</v>
      </c>
      <c r="H1081" s="96" t="s">
        <v>692</v>
      </c>
      <c r="I1081" s="96" t="s">
        <v>692</v>
      </c>
      <c r="J1081" s="92" t="s">
        <v>692</v>
      </c>
      <c r="K1081" s="92" t="s">
        <v>692</v>
      </c>
      <c r="L1081" s="63" t="str">
        <f t="shared" si="115"/>
        <v>Infraestruturais</v>
      </c>
      <c r="M1081" s="90" t="str">
        <f t="shared" si="116"/>
        <v>Hidroviários</v>
      </c>
      <c r="N1081" s="90" t="str">
        <f t="shared" si="109"/>
        <v>Amarrações</v>
      </c>
      <c r="O1081" s="55" t="str">
        <f t="shared" si="110"/>
        <v>Amarra.de.Vácuo</v>
      </c>
      <c r="P1081" s="55" t="s">
        <v>4563</v>
      </c>
      <c r="Q1081" s="63" t="s">
        <v>4564</v>
      </c>
      <c r="R1081" s="55" t="s">
        <v>7044</v>
      </c>
      <c r="S1081" s="55" t="s">
        <v>692</v>
      </c>
      <c r="T1081" s="55" t="str">
        <f t="shared" si="111"/>
        <v>Infraestruturais</v>
      </c>
      <c r="U1081" s="55" t="str">
        <f t="shared" si="111"/>
        <v>Hidroviários</v>
      </c>
      <c r="V1081" s="55" t="str">
        <f t="shared" si="111"/>
        <v>Amarrações</v>
      </c>
      <c r="W1081" s="54" t="s">
        <v>7259</v>
      </c>
      <c r="X1081" s="84" t="str">
        <f t="shared" si="112"/>
        <v>Key-COD-CT-1081</v>
      </c>
      <c r="Y1081" s="84" t="s">
        <v>5459</v>
      </c>
      <c r="Z1081" s="84" t="s">
        <v>692</v>
      </c>
      <c r="AA1081" s="84" t="s">
        <v>7181</v>
      </c>
      <c r="AB1081" s="84" t="s">
        <v>692</v>
      </c>
      <c r="AC1081" s="84" t="s">
        <v>692</v>
      </c>
      <c r="AD1081" s="54" t="s">
        <v>692</v>
      </c>
    </row>
    <row r="1082" spans="1:30" ht="6.6" customHeight="1" x14ac:dyDescent="0.25">
      <c r="A1082" s="85">
        <v>1082</v>
      </c>
      <c r="B1082" s="80" t="s">
        <v>5419</v>
      </c>
      <c r="C1082" s="91" t="s">
        <v>5467</v>
      </c>
      <c r="D1082" s="80" t="s">
        <v>5473</v>
      </c>
      <c r="E1082" s="80" t="s">
        <v>4546</v>
      </c>
      <c r="F1082" s="95" t="s">
        <v>4565</v>
      </c>
      <c r="G1082" s="96" t="s">
        <v>692</v>
      </c>
      <c r="H1082" s="96" t="s">
        <v>692</v>
      </c>
      <c r="I1082" s="96" t="s">
        <v>692</v>
      </c>
      <c r="J1082" s="92" t="s">
        <v>692</v>
      </c>
      <c r="K1082" s="92" t="s">
        <v>692</v>
      </c>
      <c r="L1082" s="63" t="str">
        <f t="shared" si="115"/>
        <v>Infraestruturais</v>
      </c>
      <c r="M1082" s="90" t="str">
        <f t="shared" si="116"/>
        <v>Hidroviários</v>
      </c>
      <c r="N1082" s="90" t="str">
        <f t="shared" ref="N1082:N1136" si="117">(SUBSTITUTE(SUBSTITUTE(CONCATENATE("",E1082),"."," ")," De "," de "))</f>
        <v>Amarrações</v>
      </c>
      <c r="O1082" s="55" t="str">
        <f t="shared" ref="O1082:O1136" si="118">F1082</f>
        <v>Amarra.Magnética</v>
      </c>
      <c r="P1082" s="97" t="s">
        <v>4566</v>
      </c>
      <c r="Q1082" s="63" t="s">
        <v>4567</v>
      </c>
      <c r="R1082" s="55" t="s">
        <v>7045</v>
      </c>
      <c r="S1082" s="55" t="s">
        <v>692</v>
      </c>
      <c r="T1082" s="55" t="str">
        <f t="shared" si="111"/>
        <v>Infraestruturais</v>
      </c>
      <c r="U1082" s="55" t="str">
        <f t="shared" si="111"/>
        <v>Hidroviários</v>
      </c>
      <c r="V1082" s="55" t="str">
        <f t="shared" si="111"/>
        <v>Amarrações</v>
      </c>
      <c r="W1082" s="54" t="s">
        <v>7259</v>
      </c>
      <c r="X1082" s="84" t="str">
        <f t="shared" si="112"/>
        <v>Key-COD-CT-1082</v>
      </c>
      <c r="Y1082" s="84" t="s">
        <v>5459</v>
      </c>
      <c r="Z1082" s="84" t="s">
        <v>692</v>
      </c>
      <c r="AA1082" s="84" t="s">
        <v>7181</v>
      </c>
      <c r="AB1082" s="84" t="s">
        <v>692</v>
      </c>
      <c r="AC1082" s="84" t="s">
        <v>692</v>
      </c>
      <c r="AD1082" s="54" t="s">
        <v>692</v>
      </c>
    </row>
    <row r="1083" spans="1:30" ht="6.6" customHeight="1" x14ac:dyDescent="0.25">
      <c r="A1083" s="85">
        <v>1083</v>
      </c>
      <c r="B1083" s="80" t="s">
        <v>5419</v>
      </c>
      <c r="C1083" s="91" t="s">
        <v>5467</v>
      </c>
      <c r="D1083" s="80" t="s">
        <v>5473</v>
      </c>
      <c r="E1083" s="80" t="s">
        <v>4546</v>
      </c>
      <c r="F1083" s="95" t="s">
        <v>4568</v>
      </c>
      <c r="G1083" s="96" t="s">
        <v>692</v>
      </c>
      <c r="H1083" s="96" t="s">
        <v>692</v>
      </c>
      <c r="I1083" s="96" t="s">
        <v>692</v>
      </c>
      <c r="J1083" s="92" t="s">
        <v>692</v>
      </c>
      <c r="K1083" s="92" t="s">
        <v>692</v>
      </c>
      <c r="L1083" s="63" t="str">
        <f t="shared" si="115"/>
        <v>Infraestruturais</v>
      </c>
      <c r="M1083" s="90" t="str">
        <f t="shared" si="116"/>
        <v>Hidroviários</v>
      </c>
      <c r="N1083" s="90" t="str">
        <f t="shared" si="117"/>
        <v>Amarrações</v>
      </c>
      <c r="O1083" s="55" t="str">
        <f t="shared" si="118"/>
        <v>Ligação.SafeCom</v>
      </c>
      <c r="P1083" s="55" t="s">
        <v>4569</v>
      </c>
      <c r="Q1083" s="63" t="s">
        <v>4570</v>
      </c>
      <c r="R1083" s="55" t="s">
        <v>7046</v>
      </c>
      <c r="S1083" s="55" t="s">
        <v>692</v>
      </c>
      <c r="T1083" s="55" t="str">
        <f t="shared" si="111"/>
        <v>Infraestruturais</v>
      </c>
      <c r="U1083" s="55" t="str">
        <f t="shared" si="111"/>
        <v>Hidroviários</v>
      </c>
      <c r="V1083" s="55" t="str">
        <f t="shared" si="111"/>
        <v>Amarrações</v>
      </c>
      <c r="W1083" s="54" t="s">
        <v>7259</v>
      </c>
      <c r="X1083" s="84" t="str">
        <f t="shared" si="112"/>
        <v>Key-COD-CT-1083</v>
      </c>
      <c r="Y1083" s="84" t="s">
        <v>5459</v>
      </c>
      <c r="Z1083" s="84" t="s">
        <v>692</v>
      </c>
      <c r="AA1083" s="84" t="s">
        <v>5474</v>
      </c>
      <c r="AB1083" s="84" t="s">
        <v>692</v>
      </c>
      <c r="AC1083" s="84" t="s">
        <v>692</v>
      </c>
      <c r="AD1083" s="54" t="s">
        <v>692</v>
      </c>
    </row>
    <row r="1084" spans="1:30" ht="6.6" customHeight="1" x14ac:dyDescent="0.25">
      <c r="A1084" s="85">
        <v>1084</v>
      </c>
      <c r="B1084" s="80" t="s">
        <v>5419</v>
      </c>
      <c r="C1084" s="91" t="s">
        <v>5467</v>
      </c>
      <c r="D1084" s="80" t="s">
        <v>5473</v>
      </c>
      <c r="E1084" s="80" t="s">
        <v>4571</v>
      </c>
      <c r="F1084" s="67" t="s">
        <v>4572</v>
      </c>
      <c r="G1084" s="92" t="s">
        <v>692</v>
      </c>
      <c r="H1084" s="92" t="s">
        <v>692</v>
      </c>
      <c r="I1084" s="92" t="s">
        <v>692</v>
      </c>
      <c r="J1084" s="92" t="s">
        <v>692</v>
      </c>
      <c r="K1084" s="92" t="s">
        <v>692</v>
      </c>
      <c r="L1084" s="63" t="str">
        <f t="shared" si="115"/>
        <v>Infraestruturais</v>
      </c>
      <c r="M1084" s="90" t="str">
        <f t="shared" si="116"/>
        <v>Hidroviários</v>
      </c>
      <c r="N1084" s="90" t="str">
        <f t="shared" si="117"/>
        <v>Níveis Portuários</v>
      </c>
      <c r="O1084" s="55" t="str">
        <f t="shared" si="118"/>
        <v>Maré.Alta</v>
      </c>
      <c r="P1084" s="55" t="s">
        <v>4573</v>
      </c>
      <c r="Q1084" s="63" t="s">
        <v>4574</v>
      </c>
      <c r="R1084" s="55" t="s">
        <v>7047</v>
      </c>
      <c r="S1084" s="55" t="s">
        <v>692</v>
      </c>
      <c r="T1084" s="55" t="str">
        <f t="shared" si="111"/>
        <v>Infraestruturais</v>
      </c>
      <c r="U1084" s="55" t="str">
        <f t="shared" si="111"/>
        <v>Hidroviários</v>
      </c>
      <c r="V1084" s="55" t="str">
        <f t="shared" si="111"/>
        <v>Níveis Portuários</v>
      </c>
      <c r="W1084" s="54" t="s">
        <v>7259</v>
      </c>
      <c r="X1084" s="84" t="str">
        <f t="shared" si="112"/>
        <v>Key-COD-CT-1084</v>
      </c>
      <c r="Y1084" s="84" t="s">
        <v>5978</v>
      </c>
      <c r="Z1084" s="84" t="s">
        <v>692</v>
      </c>
      <c r="AA1084" s="84" t="s">
        <v>5474</v>
      </c>
      <c r="AB1084" s="84" t="s">
        <v>692</v>
      </c>
      <c r="AC1084" s="84" t="s">
        <v>692</v>
      </c>
      <c r="AD1084" s="54" t="s">
        <v>692</v>
      </c>
    </row>
    <row r="1085" spans="1:30" ht="6.6" customHeight="1" x14ac:dyDescent="0.25">
      <c r="A1085" s="85">
        <v>1085</v>
      </c>
      <c r="B1085" s="80" t="s">
        <v>5419</v>
      </c>
      <c r="C1085" s="91" t="s">
        <v>5467</v>
      </c>
      <c r="D1085" s="80" t="s">
        <v>5473</v>
      </c>
      <c r="E1085" s="80" t="s">
        <v>4571</v>
      </c>
      <c r="F1085" s="67" t="s">
        <v>4575</v>
      </c>
      <c r="G1085" s="92" t="s">
        <v>692</v>
      </c>
      <c r="H1085" s="92" t="s">
        <v>692</v>
      </c>
      <c r="I1085" s="92" t="s">
        <v>692</v>
      </c>
      <c r="J1085" s="92" t="s">
        <v>692</v>
      </c>
      <c r="K1085" s="92" t="s">
        <v>692</v>
      </c>
      <c r="L1085" s="63" t="str">
        <f t="shared" si="115"/>
        <v>Infraestruturais</v>
      </c>
      <c r="M1085" s="90" t="str">
        <f t="shared" si="116"/>
        <v>Hidroviários</v>
      </c>
      <c r="N1085" s="90" t="str">
        <f t="shared" si="117"/>
        <v>Níveis Portuários</v>
      </c>
      <c r="O1085" s="55" t="str">
        <f t="shared" si="118"/>
        <v>Maré.Baixa</v>
      </c>
      <c r="P1085" s="55" t="s">
        <v>4576</v>
      </c>
      <c r="Q1085" s="63" t="s">
        <v>4577</v>
      </c>
      <c r="R1085" s="55" t="s">
        <v>7048</v>
      </c>
      <c r="S1085" s="55" t="s">
        <v>692</v>
      </c>
      <c r="T1085" s="55" t="str">
        <f t="shared" ref="T1085:V1129" si="119">SUBSTITUTE(C1085, ".", " ")</f>
        <v>Infraestruturais</v>
      </c>
      <c r="U1085" s="55" t="str">
        <f t="shared" si="119"/>
        <v>Hidroviários</v>
      </c>
      <c r="V1085" s="55" t="str">
        <f t="shared" si="119"/>
        <v>Níveis Portuários</v>
      </c>
      <c r="W1085" s="54" t="s">
        <v>7259</v>
      </c>
      <c r="X1085" s="84" t="str">
        <f t="shared" si="112"/>
        <v>Key-COD-CT-1085</v>
      </c>
      <c r="Y1085" s="84" t="s">
        <v>5978</v>
      </c>
      <c r="Z1085" s="84" t="s">
        <v>692</v>
      </c>
      <c r="AA1085" s="84" t="s">
        <v>5474</v>
      </c>
      <c r="AB1085" s="84" t="s">
        <v>692</v>
      </c>
      <c r="AC1085" s="84" t="s">
        <v>692</v>
      </c>
      <c r="AD1085" s="54" t="s">
        <v>692</v>
      </c>
    </row>
    <row r="1086" spans="1:30" ht="6.6" customHeight="1" x14ac:dyDescent="0.25">
      <c r="A1086" s="85">
        <v>1086</v>
      </c>
      <c r="B1086" s="80" t="s">
        <v>5419</v>
      </c>
      <c r="C1086" s="91" t="s">
        <v>5467</v>
      </c>
      <c r="D1086" s="80" t="s">
        <v>5473</v>
      </c>
      <c r="E1086" s="80" t="s">
        <v>4571</v>
      </c>
      <c r="F1086" s="67" t="s">
        <v>4578</v>
      </c>
      <c r="G1086" s="92" t="s">
        <v>692</v>
      </c>
      <c r="H1086" s="92" t="s">
        <v>692</v>
      </c>
      <c r="I1086" s="92" t="s">
        <v>692</v>
      </c>
      <c r="J1086" s="92" t="s">
        <v>692</v>
      </c>
      <c r="K1086" s="92" t="s">
        <v>692</v>
      </c>
      <c r="L1086" s="63" t="str">
        <f t="shared" si="115"/>
        <v>Infraestruturais</v>
      </c>
      <c r="M1086" s="90" t="str">
        <f t="shared" si="116"/>
        <v>Hidroviários</v>
      </c>
      <c r="N1086" s="90" t="str">
        <f t="shared" si="117"/>
        <v>Níveis Portuários</v>
      </c>
      <c r="O1086" s="55" t="str">
        <f t="shared" si="118"/>
        <v>Flotação.Superior</v>
      </c>
      <c r="P1086" s="55" t="s">
        <v>4579</v>
      </c>
      <c r="Q1086" s="63" t="s">
        <v>4580</v>
      </c>
      <c r="R1086" s="55" t="s">
        <v>7049</v>
      </c>
      <c r="S1086" s="55" t="s">
        <v>692</v>
      </c>
      <c r="T1086" s="55" t="str">
        <f t="shared" si="119"/>
        <v>Infraestruturais</v>
      </c>
      <c r="U1086" s="55" t="str">
        <f t="shared" si="119"/>
        <v>Hidroviários</v>
      </c>
      <c r="V1086" s="55" t="str">
        <f t="shared" si="119"/>
        <v>Níveis Portuários</v>
      </c>
      <c r="W1086" s="54" t="s">
        <v>7259</v>
      </c>
      <c r="X1086" s="84" t="str">
        <f t="shared" si="112"/>
        <v>Key-COD-CT-1086</v>
      </c>
      <c r="Y1086" s="84" t="s">
        <v>5978</v>
      </c>
      <c r="Z1086" s="84" t="s">
        <v>692</v>
      </c>
      <c r="AA1086" s="84" t="s">
        <v>5474</v>
      </c>
      <c r="AB1086" s="84" t="s">
        <v>692</v>
      </c>
      <c r="AC1086" s="84" t="s">
        <v>692</v>
      </c>
      <c r="AD1086" s="54" t="s">
        <v>692</v>
      </c>
    </row>
    <row r="1087" spans="1:30" ht="6.6" customHeight="1" x14ac:dyDescent="0.25">
      <c r="A1087" s="85">
        <v>1087</v>
      </c>
      <c r="B1087" s="80" t="s">
        <v>5419</v>
      </c>
      <c r="C1087" s="91" t="s">
        <v>5467</v>
      </c>
      <c r="D1087" s="80" t="s">
        <v>5473</v>
      </c>
      <c r="E1087" s="80" t="s">
        <v>4571</v>
      </c>
      <c r="F1087" s="67" t="s">
        <v>4581</v>
      </c>
      <c r="G1087" s="92" t="s">
        <v>692</v>
      </c>
      <c r="H1087" s="92" t="s">
        <v>692</v>
      </c>
      <c r="I1087" s="92" t="s">
        <v>692</v>
      </c>
      <c r="J1087" s="92" t="s">
        <v>692</v>
      </c>
      <c r="K1087" s="92" t="s">
        <v>692</v>
      </c>
      <c r="L1087" s="63" t="str">
        <f t="shared" si="115"/>
        <v>Infraestruturais</v>
      </c>
      <c r="M1087" s="90" t="str">
        <f t="shared" si="116"/>
        <v>Hidroviários</v>
      </c>
      <c r="N1087" s="90" t="str">
        <f t="shared" si="117"/>
        <v>Níveis Portuários</v>
      </c>
      <c r="O1087" s="55" t="str">
        <f t="shared" si="118"/>
        <v>Flotação.Inferior</v>
      </c>
      <c r="P1087" s="55" t="s">
        <v>4582</v>
      </c>
      <c r="Q1087" s="63" t="s">
        <v>4583</v>
      </c>
      <c r="R1087" s="55" t="s">
        <v>7050</v>
      </c>
      <c r="S1087" s="55" t="s">
        <v>692</v>
      </c>
      <c r="T1087" s="55" t="str">
        <f t="shared" si="119"/>
        <v>Infraestruturais</v>
      </c>
      <c r="U1087" s="55" t="str">
        <f t="shared" si="119"/>
        <v>Hidroviários</v>
      </c>
      <c r="V1087" s="55" t="str">
        <f t="shared" si="119"/>
        <v>Níveis Portuários</v>
      </c>
      <c r="W1087" s="54" t="s">
        <v>7259</v>
      </c>
      <c r="X1087" s="84" t="str">
        <f t="shared" si="112"/>
        <v>Key-COD-CT-1087</v>
      </c>
      <c r="Y1087" s="84" t="s">
        <v>5978</v>
      </c>
      <c r="Z1087" s="84" t="s">
        <v>692</v>
      </c>
      <c r="AA1087" s="84" t="s">
        <v>5474</v>
      </c>
      <c r="AB1087" s="84" t="s">
        <v>692</v>
      </c>
      <c r="AC1087" s="84" t="s">
        <v>692</v>
      </c>
      <c r="AD1087" s="54" t="s">
        <v>692</v>
      </c>
    </row>
    <row r="1088" spans="1:30" ht="6.6" customHeight="1" x14ac:dyDescent="0.25">
      <c r="A1088" s="85">
        <v>1088</v>
      </c>
      <c r="B1088" s="80" t="s">
        <v>5419</v>
      </c>
      <c r="C1088" s="91" t="s">
        <v>5467</v>
      </c>
      <c r="D1088" s="80" t="s">
        <v>5473</v>
      </c>
      <c r="E1088" s="80" t="s">
        <v>4571</v>
      </c>
      <c r="F1088" s="67" t="s">
        <v>4584</v>
      </c>
      <c r="G1088" s="92" t="s">
        <v>692</v>
      </c>
      <c r="H1088" s="92" t="s">
        <v>692</v>
      </c>
      <c r="I1088" s="92" t="s">
        <v>692</v>
      </c>
      <c r="J1088" s="92" t="s">
        <v>692</v>
      </c>
      <c r="K1088" s="92" t="s">
        <v>692</v>
      </c>
      <c r="L1088" s="63" t="str">
        <f t="shared" si="115"/>
        <v>Infraestruturais</v>
      </c>
      <c r="M1088" s="90" t="str">
        <f t="shared" si="116"/>
        <v>Hidroviários</v>
      </c>
      <c r="N1088" s="90" t="str">
        <f t="shared" si="117"/>
        <v>Níveis Portuários</v>
      </c>
      <c r="O1088" s="55" t="str">
        <f t="shared" si="118"/>
        <v>Nível.Operacional</v>
      </c>
      <c r="P1088" s="55" t="s">
        <v>4585</v>
      </c>
      <c r="Q1088" s="63" t="s">
        <v>4586</v>
      </c>
      <c r="R1088" s="55" t="s">
        <v>7051</v>
      </c>
      <c r="S1088" s="55" t="s">
        <v>692</v>
      </c>
      <c r="T1088" s="55" t="str">
        <f t="shared" si="119"/>
        <v>Infraestruturais</v>
      </c>
      <c r="U1088" s="55" t="str">
        <f t="shared" si="119"/>
        <v>Hidroviários</v>
      </c>
      <c r="V1088" s="55" t="str">
        <f t="shared" si="119"/>
        <v>Níveis Portuários</v>
      </c>
      <c r="W1088" s="54" t="s">
        <v>7259</v>
      </c>
      <c r="X1088" s="84" t="str">
        <f t="shared" si="112"/>
        <v>Key-COD-CT-1088</v>
      </c>
      <c r="Y1088" s="84" t="s">
        <v>5978</v>
      </c>
      <c r="Z1088" s="84" t="s">
        <v>692</v>
      </c>
      <c r="AA1088" s="84" t="s">
        <v>5474</v>
      </c>
      <c r="AB1088" s="84" t="s">
        <v>692</v>
      </c>
      <c r="AC1088" s="84" t="s">
        <v>692</v>
      </c>
      <c r="AD1088" s="54" t="s">
        <v>692</v>
      </c>
    </row>
    <row r="1089" spans="1:30" ht="6.6" customHeight="1" x14ac:dyDescent="0.25">
      <c r="A1089" s="85">
        <v>1089</v>
      </c>
      <c r="B1089" s="80" t="s">
        <v>5419</v>
      </c>
      <c r="C1089" s="91" t="s">
        <v>5467</v>
      </c>
      <c r="D1089" s="80" t="s">
        <v>5473</v>
      </c>
      <c r="E1089" s="80" t="s">
        <v>4571</v>
      </c>
      <c r="F1089" s="67" t="s">
        <v>4587</v>
      </c>
      <c r="G1089" s="92" t="s">
        <v>692</v>
      </c>
      <c r="H1089" s="92" t="s">
        <v>692</v>
      </c>
      <c r="I1089" s="92" t="s">
        <v>692</v>
      </c>
      <c r="J1089" s="92" t="s">
        <v>692</v>
      </c>
      <c r="K1089" s="92" t="s">
        <v>692</v>
      </c>
      <c r="L1089" s="63" t="str">
        <f t="shared" si="115"/>
        <v>Infraestruturais</v>
      </c>
      <c r="M1089" s="90" t="str">
        <f t="shared" si="116"/>
        <v>Hidroviários</v>
      </c>
      <c r="N1089" s="90" t="str">
        <f t="shared" si="117"/>
        <v>Níveis Portuários</v>
      </c>
      <c r="O1089" s="55" t="str">
        <f t="shared" si="118"/>
        <v>Nível.de.Piso</v>
      </c>
      <c r="P1089" s="55" t="s">
        <v>4588</v>
      </c>
      <c r="Q1089" s="63" t="s">
        <v>4589</v>
      </c>
      <c r="R1089" s="55" t="s">
        <v>7052</v>
      </c>
      <c r="S1089" s="55" t="s">
        <v>692</v>
      </c>
      <c r="T1089" s="55" t="str">
        <f t="shared" si="119"/>
        <v>Infraestruturais</v>
      </c>
      <c r="U1089" s="55" t="str">
        <f t="shared" si="119"/>
        <v>Hidroviários</v>
      </c>
      <c r="V1089" s="55" t="str">
        <f t="shared" si="119"/>
        <v>Níveis Portuários</v>
      </c>
      <c r="W1089" s="54" t="s">
        <v>7259</v>
      </c>
      <c r="X1089" s="84" t="str">
        <f t="shared" si="112"/>
        <v>Key-COD-CT-1089</v>
      </c>
      <c r="Y1089" s="84" t="s">
        <v>5978</v>
      </c>
      <c r="Z1089" s="84" t="s">
        <v>692</v>
      </c>
      <c r="AA1089" s="84" t="s">
        <v>5474</v>
      </c>
      <c r="AB1089" s="84" t="s">
        <v>692</v>
      </c>
      <c r="AC1089" s="84" t="s">
        <v>692</v>
      </c>
      <c r="AD1089" s="54" t="s">
        <v>692</v>
      </c>
    </row>
    <row r="1090" spans="1:30" ht="6.6" customHeight="1" x14ac:dyDescent="0.25">
      <c r="A1090" s="85">
        <v>1090</v>
      </c>
      <c r="B1090" s="80" t="s">
        <v>5419</v>
      </c>
      <c r="C1090" s="91" t="s">
        <v>5467</v>
      </c>
      <c r="D1090" s="80" t="s">
        <v>5473</v>
      </c>
      <c r="E1090" s="80" t="s">
        <v>4571</v>
      </c>
      <c r="F1090" s="67" t="s">
        <v>4590</v>
      </c>
      <c r="G1090" s="92" t="s">
        <v>692</v>
      </c>
      <c r="H1090" s="92" t="s">
        <v>692</v>
      </c>
      <c r="I1090" s="92" t="s">
        <v>692</v>
      </c>
      <c r="J1090" s="92" t="s">
        <v>692</v>
      </c>
      <c r="K1090" s="92" t="s">
        <v>692</v>
      </c>
      <c r="L1090" s="63" t="str">
        <f t="shared" si="115"/>
        <v>Infraestruturais</v>
      </c>
      <c r="M1090" s="90" t="str">
        <f t="shared" si="116"/>
        <v>Hidroviários</v>
      </c>
      <c r="N1090" s="90" t="str">
        <f t="shared" si="117"/>
        <v>Níveis Portuários</v>
      </c>
      <c r="O1090" s="55" t="str">
        <f t="shared" si="118"/>
        <v>Nível.Hidrográfico</v>
      </c>
      <c r="P1090" s="55" t="s">
        <v>4591</v>
      </c>
      <c r="Q1090" s="55" t="s">
        <v>4592</v>
      </c>
      <c r="R1090" s="55" t="s">
        <v>7053</v>
      </c>
      <c r="S1090" s="55" t="s">
        <v>692</v>
      </c>
      <c r="T1090" s="55" t="str">
        <f t="shared" si="119"/>
        <v>Infraestruturais</v>
      </c>
      <c r="U1090" s="55" t="str">
        <f t="shared" si="119"/>
        <v>Hidroviários</v>
      </c>
      <c r="V1090" s="55" t="str">
        <f t="shared" si="119"/>
        <v>Níveis Portuários</v>
      </c>
      <c r="W1090" s="54" t="s">
        <v>7259</v>
      </c>
      <c r="X1090" s="84" t="str">
        <f t="shared" si="112"/>
        <v>Key-COD-CT-1090</v>
      </c>
      <c r="Y1090" s="84" t="s">
        <v>5978</v>
      </c>
      <c r="Z1090" s="84" t="s">
        <v>692</v>
      </c>
      <c r="AA1090" s="84" t="s">
        <v>5456</v>
      </c>
      <c r="AB1090" s="84" t="s">
        <v>692</v>
      </c>
      <c r="AC1090" s="84" t="s">
        <v>692</v>
      </c>
      <c r="AD1090" s="54" t="s">
        <v>692</v>
      </c>
    </row>
    <row r="1091" spans="1:30" ht="6.6" customHeight="1" x14ac:dyDescent="0.25">
      <c r="A1091" s="85">
        <v>1091</v>
      </c>
      <c r="B1091" s="80" t="s">
        <v>5419</v>
      </c>
      <c r="C1091" s="91" t="s">
        <v>5467</v>
      </c>
      <c r="D1091" s="80" t="s">
        <v>5473</v>
      </c>
      <c r="E1091" s="80" t="s">
        <v>4593</v>
      </c>
      <c r="F1091" s="89" t="s">
        <v>4594</v>
      </c>
      <c r="G1091" s="92" t="s">
        <v>692</v>
      </c>
      <c r="H1091" s="92" t="s">
        <v>692</v>
      </c>
      <c r="I1091" s="92" t="s">
        <v>692</v>
      </c>
      <c r="J1091" s="92" t="s">
        <v>692</v>
      </c>
      <c r="K1091" s="92" t="s">
        <v>692</v>
      </c>
      <c r="L1091" s="63" t="str">
        <f t="shared" si="115"/>
        <v>Infraestruturais</v>
      </c>
      <c r="M1091" s="90" t="str">
        <f t="shared" si="116"/>
        <v>Hidroviários</v>
      </c>
      <c r="N1091" s="90" t="str">
        <f t="shared" si="117"/>
        <v>Portos</v>
      </c>
      <c r="O1091" s="55" t="str">
        <f t="shared" si="118"/>
        <v>Porto.de.Aguas.Profundas</v>
      </c>
      <c r="P1091" s="55" t="s">
        <v>4595</v>
      </c>
      <c r="Q1091" s="63" t="s">
        <v>4596</v>
      </c>
      <c r="R1091" s="55" t="s">
        <v>7054</v>
      </c>
      <c r="S1091" s="55" t="s">
        <v>692</v>
      </c>
      <c r="T1091" s="55" t="str">
        <f t="shared" si="119"/>
        <v>Infraestruturais</v>
      </c>
      <c r="U1091" s="55" t="str">
        <f t="shared" si="119"/>
        <v>Hidroviários</v>
      </c>
      <c r="V1091" s="55" t="str">
        <f t="shared" si="119"/>
        <v>Portos</v>
      </c>
      <c r="W1091" s="54" t="s">
        <v>7259</v>
      </c>
      <c r="X1091" s="84" t="str">
        <f t="shared" ref="X1091:X1154" si="120">CONCATENATE("Key-COD-CT-",A1091)</f>
        <v>Key-COD-CT-1091</v>
      </c>
      <c r="Y1091" s="84" t="s">
        <v>7212</v>
      </c>
      <c r="Z1091" s="84" t="s">
        <v>692</v>
      </c>
      <c r="AA1091" s="84" t="s">
        <v>5456</v>
      </c>
      <c r="AB1091" s="84" t="s">
        <v>692</v>
      </c>
      <c r="AC1091" s="84" t="s">
        <v>692</v>
      </c>
      <c r="AD1091" s="54" t="s">
        <v>692</v>
      </c>
    </row>
    <row r="1092" spans="1:30" ht="6.6" customHeight="1" x14ac:dyDescent="0.25">
      <c r="A1092" s="85">
        <v>1092</v>
      </c>
      <c r="B1092" s="80" t="s">
        <v>5419</v>
      </c>
      <c r="C1092" s="91" t="s">
        <v>5467</v>
      </c>
      <c r="D1092" s="80" t="s">
        <v>5473</v>
      </c>
      <c r="E1092" s="80" t="s">
        <v>4593</v>
      </c>
      <c r="F1092" s="89" t="s">
        <v>4597</v>
      </c>
      <c r="G1092" s="92" t="s">
        <v>692</v>
      </c>
      <c r="H1092" s="92" t="s">
        <v>692</v>
      </c>
      <c r="I1092" s="92" t="s">
        <v>692</v>
      </c>
      <c r="J1092" s="92" t="s">
        <v>692</v>
      </c>
      <c r="K1092" s="92" t="s">
        <v>692</v>
      </c>
      <c r="L1092" s="63" t="str">
        <f t="shared" si="115"/>
        <v>Infraestruturais</v>
      </c>
      <c r="M1092" s="90" t="str">
        <f t="shared" si="116"/>
        <v>Hidroviários</v>
      </c>
      <c r="N1092" s="90" t="str">
        <f t="shared" si="117"/>
        <v>Portos</v>
      </c>
      <c r="O1092" s="55" t="str">
        <f t="shared" si="118"/>
        <v>Porto.Marítimo</v>
      </c>
      <c r="P1092" s="55" t="s">
        <v>4598</v>
      </c>
      <c r="Q1092" s="63" t="s">
        <v>4596</v>
      </c>
      <c r="R1092" s="55" t="s">
        <v>7055</v>
      </c>
      <c r="S1092" s="55" t="s">
        <v>692</v>
      </c>
      <c r="T1092" s="55" t="str">
        <f t="shared" si="119"/>
        <v>Infraestruturais</v>
      </c>
      <c r="U1092" s="55" t="str">
        <f t="shared" si="119"/>
        <v>Hidroviários</v>
      </c>
      <c r="V1092" s="55" t="str">
        <f t="shared" si="119"/>
        <v>Portos</v>
      </c>
      <c r="W1092" s="54" t="s">
        <v>7259</v>
      </c>
      <c r="X1092" s="84" t="str">
        <f t="shared" si="120"/>
        <v>Key-COD-CT-1092</v>
      </c>
      <c r="Y1092" s="84" t="s">
        <v>7212</v>
      </c>
      <c r="Z1092" s="84" t="s">
        <v>692</v>
      </c>
      <c r="AA1092" s="84" t="s">
        <v>5456</v>
      </c>
      <c r="AB1092" s="84" t="s">
        <v>692</v>
      </c>
      <c r="AC1092" s="84" t="s">
        <v>692</v>
      </c>
      <c r="AD1092" s="54" t="s">
        <v>692</v>
      </c>
    </row>
    <row r="1093" spans="1:30" ht="6.6" customHeight="1" x14ac:dyDescent="0.25">
      <c r="A1093" s="85">
        <v>1093</v>
      </c>
      <c r="B1093" s="80" t="s">
        <v>5419</v>
      </c>
      <c r="C1093" s="91" t="s">
        <v>5467</v>
      </c>
      <c r="D1093" s="80" t="s">
        <v>5473</v>
      </c>
      <c r="E1093" s="80" t="s">
        <v>4593</v>
      </c>
      <c r="F1093" s="89" t="s">
        <v>4599</v>
      </c>
      <c r="G1093" s="92" t="s">
        <v>692</v>
      </c>
      <c r="H1093" s="92" t="s">
        <v>692</v>
      </c>
      <c r="I1093" s="92" t="s">
        <v>692</v>
      </c>
      <c r="J1093" s="92" t="s">
        <v>692</v>
      </c>
      <c r="K1093" s="92" t="s">
        <v>692</v>
      </c>
      <c r="L1093" s="63" t="str">
        <f t="shared" si="115"/>
        <v>Infraestruturais</v>
      </c>
      <c r="M1093" s="90" t="str">
        <f t="shared" si="116"/>
        <v>Hidroviários</v>
      </c>
      <c r="N1093" s="90" t="str">
        <f t="shared" si="117"/>
        <v>Portos</v>
      </c>
      <c r="O1093" s="55" t="str">
        <f t="shared" si="118"/>
        <v>Base.Naval</v>
      </c>
      <c r="P1093" s="55" t="s">
        <v>4598</v>
      </c>
      <c r="Q1093" s="63" t="s">
        <v>4600</v>
      </c>
      <c r="R1093" s="55" t="s">
        <v>7055</v>
      </c>
      <c r="S1093" s="55" t="s">
        <v>692</v>
      </c>
      <c r="T1093" s="55" t="str">
        <f t="shared" si="119"/>
        <v>Infraestruturais</v>
      </c>
      <c r="U1093" s="55" t="str">
        <f t="shared" si="119"/>
        <v>Hidroviários</v>
      </c>
      <c r="V1093" s="55" t="str">
        <f t="shared" si="119"/>
        <v>Portos</v>
      </c>
      <c r="W1093" s="54" t="s">
        <v>7259</v>
      </c>
      <c r="X1093" s="84" t="str">
        <f t="shared" si="120"/>
        <v>Key-COD-CT-1093</v>
      </c>
      <c r="Y1093" s="84" t="s">
        <v>7212</v>
      </c>
      <c r="Z1093" s="84" t="s">
        <v>692</v>
      </c>
      <c r="AA1093" s="84" t="s">
        <v>5456</v>
      </c>
      <c r="AB1093" s="84" t="s">
        <v>692</v>
      </c>
      <c r="AC1093" s="84" t="s">
        <v>692</v>
      </c>
      <c r="AD1093" s="54" t="s">
        <v>692</v>
      </c>
    </row>
    <row r="1094" spans="1:30" ht="6.6" customHeight="1" x14ac:dyDescent="0.25">
      <c r="A1094" s="85">
        <v>1094</v>
      </c>
      <c r="B1094" s="80" t="s">
        <v>5419</v>
      </c>
      <c r="C1094" s="91" t="s">
        <v>5467</v>
      </c>
      <c r="D1094" s="80" t="s">
        <v>5473</v>
      </c>
      <c r="E1094" s="80" t="s">
        <v>4593</v>
      </c>
      <c r="F1094" s="89" t="s">
        <v>4601</v>
      </c>
      <c r="G1094" s="92" t="s">
        <v>692</v>
      </c>
      <c r="H1094" s="92" t="s">
        <v>692</v>
      </c>
      <c r="I1094" s="92" t="s">
        <v>692</v>
      </c>
      <c r="J1094" s="92" t="s">
        <v>692</v>
      </c>
      <c r="K1094" s="92" t="s">
        <v>692</v>
      </c>
      <c r="L1094" s="63" t="str">
        <f t="shared" si="115"/>
        <v>Infraestruturais</v>
      </c>
      <c r="M1094" s="90" t="str">
        <f t="shared" si="116"/>
        <v>Hidroviários</v>
      </c>
      <c r="N1094" s="90" t="str">
        <f t="shared" si="117"/>
        <v>Portos</v>
      </c>
      <c r="O1094" s="55" t="str">
        <f t="shared" si="118"/>
        <v>Porto.Fluvial</v>
      </c>
      <c r="P1094" s="55" t="s">
        <v>4602</v>
      </c>
      <c r="Q1094" s="63" t="s">
        <v>4603</v>
      </c>
      <c r="R1094" s="55" t="s">
        <v>7056</v>
      </c>
      <c r="S1094" s="55" t="s">
        <v>692</v>
      </c>
      <c r="T1094" s="55" t="str">
        <f t="shared" si="119"/>
        <v>Infraestruturais</v>
      </c>
      <c r="U1094" s="55" t="str">
        <f t="shared" si="119"/>
        <v>Hidroviários</v>
      </c>
      <c r="V1094" s="55" t="str">
        <f t="shared" si="119"/>
        <v>Portos</v>
      </c>
      <c r="W1094" s="54" t="s">
        <v>7259</v>
      </c>
      <c r="X1094" s="84" t="str">
        <f t="shared" si="120"/>
        <v>Key-COD-CT-1094</v>
      </c>
      <c r="Y1094" s="84" t="s">
        <v>7212</v>
      </c>
      <c r="Z1094" s="84" t="s">
        <v>692</v>
      </c>
      <c r="AA1094" s="84" t="s">
        <v>7181</v>
      </c>
      <c r="AB1094" s="84" t="s">
        <v>692</v>
      </c>
      <c r="AC1094" s="84" t="s">
        <v>692</v>
      </c>
      <c r="AD1094" s="54" t="s">
        <v>692</v>
      </c>
    </row>
    <row r="1095" spans="1:30" ht="6.6" customHeight="1" x14ac:dyDescent="0.25">
      <c r="A1095" s="85">
        <v>1095</v>
      </c>
      <c r="B1095" s="80" t="s">
        <v>5419</v>
      </c>
      <c r="C1095" s="91" t="s">
        <v>5467</v>
      </c>
      <c r="D1095" s="80" t="s">
        <v>5473</v>
      </c>
      <c r="E1095" s="80" t="s">
        <v>4604</v>
      </c>
      <c r="F1095" s="89" t="s">
        <v>4605</v>
      </c>
      <c r="G1095" s="92" t="s">
        <v>692</v>
      </c>
      <c r="H1095" s="92" t="s">
        <v>692</v>
      </c>
      <c r="I1095" s="92" t="s">
        <v>692</v>
      </c>
      <c r="J1095" s="92" t="s">
        <v>692</v>
      </c>
      <c r="K1095" s="92" t="s">
        <v>692</v>
      </c>
      <c r="L1095" s="63" t="str">
        <f t="shared" si="115"/>
        <v>Infraestruturais</v>
      </c>
      <c r="M1095" s="90" t="str">
        <f t="shared" si="116"/>
        <v>Hidroviários</v>
      </c>
      <c r="N1095" s="90" t="str">
        <f t="shared" si="117"/>
        <v>Portos Defesas</v>
      </c>
      <c r="O1095" s="55" t="str">
        <f t="shared" si="118"/>
        <v>Quebra.Ondas</v>
      </c>
      <c r="P1095" s="55" t="s">
        <v>4606</v>
      </c>
      <c r="Q1095" s="63" t="s">
        <v>4607</v>
      </c>
      <c r="R1095" s="55" t="s">
        <v>7057</v>
      </c>
      <c r="S1095" s="55" t="s">
        <v>692</v>
      </c>
      <c r="T1095" s="55" t="str">
        <f t="shared" si="119"/>
        <v>Infraestruturais</v>
      </c>
      <c r="U1095" s="55" t="str">
        <f t="shared" si="119"/>
        <v>Hidroviários</v>
      </c>
      <c r="V1095" s="55" t="str">
        <f t="shared" si="119"/>
        <v>Portos Defesas</v>
      </c>
      <c r="W1095" s="54" t="s">
        <v>7259</v>
      </c>
      <c r="X1095" s="84" t="str">
        <f t="shared" si="120"/>
        <v>Key-COD-CT-1095</v>
      </c>
      <c r="Y1095" s="84" t="s">
        <v>5459</v>
      </c>
      <c r="Z1095" s="84" t="s">
        <v>692</v>
      </c>
      <c r="AA1095" s="84" t="s">
        <v>7181</v>
      </c>
      <c r="AB1095" s="84" t="s">
        <v>692</v>
      </c>
      <c r="AC1095" s="84" t="s">
        <v>692</v>
      </c>
      <c r="AD1095" s="54" t="s">
        <v>692</v>
      </c>
    </row>
    <row r="1096" spans="1:30" ht="6.6" customHeight="1" x14ac:dyDescent="0.25">
      <c r="A1096" s="85">
        <v>1096</v>
      </c>
      <c r="B1096" s="80" t="s">
        <v>5419</v>
      </c>
      <c r="C1096" s="91" t="s">
        <v>5467</v>
      </c>
      <c r="D1096" s="80" t="s">
        <v>5473</v>
      </c>
      <c r="E1096" s="80" t="s">
        <v>4604</v>
      </c>
      <c r="F1096" s="89" t="s">
        <v>4608</v>
      </c>
      <c r="G1096" s="92" t="s">
        <v>692</v>
      </c>
      <c r="H1096" s="92" t="s">
        <v>692</v>
      </c>
      <c r="I1096" s="92" t="s">
        <v>692</v>
      </c>
      <c r="J1096" s="92" t="s">
        <v>692</v>
      </c>
      <c r="K1096" s="92" t="s">
        <v>692</v>
      </c>
      <c r="L1096" s="63" t="str">
        <f t="shared" si="115"/>
        <v>Infraestruturais</v>
      </c>
      <c r="M1096" s="90" t="str">
        <f t="shared" si="116"/>
        <v>Hidroviários</v>
      </c>
      <c r="N1096" s="90" t="str">
        <f t="shared" si="117"/>
        <v>Portos Defesas</v>
      </c>
      <c r="O1096" s="55" t="str">
        <f t="shared" si="118"/>
        <v>Quebra.Mar</v>
      </c>
      <c r="P1096" s="55" t="s">
        <v>4609</v>
      </c>
      <c r="Q1096" s="63" t="s">
        <v>4610</v>
      </c>
      <c r="R1096" s="55" t="s">
        <v>7058</v>
      </c>
      <c r="S1096" s="55" t="s">
        <v>692</v>
      </c>
      <c r="T1096" s="55" t="str">
        <f t="shared" si="119"/>
        <v>Infraestruturais</v>
      </c>
      <c r="U1096" s="55" t="str">
        <f t="shared" si="119"/>
        <v>Hidroviários</v>
      </c>
      <c r="V1096" s="55" t="str">
        <f t="shared" si="119"/>
        <v>Portos Defesas</v>
      </c>
      <c r="W1096" s="54" t="s">
        <v>7259</v>
      </c>
      <c r="X1096" s="84" t="str">
        <f t="shared" si="120"/>
        <v>Key-COD-CT-1096</v>
      </c>
      <c r="Y1096" s="84" t="s">
        <v>5459</v>
      </c>
      <c r="Z1096" s="84" t="s">
        <v>692</v>
      </c>
      <c r="AA1096" s="84" t="s">
        <v>7181</v>
      </c>
      <c r="AB1096" s="84" t="s">
        <v>692</v>
      </c>
      <c r="AC1096" s="84" t="s">
        <v>692</v>
      </c>
      <c r="AD1096" s="54" t="s">
        <v>692</v>
      </c>
    </row>
    <row r="1097" spans="1:30" ht="6.6" customHeight="1" x14ac:dyDescent="0.25">
      <c r="A1097" s="85">
        <v>1097</v>
      </c>
      <c r="B1097" s="80" t="s">
        <v>5419</v>
      </c>
      <c r="C1097" s="91" t="s">
        <v>5467</v>
      </c>
      <c r="D1097" s="80" t="s">
        <v>5473</v>
      </c>
      <c r="E1097" s="80" t="s">
        <v>4604</v>
      </c>
      <c r="F1097" s="89" t="s">
        <v>4611</v>
      </c>
      <c r="G1097" s="92" t="s">
        <v>692</v>
      </c>
      <c r="H1097" s="92" t="s">
        <v>692</v>
      </c>
      <c r="I1097" s="92" t="s">
        <v>692</v>
      </c>
      <c r="J1097" s="92" t="s">
        <v>692</v>
      </c>
      <c r="K1097" s="92" t="s">
        <v>692</v>
      </c>
      <c r="L1097" s="63" t="str">
        <f t="shared" si="115"/>
        <v>Infraestruturais</v>
      </c>
      <c r="M1097" s="90" t="str">
        <f t="shared" si="116"/>
        <v>Hidroviários</v>
      </c>
      <c r="N1097" s="90" t="str">
        <f t="shared" si="117"/>
        <v>Portos Defesas</v>
      </c>
      <c r="O1097" s="55" t="str">
        <f t="shared" si="118"/>
        <v>Costa.Defesa</v>
      </c>
      <c r="P1097" s="55" t="s">
        <v>4612</v>
      </c>
      <c r="Q1097" s="55" t="s">
        <v>4613</v>
      </c>
      <c r="R1097" s="55" t="s">
        <v>7059</v>
      </c>
      <c r="S1097" s="55" t="s">
        <v>692</v>
      </c>
      <c r="T1097" s="55" t="str">
        <f t="shared" si="119"/>
        <v>Infraestruturais</v>
      </c>
      <c r="U1097" s="55" t="str">
        <f t="shared" si="119"/>
        <v>Hidroviários</v>
      </c>
      <c r="V1097" s="55" t="str">
        <f t="shared" si="119"/>
        <v>Portos Defesas</v>
      </c>
      <c r="W1097" s="54" t="s">
        <v>7259</v>
      </c>
      <c r="X1097" s="84" t="str">
        <f t="shared" si="120"/>
        <v>Key-COD-CT-1097</v>
      </c>
      <c r="Y1097" s="84" t="s">
        <v>5459</v>
      </c>
      <c r="Z1097" s="84" t="s">
        <v>692</v>
      </c>
      <c r="AA1097" s="84" t="s">
        <v>7181</v>
      </c>
      <c r="AB1097" s="84" t="s">
        <v>692</v>
      </c>
      <c r="AC1097" s="84" t="s">
        <v>692</v>
      </c>
      <c r="AD1097" s="54" t="s">
        <v>692</v>
      </c>
    </row>
    <row r="1098" spans="1:30" ht="6.6" customHeight="1" x14ac:dyDescent="0.25">
      <c r="A1098" s="85">
        <v>1098</v>
      </c>
      <c r="B1098" s="80" t="s">
        <v>5419</v>
      </c>
      <c r="C1098" s="91" t="s">
        <v>5467</v>
      </c>
      <c r="D1098" s="80" t="s">
        <v>5473</v>
      </c>
      <c r="E1098" s="80" t="s">
        <v>4604</v>
      </c>
      <c r="F1098" s="89" t="s">
        <v>4614</v>
      </c>
      <c r="G1098" s="92" t="s">
        <v>692</v>
      </c>
      <c r="H1098" s="92" t="s">
        <v>692</v>
      </c>
      <c r="I1098" s="92" t="s">
        <v>692</v>
      </c>
      <c r="J1098" s="92" t="s">
        <v>692</v>
      </c>
      <c r="K1098" s="92" t="s">
        <v>692</v>
      </c>
      <c r="L1098" s="63" t="str">
        <f t="shared" si="115"/>
        <v>Infraestruturais</v>
      </c>
      <c r="M1098" s="90" t="str">
        <f t="shared" si="116"/>
        <v>Hidroviários</v>
      </c>
      <c r="N1098" s="90" t="str">
        <f t="shared" si="117"/>
        <v>Portos Defesas</v>
      </c>
      <c r="O1098" s="55" t="str">
        <f t="shared" si="118"/>
        <v>Costa.Contenção</v>
      </c>
      <c r="P1098" s="55" t="s">
        <v>4615</v>
      </c>
      <c r="Q1098" s="63" t="s">
        <v>4616</v>
      </c>
      <c r="R1098" s="55" t="s">
        <v>7060</v>
      </c>
      <c r="S1098" s="55" t="s">
        <v>692</v>
      </c>
      <c r="T1098" s="55" t="str">
        <f t="shared" si="119"/>
        <v>Infraestruturais</v>
      </c>
      <c r="U1098" s="55" t="str">
        <f t="shared" si="119"/>
        <v>Hidroviários</v>
      </c>
      <c r="V1098" s="55" t="str">
        <f t="shared" si="119"/>
        <v>Portos Defesas</v>
      </c>
      <c r="W1098" s="54" t="s">
        <v>7259</v>
      </c>
      <c r="X1098" s="84" t="str">
        <f t="shared" si="120"/>
        <v>Key-COD-CT-1098</v>
      </c>
      <c r="Y1098" s="84" t="s">
        <v>5459</v>
      </c>
      <c r="Z1098" s="84" t="s">
        <v>692</v>
      </c>
      <c r="AA1098" s="84" t="s">
        <v>7181</v>
      </c>
      <c r="AB1098" s="84" t="s">
        <v>692</v>
      </c>
      <c r="AC1098" s="84" t="s">
        <v>692</v>
      </c>
      <c r="AD1098" s="54" t="s">
        <v>692</v>
      </c>
    </row>
    <row r="1099" spans="1:30" ht="6.6" customHeight="1" x14ac:dyDescent="0.25">
      <c r="A1099" s="85">
        <v>1099</v>
      </c>
      <c r="B1099" s="80" t="s">
        <v>5419</v>
      </c>
      <c r="C1099" s="91" t="s">
        <v>5467</v>
      </c>
      <c r="D1099" s="80" t="s">
        <v>5473</v>
      </c>
      <c r="E1099" s="80" t="s">
        <v>4617</v>
      </c>
      <c r="F1099" s="89" t="s">
        <v>4618</v>
      </c>
      <c r="G1099" s="92" t="s">
        <v>692</v>
      </c>
      <c r="H1099" s="92" t="s">
        <v>692</v>
      </c>
      <c r="I1099" s="92" t="s">
        <v>692</v>
      </c>
      <c r="J1099" s="92" t="s">
        <v>692</v>
      </c>
      <c r="K1099" s="92" t="s">
        <v>692</v>
      </c>
      <c r="L1099" s="63" t="str">
        <f t="shared" si="115"/>
        <v>Infraestruturais</v>
      </c>
      <c r="M1099" s="90" t="str">
        <f t="shared" si="116"/>
        <v>Hidroviários</v>
      </c>
      <c r="N1099" s="90" t="str">
        <f t="shared" si="117"/>
        <v>Portos Docas</v>
      </c>
      <c r="O1099" s="55" t="str">
        <f t="shared" si="118"/>
        <v>Dique.Seco</v>
      </c>
      <c r="P1099" s="55" t="s">
        <v>4619</v>
      </c>
      <c r="Q1099" s="63" t="s">
        <v>4620</v>
      </c>
      <c r="R1099" s="55" t="s">
        <v>7061</v>
      </c>
      <c r="S1099" s="55" t="s">
        <v>692</v>
      </c>
      <c r="T1099" s="55" t="str">
        <f t="shared" si="119"/>
        <v>Infraestruturais</v>
      </c>
      <c r="U1099" s="55" t="str">
        <f t="shared" si="119"/>
        <v>Hidroviários</v>
      </c>
      <c r="V1099" s="55" t="str">
        <f t="shared" si="119"/>
        <v>Portos Docas</v>
      </c>
      <c r="W1099" s="54" t="s">
        <v>7259</v>
      </c>
      <c r="X1099" s="84" t="str">
        <f t="shared" si="120"/>
        <v>Key-COD-CT-1099</v>
      </c>
      <c r="Y1099" s="84" t="s">
        <v>5459</v>
      </c>
      <c r="Z1099" s="84" t="s">
        <v>692</v>
      </c>
      <c r="AA1099" s="84" t="s">
        <v>7181</v>
      </c>
      <c r="AB1099" s="84" t="s">
        <v>692</v>
      </c>
      <c r="AC1099" s="84" t="s">
        <v>692</v>
      </c>
      <c r="AD1099" s="54" t="s">
        <v>692</v>
      </c>
    </row>
    <row r="1100" spans="1:30" ht="6.6" customHeight="1" x14ac:dyDescent="0.25">
      <c r="A1100" s="85">
        <v>1100</v>
      </c>
      <c r="B1100" s="80" t="s">
        <v>5419</v>
      </c>
      <c r="C1100" s="91" t="s">
        <v>5467</v>
      </c>
      <c r="D1100" s="80" t="s">
        <v>5473</v>
      </c>
      <c r="E1100" s="80" t="s">
        <v>4617</v>
      </c>
      <c r="F1100" s="89" t="s">
        <v>4621</v>
      </c>
      <c r="G1100" s="92" t="s">
        <v>692</v>
      </c>
      <c r="H1100" s="92" t="s">
        <v>692</v>
      </c>
      <c r="I1100" s="92" t="s">
        <v>692</v>
      </c>
      <c r="J1100" s="92" t="s">
        <v>692</v>
      </c>
      <c r="K1100" s="92" t="s">
        <v>692</v>
      </c>
      <c r="L1100" s="63" t="str">
        <f t="shared" si="115"/>
        <v>Infraestruturais</v>
      </c>
      <c r="M1100" s="90" t="str">
        <f t="shared" si="116"/>
        <v>Hidroviários</v>
      </c>
      <c r="N1100" s="90" t="str">
        <f t="shared" si="117"/>
        <v>Portos Docas</v>
      </c>
      <c r="O1100" s="55" t="str">
        <f t="shared" si="118"/>
        <v>Doca.Flutuante</v>
      </c>
      <c r="P1100" s="55" t="s">
        <v>4622</v>
      </c>
      <c r="Q1100" s="63" t="s">
        <v>4623</v>
      </c>
      <c r="R1100" s="55" t="s">
        <v>7062</v>
      </c>
      <c r="S1100" s="55" t="s">
        <v>692</v>
      </c>
      <c r="T1100" s="55" t="str">
        <f t="shared" si="119"/>
        <v>Infraestruturais</v>
      </c>
      <c r="U1100" s="55" t="str">
        <f t="shared" si="119"/>
        <v>Hidroviários</v>
      </c>
      <c r="V1100" s="55" t="str">
        <f t="shared" si="119"/>
        <v>Portos Docas</v>
      </c>
      <c r="W1100" s="54" t="s">
        <v>7259</v>
      </c>
      <c r="X1100" s="84" t="str">
        <f t="shared" si="120"/>
        <v>Key-COD-CT-1100</v>
      </c>
      <c r="Y1100" s="84" t="s">
        <v>5459</v>
      </c>
      <c r="Z1100" s="84" t="s">
        <v>692</v>
      </c>
      <c r="AA1100" s="84" t="s">
        <v>7181</v>
      </c>
      <c r="AB1100" s="84" t="s">
        <v>692</v>
      </c>
      <c r="AC1100" s="84" t="s">
        <v>692</v>
      </c>
      <c r="AD1100" s="54" t="s">
        <v>692</v>
      </c>
    </row>
    <row r="1101" spans="1:30" ht="6.6" customHeight="1" x14ac:dyDescent="0.25">
      <c r="A1101" s="85">
        <v>1101</v>
      </c>
      <c r="B1101" s="80" t="s">
        <v>5419</v>
      </c>
      <c r="C1101" s="91" t="s">
        <v>5467</v>
      </c>
      <c r="D1101" s="80" t="s">
        <v>5473</v>
      </c>
      <c r="E1101" s="80" t="s">
        <v>4624</v>
      </c>
      <c r="F1101" s="89" t="s">
        <v>4625</v>
      </c>
      <c r="G1101" s="92" t="s">
        <v>692</v>
      </c>
      <c r="H1101" s="92" t="s">
        <v>692</v>
      </c>
      <c r="I1101" s="92" t="s">
        <v>692</v>
      </c>
      <c r="J1101" s="92" t="s">
        <v>692</v>
      </c>
      <c r="K1101" s="92" t="s">
        <v>692</v>
      </c>
      <c r="L1101" s="63" t="str">
        <f t="shared" si="115"/>
        <v>Infraestruturais</v>
      </c>
      <c r="M1101" s="90" t="str">
        <f t="shared" si="116"/>
        <v>Hidroviários</v>
      </c>
      <c r="N1101" s="90" t="str">
        <f t="shared" si="117"/>
        <v>Portos Partes</v>
      </c>
      <c r="O1101" s="55" t="str">
        <f t="shared" si="118"/>
        <v>Infra.Portuária</v>
      </c>
      <c r="P1101" s="55" t="s">
        <v>4626</v>
      </c>
      <c r="Q1101" s="63" t="s">
        <v>4627</v>
      </c>
      <c r="R1101" s="55" t="s">
        <v>7063</v>
      </c>
      <c r="S1101" s="55" t="s">
        <v>692</v>
      </c>
      <c r="T1101" s="55" t="str">
        <f t="shared" si="119"/>
        <v>Infraestruturais</v>
      </c>
      <c r="U1101" s="55" t="str">
        <f t="shared" si="119"/>
        <v>Hidroviários</v>
      </c>
      <c r="V1101" s="55" t="str">
        <f t="shared" si="119"/>
        <v>Portos Partes</v>
      </c>
      <c r="W1101" s="54" t="s">
        <v>7259</v>
      </c>
      <c r="X1101" s="84" t="str">
        <f t="shared" si="120"/>
        <v>Key-COD-CT-1101</v>
      </c>
      <c r="Y1101" s="84" t="s">
        <v>5459</v>
      </c>
      <c r="Z1101" s="84" t="s">
        <v>692</v>
      </c>
      <c r="AA1101" s="84" t="s">
        <v>7181</v>
      </c>
      <c r="AB1101" s="84" t="s">
        <v>692</v>
      </c>
      <c r="AC1101" s="84" t="s">
        <v>692</v>
      </c>
      <c r="AD1101" s="54" t="s">
        <v>692</v>
      </c>
    </row>
    <row r="1102" spans="1:30" ht="6.6" customHeight="1" x14ac:dyDescent="0.25">
      <c r="A1102" s="85">
        <v>1102</v>
      </c>
      <c r="B1102" s="80" t="s">
        <v>5419</v>
      </c>
      <c r="C1102" s="91" t="s">
        <v>5467</v>
      </c>
      <c r="D1102" s="80" t="s">
        <v>5473</v>
      </c>
      <c r="E1102" s="80" t="s">
        <v>4624</v>
      </c>
      <c r="F1102" s="89" t="s">
        <v>4628</v>
      </c>
      <c r="G1102" s="92" t="s">
        <v>692</v>
      </c>
      <c r="H1102" s="92" t="s">
        <v>692</v>
      </c>
      <c r="I1102" s="92" t="s">
        <v>692</v>
      </c>
      <c r="J1102" s="92" t="s">
        <v>692</v>
      </c>
      <c r="K1102" s="92" t="s">
        <v>692</v>
      </c>
      <c r="L1102" s="63" t="str">
        <f t="shared" si="115"/>
        <v>Infraestruturais</v>
      </c>
      <c r="M1102" s="90" t="str">
        <f t="shared" si="116"/>
        <v>Hidroviários</v>
      </c>
      <c r="N1102" s="90" t="str">
        <f t="shared" si="117"/>
        <v>Portos Partes</v>
      </c>
      <c r="O1102" s="55" t="str">
        <f t="shared" si="118"/>
        <v>Praia</v>
      </c>
      <c r="P1102" s="55" t="s">
        <v>4629</v>
      </c>
      <c r="Q1102" s="63" t="s">
        <v>4630</v>
      </c>
      <c r="R1102" s="55" t="s">
        <v>7064</v>
      </c>
      <c r="S1102" s="55" t="s">
        <v>692</v>
      </c>
      <c r="T1102" s="55" t="str">
        <f t="shared" si="119"/>
        <v>Infraestruturais</v>
      </c>
      <c r="U1102" s="55" t="str">
        <f t="shared" si="119"/>
        <v>Hidroviários</v>
      </c>
      <c r="V1102" s="55" t="str">
        <f t="shared" si="119"/>
        <v>Portos Partes</v>
      </c>
      <c r="W1102" s="54" t="s">
        <v>7259</v>
      </c>
      <c r="X1102" s="84" t="str">
        <f t="shared" si="120"/>
        <v>Key-COD-CT-1102</v>
      </c>
      <c r="Y1102" s="84" t="s">
        <v>5459</v>
      </c>
      <c r="Z1102" s="84" t="s">
        <v>692</v>
      </c>
      <c r="AA1102" s="84" t="s">
        <v>7181</v>
      </c>
      <c r="AB1102" s="84" t="s">
        <v>692</v>
      </c>
      <c r="AC1102" s="84" t="s">
        <v>692</v>
      </c>
      <c r="AD1102" s="54" t="s">
        <v>692</v>
      </c>
    </row>
    <row r="1103" spans="1:30" ht="6.6" customHeight="1" x14ac:dyDescent="0.25">
      <c r="A1103" s="85">
        <v>1103</v>
      </c>
      <c r="B1103" s="80" t="s">
        <v>5419</v>
      </c>
      <c r="C1103" s="91" t="s">
        <v>5467</v>
      </c>
      <c r="D1103" s="80" t="s">
        <v>5473</v>
      </c>
      <c r="E1103" s="80" t="s">
        <v>4624</v>
      </c>
      <c r="F1103" s="89" t="s">
        <v>4631</v>
      </c>
      <c r="G1103" s="92" t="s">
        <v>692</v>
      </c>
      <c r="H1103" s="92" t="s">
        <v>692</v>
      </c>
      <c r="I1103" s="92" t="s">
        <v>692</v>
      </c>
      <c r="J1103" s="92" t="s">
        <v>692</v>
      </c>
      <c r="K1103" s="92" t="s">
        <v>692</v>
      </c>
      <c r="L1103" s="63" t="str">
        <f t="shared" si="115"/>
        <v>Infraestruturais</v>
      </c>
      <c r="M1103" s="90" t="str">
        <f t="shared" si="116"/>
        <v>Hidroviários</v>
      </c>
      <c r="N1103" s="90" t="str">
        <f t="shared" si="117"/>
        <v>Portos Partes</v>
      </c>
      <c r="O1103" s="55" t="str">
        <f t="shared" si="118"/>
        <v>Hidroelevador</v>
      </c>
      <c r="P1103" s="55" t="s">
        <v>4632</v>
      </c>
      <c r="Q1103" s="63" t="s">
        <v>4633</v>
      </c>
      <c r="R1103" s="55" t="s">
        <v>7065</v>
      </c>
      <c r="S1103" s="55" t="s">
        <v>692</v>
      </c>
      <c r="T1103" s="55" t="str">
        <f t="shared" si="119"/>
        <v>Infraestruturais</v>
      </c>
      <c r="U1103" s="55" t="str">
        <f t="shared" si="119"/>
        <v>Hidroviários</v>
      </c>
      <c r="V1103" s="55" t="str">
        <f t="shared" si="119"/>
        <v>Portos Partes</v>
      </c>
      <c r="W1103" s="54" t="s">
        <v>7259</v>
      </c>
      <c r="X1103" s="84" t="str">
        <f t="shared" si="120"/>
        <v>Key-COD-CT-1103</v>
      </c>
      <c r="Y1103" s="84" t="s">
        <v>5459</v>
      </c>
      <c r="Z1103" s="84" t="s">
        <v>692</v>
      </c>
      <c r="AA1103" s="84" t="s">
        <v>7181</v>
      </c>
      <c r="AB1103" s="84" t="s">
        <v>692</v>
      </c>
      <c r="AC1103" s="84" t="s">
        <v>692</v>
      </c>
      <c r="AD1103" s="54" t="s">
        <v>692</v>
      </c>
    </row>
    <row r="1104" spans="1:30" ht="6.6" customHeight="1" x14ac:dyDescent="0.25">
      <c r="A1104" s="85">
        <v>1104</v>
      </c>
      <c r="B1104" s="80" t="s">
        <v>5419</v>
      </c>
      <c r="C1104" s="91" t="s">
        <v>5467</v>
      </c>
      <c r="D1104" s="80" t="s">
        <v>5473</v>
      </c>
      <c r="E1104" s="80" t="s">
        <v>4624</v>
      </c>
      <c r="F1104" s="89" t="s">
        <v>4634</v>
      </c>
      <c r="G1104" s="92" t="s">
        <v>692</v>
      </c>
      <c r="H1104" s="92" t="s">
        <v>692</v>
      </c>
      <c r="I1104" s="92" t="s">
        <v>692</v>
      </c>
      <c r="J1104" s="92" t="s">
        <v>692</v>
      </c>
      <c r="K1104" s="92" t="s">
        <v>692</v>
      </c>
      <c r="L1104" s="63" t="str">
        <f t="shared" si="115"/>
        <v>Infraestruturais</v>
      </c>
      <c r="M1104" s="90" t="str">
        <f t="shared" si="116"/>
        <v>Hidroviários</v>
      </c>
      <c r="N1104" s="90" t="str">
        <f t="shared" si="117"/>
        <v>Portos Partes</v>
      </c>
      <c r="O1104" s="55" t="str">
        <f t="shared" si="118"/>
        <v>Dolfin</v>
      </c>
      <c r="P1104" s="55" t="s">
        <v>4635</v>
      </c>
      <c r="Q1104" s="63" t="s">
        <v>4636</v>
      </c>
      <c r="R1104" s="55" t="s">
        <v>7066</v>
      </c>
      <c r="S1104" s="55" t="s">
        <v>692</v>
      </c>
      <c r="T1104" s="55" t="str">
        <f t="shared" si="119"/>
        <v>Infraestruturais</v>
      </c>
      <c r="U1104" s="55" t="str">
        <f t="shared" si="119"/>
        <v>Hidroviários</v>
      </c>
      <c r="V1104" s="55" t="str">
        <f t="shared" si="119"/>
        <v>Portos Partes</v>
      </c>
      <c r="W1104" s="54" t="s">
        <v>7259</v>
      </c>
      <c r="X1104" s="84" t="str">
        <f t="shared" si="120"/>
        <v>Key-COD-CT-1104</v>
      </c>
      <c r="Y1104" s="84" t="s">
        <v>5459</v>
      </c>
      <c r="Z1104" s="84" t="s">
        <v>692</v>
      </c>
      <c r="AA1104" s="84" t="s">
        <v>7181</v>
      </c>
      <c r="AB1104" s="84" t="s">
        <v>692</v>
      </c>
      <c r="AC1104" s="84" t="s">
        <v>692</v>
      </c>
      <c r="AD1104" s="54" t="s">
        <v>692</v>
      </c>
    </row>
    <row r="1105" spans="1:30" ht="6.6" customHeight="1" x14ac:dyDescent="0.25">
      <c r="A1105" s="85">
        <v>1105</v>
      </c>
      <c r="B1105" s="80" t="s">
        <v>5419</v>
      </c>
      <c r="C1105" s="91" t="s">
        <v>5467</v>
      </c>
      <c r="D1105" s="80" t="s">
        <v>5473</v>
      </c>
      <c r="E1105" s="80" t="s">
        <v>4624</v>
      </c>
      <c r="F1105" s="89" t="s">
        <v>4637</v>
      </c>
      <c r="G1105" s="92" t="s">
        <v>692</v>
      </c>
      <c r="H1105" s="92" t="s">
        <v>692</v>
      </c>
      <c r="I1105" s="92" t="s">
        <v>692</v>
      </c>
      <c r="J1105" s="92" t="s">
        <v>692</v>
      </c>
      <c r="K1105" s="92" t="s">
        <v>692</v>
      </c>
      <c r="L1105" s="63" t="str">
        <f t="shared" si="115"/>
        <v>Infraestruturais</v>
      </c>
      <c r="M1105" s="90" t="str">
        <f t="shared" si="116"/>
        <v>Hidroviários</v>
      </c>
      <c r="N1105" s="90" t="str">
        <f t="shared" si="117"/>
        <v>Portos Partes</v>
      </c>
      <c r="O1105" s="55" t="str">
        <f t="shared" si="118"/>
        <v>Pier</v>
      </c>
      <c r="P1105" s="55" t="s">
        <v>4638</v>
      </c>
      <c r="Q1105" s="63" t="s">
        <v>4639</v>
      </c>
      <c r="R1105" s="55" t="s">
        <v>7067</v>
      </c>
      <c r="S1105" s="55" t="s">
        <v>692</v>
      </c>
      <c r="T1105" s="55" t="str">
        <f t="shared" si="119"/>
        <v>Infraestruturais</v>
      </c>
      <c r="U1105" s="55" t="str">
        <f t="shared" si="119"/>
        <v>Hidroviários</v>
      </c>
      <c r="V1105" s="55" t="str">
        <f t="shared" si="119"/>
        <v>Portos Partes</v>
      </c>
      <c r="W1105" s="54" t="s">
        <v>7259</v>
      </c>
      <c r="X1105" s="84" t="str">
        <f t="shared" si="120"/>
        <v>Key-COD-CT-1105</v>
      </c>
      <c r="Y1105" s="84" t="s">
        <v>5459</v>
      </c>
      <c r="Z1105" s="84" t="s">
        <v>692</v>
      </c>
      <c r="AA1105" s="84" t="s">
        <v>7181</v>
      </c>
      <c r="AB1105" s="84" t="s">
        <v>692</v>
      </c>
      <c r="AC1105" s="84" t="s">
        <v>692</v>
      </c>
      <c r="AD1105" s="54" t="s">
        <v>692</v>
      </c>
    </row>
    <row r="1106" spans="1:30" ht="6.6" customHeight="1" x14ac:dyDescent="0.25">
      <c r="A1106" s="85">
        <v>1106</v>
      </c>
      <c r="B1106" s="80" t="s">
        <v>5419</v>
      </c>
      <c r="C1106" s="91" t="s">
        <v>5467</v>
      </c>
      <c r="D1106" s="80" t="s">
        <v>5473</v>
      </c>
      <c r="E1106" s="80" t="s">
        <v>4624</v>
      </c>
      <c r="F1106" s="89" t="s">
        <v>4640</v>
      </c>
      <c r="G1106" s="92" t="s">
        <v>692</v>
      </c>
      <c r="H1106" s="92" t="s">
        <v>692</v>
      </c>
      <c r="I1106" s="92" t="s">
        <v>692</v>
      </c>
      <c r="J1106" s="92" t="s">
        <v>692</v>
      </c>
      <c r="K1106" s="92" t="s">
        <v>692</v>
      </c>
      <c r="L1106" s="63" t="str">
        <f t="shared" si="115"/>
        <v>Infraestruturais</v>
      </c>
      <c r="M1106" s="90" t="str">
        <f t="shared" si="116"/>
        <v>Hidroviários</v>
      </c>
      <c r="N1106" s="90" t="str">
        <f t="shared" si="117"/>
        <v>Portos Partes</v>
      </c>
      <c r="O1106" s="55" t="str">
        <f t="shared" si="118"/>
        <v>Cais</v>
      </c>
      <c r="P1106" s="55" t="s">
        <v>4641</v>
      </c>
      <c r="Q1106" s="63" t="s">
        <v>4642</v>
      </c>
      <c r="R1106" s="55" t="s">
        <v>7068</v>
      </c>
      <c r="S1106" s="55" t="s">
        <v>692</v>
      </c>
      <c r="T1106" s="55" t="str">
        <f t="shared" si="119"/>
        <v>Infraestruturais</v>
      </c>
      <c r="U1106" s="55" t="str">
        <f t="shared" si="119"/>
        <v>Hidroviários</v>
      </c>
      <c r="V1106" s="55" t="str">
        <f t="shared" si="119"/>
        <v>Portos Partes</v>
      </c>
      <c r="W1106" s="54" t="s">
        <v>7259</v>
      </c>
      <c r="X1106" s="84" t="str">
        <f t="shared" si="120"/>
        <v>Key-COD-CT-1106</v>
      </c>
      <c r="Y1106" s="84" t="s">
        <v>5459</v>
      </c>
      <c r="Z1106" s="84" t="s">
        <v>692</v>
      </c>
      <c r="AA1106" s="84" t="s">
        <v>7181</v>
      </c>
      <c r="AB1106" s="84" t="s">
        <v>692</v>
      </c>
      <c r="AC1106" s="84" t="s">
        <v>692</v>
      </c>
      <c r="AD1106" s="54" t="s">
        <v>692</v>
      </c>
    </row>
    <row r="1107" spans="1:30" ht="6.6" customHeight="1" x14ac:dyDescent="0.25">
      <c r="A1107" s="85">
        <v>1107</v>
      </c>
      <c r="B1107" s="80" t="s">
        <v>5419</v>
      </c>
      <c r="C1107" s="91" t="s">
        <v>5467</v>
      </c>
      <c r="D1107" s="80" t="s">
        <v>5473</v>
      </c>
      <c r="E1107" s="80" t="s">
        <v>4624</v>
      </c>
      <c r="F1107" s="67" t="s">
        <v>4643</v>
      </c>
      <c r="G1107" s="92" t="s">
        <v>692</v>
      </c>
      <c r="H1107" s="92" t="s">
        <v>692</v>
      </c>
      <c r="I1107" s="92" t="s">
        <v>692</v>
      </c>
      <c r="J1107" s="92" t="s">
        <v>692</v>
      </c>
      <c r="K1107" s="92" t="s">
        <v>692</v>
      </c>
      <c r="L1107" s="63" t="str">
        <f t="shared" si="115"/>
        <v>Infraestruturais</v>
      </c>
      <c r="M1107" s="90" t="str">
        <f t="shared" si="116"/>
        <v>Hidroviários</v>
      </c>
      <c r="N1107" s="90" t="str">
        <f t="shared" si="117"/>
        <v>Portos Partes</v>
      </c>
      <c r="O1107" s="55" t="str">
        <f t="shared" si="118"/>
        <v>Cais.Berço</v>
      </c>
      <c r="P1107" s="55" t="s">
        <v>4644</v>
      </c>
      <c r="Q1107" s="63" t="s">
        <v>4645</v>
      </c>
      <c r="R1107" s="55" t="s">
        <v>7069</v>
      </c>
      <c r="S1107" s="55" t="s">
        <v>692</v>
      </c>
      <c r="T1107" s="55" t="str">
        <f t="shared" si="119"/>
        <v>Infraestruturais</v>
      </c>
      <c r="U1107" s="55" t="str">
        <f t="shared" si="119"/>
        <v>Hidroviários</v>
      </c>
      <c r="V1107" s="55" t="str">
        <f t="shared" si="119"/>
        <v>Portos Partes</v>
      </c>
      <c r="W1107" s="54" t="s">
        <v>7259</v>
      </c>
      <c r="X1107" s="84" t="str">
        <f t="shared" si="120"/>
        <v>Key-COD-CT-1107</v>
      </c>
      <c r="Y1107" s="84" t="s">
        <v>5459</v>
      </c>
      <c r="Z1107" s="84" t="s">
        <v>692</v>
      </c>
      <c r="AA1107" s="84" t="s">
        <v>7181</v>
      </c>
      <c r="AB1107" s="84" t="s">
        <v>692</v>
      </c>
      <c r="AC1107" s="84" t="s">
        <v>692</v>
      </c>
      <c r="AD1107" s="54" t="s">
        <v>692</v>
      </c>
    </row>
    <row r="1108" spans="1:30" ht="6.6" customHeight="1" x14ac:dyDescent="0.25">
      <c r="A1108" s="85">
        <v>1108</v>
      </c>
      <c r="B1108" s="80" t="s">
        <v>5419</v>
      </c>
      <c r="C1108" s="91" t="s">
        <v>5467</v>
      </c>
      <c r="D1108" s="80" t="s">
        <v>5473</v>
      </c>
      <c r="E1108" s="80" t="s">
        <v>4624</v>
      </c>
      <c r="F1108" s="89" t="s">
        <v>4646</v>
      </c>
      <c r="G1108" s="92" t="s">
        <v>692</v>
      </c>
      <c r="H1108" s="92" t="s">
        <v>692</v>
      </c>
      <c r="I1108" s="92" t="s">
        <v>692</v>
      </c>
      <c r="J1108" s="92" t="s">
        <v>692</v>
      </c>
      <c r="K1108" s="92" t="s">
        <v>692</v>
      </c>
      <c r="L1108" s="63" t="str">
        <f t="shared" si="115"/>
        <v>Infraestruturais</v>
      </c>
      <c r="M1108" s="90" t="str">
        <f t="shared" si="116"/>
        <v>Hidroviários</v>
      </c>
      <c r="N1108" s="90" t="str">
        <f t="shared" si="117"/>
        <v>Portos Partes</v>
      </c>
      <c r="O1108" s="55" t="str">
        <f t="shared" si="118"/>
        <v>Elevador.de.Navio</v>
      </c>
      <c r="P1108" s="55" t="s">
        <v>4647</v>
      </c>
      <c r="Q1108" s="63" t="s">
        <v>4648</v>
      </c>
      <c r="R1108" s="55" t="s">
        <v>7070</v>
      </c>
      <c r="S1108" s="55" t="s">
        <v>692</v>
      </c>
      <c r="T1108" s="55" t="str">
        <f t="shared" si="119"/>
        <v>Infraestruturais</v>
      </c>
      <c r="U1108" s="55" t="str">
        <f t="shared" si="119"/>
        <v>Hidroviários</v>
      </c>
      <c r="V1108" s="55" t="str">
        <f t="shared" si="119"/>
        <v>Portos Partes</v>
      </c>
      <c r="W1108" s="54" t="s">
        <v>7259</v>
      </c>
      <c r="X1108" s="84" t="str">
        <f t="shared" si="120"/>
        <v>Key-COD-CT-1108</v>
      </c>
      <c r="Y1108" s="84" t="s">
        <v>5459</v>
      </c>
      <c r="Z1108" s="84" t="s">
        <v>692</v>
      </c>
      <c r="AA1108" s="84" t="s">
        <v>7181</v>
      </c>
      <c r="AB1108" s="84" t="s">
        <v>692</v>
      </c>
      <c r="AC1108" s="84" t="s">
        <v>692</v>
      </c>
      <c r="AD1108" s="54" t="s">
        <v>692</v>
      </c>
    </row>
    <row r="1109" spans="1:30" ht="6.6" customHeight="1" x14ac:dyDescent="0.25">
      <c r="A1109" s="85">
        <v>1109</v>
      </c>
      <c r="B1109" s="80" t="s">
        <v>5419</v>
      </c>
      <c r="C1109" s="91" t="s">
        <v>5467</v>
      </c>
      <c r="D1109" s="80" t="s">
        <v>5473</v>
      </c>
      <c r="E1109" s="80" t="s">
        <v>4624</v>
      </c>
      <c r="F1109" s="89" t="s">
        <v>4649</v>
      </c>
      <c r="G1109" s="92" t="s">
        <v>692</v>
      </c>
      <c r="H1109" s="92" t="s">
        <v>692</v>
      </c>
      <c r="I1109" s="92" t="s">
        <v>692</v>
      </c>
      <c r="J1109" s="92" t="s">
        <v>692</v>
      </c>
      <c r="K1109" s="92" t="s">
        <v>692</v>
      </c>
      <c r="L1109" s="63" t="str">
        <f t="shared" si="115"/>
        <v>Infraestruturais</v>
      </c>
      <c r="M1109" s="90" t="str">
        <f t="shared" si="116"/>
        <v>Hidroviários</v>
      </c>
      <c r="N1109" s="90" t="str">
        <f t="shared" si="117"/>
        <v>Portos Partes</v>
      </c>
      <c r="O1109" s="55" t="str">
        <f t="shared" si="118"/>
        <v>Eclusa.de.Navio</v>
      </c>
      <c r="P1109" s="55" t="s">
        <v>4650</v>
      </c>
      <c r="Q1109" s="63" t="s">
        <v>4651</v>
      </c>
      <c r="R1109" s="55" t="s">
        <v>7071</v>
      </c>
      <c r="S1109" s="55" t="s">
        <v>692</v>
      </c>
      <c r="T1109" s="55" t="str">
        <f t="shared" si="119"/>
        <v>Infraestruturais</v>
      </c>
      <c r="U1109" s="55" t="str">
        <f t="shared" si="119"/>
        <v>Hidroviários</v>
      </c>
      <c r="V1109" s="55" t="str">
        <f t="shared" si="119"/>
        <v>Portos Partes</v>
      </c>
      <c r="W1109" s="54" t="s">
        <v>7259</v>
      </c>
      <c r="X1109" s="84" t="str">
        <f t="shared" si="120"/>
        <v>Key-COD-CT-1109</v>
      </c>
      <c r="Y1109" s="84" t="s">
        <v>5459</v>
      </c>
      <c r="Z1109" s="84" t="s">
        <v>692</v>
      </c>
      <c r="AA1109" s="84" t="s">
        <v>7181</v>
      </c>
      <c r="AB1109" s="84" t="s">
        <v>692</v>
      </c>
      <c r="AC1109" s="84" t="s">
        <v>692</v>
      </c>
      <c r="AD1109" s="54" t="s">
        <v>692</v>
      </c>
    </row>
    <row r="1110" spans="1:30" ht="6.6" customHeight="1" x14ac:dyDescent="0.25">
      <c r="A1110" s="85">
        <v>1110</v>
      </c>
      <c r="B1110" s="80" t="s">
        <v>5419</v>
      </c>
      <c r="C1110" s="91" t="s">
        <v>5467</v>
      </c>
      <c r="D1110" s="80" t="s">
        <v>5473</v>
      </c>
      <c r="E1110" s="80" t="s">
        <v>4624</v>
      </c>
      <c r="F1110" s="89" t="s">
        <v>4652</v>
      </c>
      <c r="G1110" s="92" t="s">
        <v>692</v>
      </c>
      <c r="H1110" s="92" t="s">
        <v>692</v>
      </c>
      <c r="I1110" s="92" t="s">
        <v>692</v>
      </c>
      <c r="J1110" s="92" t="s">
        <v>692</v>
      </c>
      <c r="K1110" s="92" t="s">
        <v>692</v>
      </c>
      <c r="L1110" s="63" t="str">
        <f t="shared" si="115"/>
        <v>Infraestruturais</v>
      </c>
      <c r="M1110" s="90" t="str">
        <f t="shared" si="116"/>
        <v>Hidroviários</v>
      </c>
      <c r="N1110" s="90" t="str">
        <f t="shared" si="117"/>
        <v>Portos Partes</v>
      </c>
      <c r="O1110" s="55" t="str">
        <f t="shared" si="118"/>
        <v>Estaleiro</v>
      </c>
      <c r="P1110" s="55" t="s">
        <v>4653</v>
      </c>
      <c r="Q1110" s="63" t="s">
        <v>4654</v>
      </c>
      <c r="R1110" s="55" t="s">
        <v>7072</v>
      </c>
      <c r="S1110" s="55" t="s">
        <v>692</v>
      </c>
      <c r="T1110" s="55" t="str">
        <f t="shared" si="119"/>
        <v>Infraestruturais</v>
      </c>
      <c r="U1110" s="55" t="str">
        <f t="shared" si="119"/>
        <v>Hidroviários</v>
      </c>
      <c r="V1110" s="55" t="str">
        <f t="shared" si="119"/>
        <v>Portos Partes</v>
      </c>
      <c r="W1110" s="54" t="s">
        <v>7259</v>
      </c>
      <c r="X1110" s="84" t="str">
        <f t="shared" si="120"/>
        <v>Key-COD-CT-1110</v>
      </c>
      <c r="Y1110" s="84" t="s">
        <v>5459</v>
      </c>
      <c r="Z1110" s="84" t="s">
        <v>692</v>
      </c>
      <c r="AA1110" s="84" t="s">
        <v>7181</v>
      </c>
      <c r="AB1110" s="84" t="s">
        <v>692</v>
      </c>
      <c r="AC1110" s="84" t="s">
        <v>692</v>
      </c>
      <c r="AD1110" s="54" t="s">
        <v>692</v>
      </c>
    </row>
    <row r="1111" spans="1:30" ht="6.6" customHeight="1" x14ac:dyDescent="0.25">
      <c r="A1111" s="85">
        <v>1111</v>
      </c>
      <c r="B1111" s="80" t="s">
        <v>5419</v>
      </c>
      <c r="C1111" s="91" t="s">
        <v>5467</v>
      </c>
      <c r="D1111" s="80" t="s">
        <v>5473</v>
      </c>
      <c r="E1111" s="80" t="s">
        <v>4624</v>
      </c>
      <c r="F1111" s="89" t="s">
        <v>4655</v>
      </c>
      <c r="G1111" s="92" t="s">
        <v>692</v>
      </c>
      <c r="H1111" s="92" t="s">
        <v>692</v>
      </c>
      <c r="I1111" s="92" t="s">
        <v>692</v>
      </c>
      <c r="J1111" s="92" t="s">
        <v>692</v>
      </c>
      <c r="K1111" s="92" t="s">
        <v>692</v>
      </c>
      <c r="L1111" s="63" t="str">
        <f t="shared" si="115"/>
        <v>Infraestruturais</v>
      </c>
      <c r="M1111" s="90" t="str">
        <f t="shared" si="116"/>
        <v>Hidroviários</v>
      </c>
      <c r="N1111" s="90" t="str">
        <f t="shared" si="117"/>
        <v>Portos Partes</v>
      </c>
      <c r="O1111" s="55" t="str">
        <f t="shared" si="118"/>
        <v>Lançamento.Rampa</v>
      </c>
      <c r="P1111" s="55" t="s">
        <v>4656</v>
      </c>
      <c r="Q1111" s="58" t="s">
        <v>4657</v>
      </c>
      <c r="R1111" s="55" t="s">
        <v>7073</v>
      </c>
      <c r="S1111" s="55" t="s">
        <v>692</v>
      </c>
      <c r="T1111" s="55" t="str">
        <f t="shared" si="119"/>
        <v>Infraestruturais</v>
      </c>
      <c r="U1111" s="55" t="str">
        <f t="shared" si="119"/>
        <v>Hidroviários</v>
      </c>
      <c r="V1111" s="55" t="str">
        <f t="shared" si="119"/>
        <v>Portos Partes</v>
      </c>
      <c r="W1111" s="54" t="s">
        <v>7259</v>
      </c>
      <c r="X1111" s="84" t="str">
        <f t="shared" si="120"/>
        <v>Key-COD-CT-1111</v>
      </c>
      <c r="Y1111" s="84" t="s">
        <v>5459</v>
      </c>
      <c r="Z1111" s="84" t="s">
        <v>692</v>
      </c>
      <c r="AA1111" s="84" t="s">
        <v>7181</v>
      </c>
      <c r="AB1111" s="84" t="s">
        <v>692</v>
      </c>
      <c r="AC1111" s="84" t="s">
        <v>692</v>
      </c>
      <c r="AD1111" s="54" t="s">
        <v>692</v>
      </c>
    </row>
    <row r="1112" spans="1:30" ht="6.6" customHeight="1" x14ac:dyDescent="0.25">
      <c r="A1112" s="85">
        <v>1112</v>
      </c>
      <c r="B1112" s="80" t="s">
        <v>5419</v>
      </c>
      <c r="C1112" s="91" t="s">
        <v>5467</v>
      </c>
      <c r="D1112" s="80" t="s">
        <v>5473</v>
      </c>
      <c r="E1112" s="80" t="s">
        <v>4624</v>
      </c>
      <c r="F1112" s="89" t="s">
        <v>4658</v>
      </c>
      <c r="G1112" s="92" t="s">
        <v>692</v>
      </c>
      <c r="H1112" s="92" t="s">
        <v>692</v>
      </c>
      <c r="I1112" s="92" t="s">
        <v>692</v>
      </c>
      <c r="J1112" s="92" t="s">
        <v>692</v>
      </c>
      <c r="K1112" s="92" t="s">
        <v>692</v>
      </c>
      <c r="L1112" s="63" t="str">
        <f t="shared" si="115"/>
        <v>Infraestruturais</v>
      </c>
      <c r="M1112" s="90" t="str">
        <f t="shared" si="116"/>
        <v>Hidroviários</v>
      </c>
      <c r="N1112" s="90" t="str">
        <f t="shared" si="117"/>
        <v>Portos Partes</v>
      </c>
      <c r="O1112" s="55" t="str">
        <f t="shared" si="118"/>
        <v>Lançamento.Recuperação</v>
      </c>
      <c r="P1112" s="55" t="s">
        <v>4659</v>
      </c>
      <c r="Q1112" s="63" t="s">
        <v>4660</v>
      </c>
      <c r="R1112" s="55" t="s">
        <v>7074</v>
      </c>
      <c r="S1112" s="55" t="s">
        <v>692</v>
      </c>
      <c r="T1112" s="55" t="str">
        <f t="shared" si="119"/>
        <v>Infraestruturais</v>
      </c>
      <c r="U1112" s="55" t="str">
        <f t="shared" si="119"/>
        <v>Hidroviários</v>
      </c>
      <c r="V1112" s="55" t="str">
        <f t="shared" si="119"/>
        <v>Portos Partes</v>
      </c>
      <c r="W1112" s="54" t="s">
        <v>7259</v>
      </c>
      <c r="X1112" s="84" t="str">
        <f t="shared" si="120"/>
        <v>Key-COD-CT-1112</v>
      </c>
      <c r="Y1112" s="84" t="s">
        <v>5459</v>
      </c>
      <c r="Z1112" s="84" t="s">
        <v>692</v>
      </c>
      <c r="AA1112" s="84" t="s">
        <v>7181</v>
      </c>
      <c r="AB1112" s="84" t="s">
        <v>692</v>
      </c>
      <c r="AC1112" s="84" t="s">
        <v>692</v>
      </c>
      <c r="AD1112" s="54" t="s">
        <v>692</v>
      </c>
    </row>
    <row r="1113" spans="1:30" ht="6.6" customHeight="1" x14ac:dyDescent="0.25">
      <c r="A1113" s="85">
        <v>1113</v>
      </c>
      <c r="B1113" s="80" t="s">
        <v>5419</v>
      </c>
      <c r="C1113" s="91" t="s">
        <v>5467</v>
      </c>
      <c r="D1113" s="80" t="s">
        <v>5473</v>
      </c>
      <c r="E1113" s="80" t="s">
        <v>4624</v>
      </c>
      <c r="F1113" s="67" t="s">
        <v>4661</v>
      </c>
      <c r="G1113" s="92" t="s">
        <v>692</v>
      </c>
      <c r="H1113" s="92" t="s">
        <v>692</v>
      </c>
      <c r="I1113" s="92" t="s">
        <v>692</v>
      </c>
      <c r="J1113" s="92" t="s">
        <v>692</v>
      </c>
      <c r="K1113" s="92" t="s">
        <v>692</v>
      </c>
      <c r="L1113" s="63" t="str">
        <f t="shared" si="115"/>
        <v>Infraestruturais</v>
      </c>
      <c r="M1113" s="90" t="str">
        <f t="shared" si="116"/>
        <v>Hidroviários</v>
      </c>
      <c r="N1113" s="90" t="str">
        <f t="shared" si="117"/>
        <v>Portos Partes</v>
      </c>
      <c r="O1113" s="55" t="str">
        <f t="shared" si="118"/>
        <v>Câmara</v>
      </c>
      <c r="P1113" s="55" t="s">
        <v>4662</v>
      </c>
      <c r="Q1113" s="63" t="s">
        <v>4663</v>
      </c>
      <c r="R1113" s="55" t="s">
        <v>7075</v>
      </c>
      <c r="S1113" s="55" t="s">
        <v>692</v>
      </c>
      <c r="T1113" s="55" t="str">
        <f t="shared" si="119"/>
        <v>Infraestruturais</v>
      </c>
      <c r="U1113" s="55" t="str">
        <f t="shared" si="119"/>
        <v>Hidroviários</v>
      </c>
      <c r="V1113" s="55" t="str">
        <f t="shared" si="119"/>
        <v>Portos Partes</v>
      </c>
      <c r="W1113" s="54" t="s">
        <v>7259</v>
      </c>
      <c r="X1113" s="84" t="str">
        <f t="shared" si="120"/>
        <v>Key-COD-CT-1113</v>
      </c>
      <c r="Y1113" s="84" t="s">
        <v>5459</v>
      </c>
      <c r="Z1113" s="84" t="s">
        <v>692</v>
      </c>
      <c r="AA1113" s="84" t="s">
        <v>7181</v>
      </c>
      <c r="AB1113" s="84" t="s">
        <v>692</v>
      </c>
      <c r="AC1113" s="84" t="s">
        <v>692</v>
      </c>
      <c r="AD1113" s="54" t="s">
        <v>692</v>
      </c>
    </row>
    <row r="1114" spans="1:30" ht="6.6" customHeight="1" x14ac:dyDescent="0.25">
      <c r="A1114" s="85">
        <v>1114</v>
      </c>
      <c r="B1114" s="80" t="s">
        <v>5419</v>
      </c>
      <c r="C1114" s="91" t="s">
        <v>5467</v>
      </c>
      <c r="D1114" s="80" t="s">
        <v>5473</v>
      </c>
      <c r="E1114" s="80" t="s">
        <v>4624</v>
      </c>
      <c r="F1114" s="67" t="s">
        <v>4664</v>
      </c>
      <c r="G1114" s="92" t="s">
        <v>692</v>
      </c>
      <c r="H1114" s="92" t="s">
        <v>692</v>
      </c>
      <c r="I1114" s="92" t="s">
        <v>692</v>
      </c>
      <c r="J1114" s="92" t="s">
        <v>692</v>
      </c>
      <c r="K1114" s="92" t="s">
        <v>692</v>
      </c>
      <c r="L1114" s="63" t="str">
        <f t="shared" si="115"/>
        <v>Infraestruturais</v>
      </c>
      <c r="M1114" s="90" t="str">
        <f t="shared" si="116"/>
        <v>Hidroviários</v>
      </c>
      <c r="N1114" s="90" t="str">
        <f t="shared" si="117"/>
        <v>Portos Partes</v>
      </c>
      <c r="O1114" s="55" t="str">
        <f t="shared" si="118"/>
        <v>Núcleo</v>
      </c>
      <c r="P1114" s="55" t="s">
        <v>4665</v>
      </c>
      <c r="Q1114" s="63" t="s">
        <v>4666</v>
      </c>
      <c r="R1114" s="55" t="s">
        <v>7076</v>
      </c>
      <c r="S1114" s="55" t="s">
        <v>692</v>
      </c>
      <c r="T1114" s="55" t="str">
        <f t="shared" si="119"/>
        <v>Infraestruturais</v>
      </c>
      <c r="U1114" s="55" t="str">
        <f t="shared" si="119"/>
        <v>Hidroviários</v>
      </c>
      <c r="V1114" s="55" t="str">
        <f t="shared" si="119"/>
        <v>Portos Partes</v>
      </c>
      <c r="W1114" s="54" t="s">
        <v>7259</v>
      </c>
      <c r="X1114" s="84" t="str">
        <f t="shared" si="120"/>
        <v>Key-COD-CT-1114</v>
      </c>
      <c r="Y1114" s="84" t="s">
        <v>5459</v>
      </c>
      <c r="Z1114" s="84" t="s">
        <v>692</v>
      </c>
      <c r="AA1114" s="84" t="s">
        <v>7181</v>
      </c>
      <c r="AB1114" s="84" t="s">
        <v>692</v>
      </c>
      <c r="AC1114" s="84" t="s">
        <v>692</v>
      </c>
      <c r="AD1114" s="54" t="s">
        <v>692</v>
      </c>
    </row>
    <row r="1115" spans="1:30" ht="6.6" customHeight="1" x14ac:dyDescent="0.25">
      <c r="A1115" s="85">
        <v>1115</v>
      </c>
      <c r="B1115" s="80" t="s">
        <v>5419</v>
      </c>
      <c r="C1115" s="91" t="s">
        <v>5467</v>
      </c>
      <c r="D1115" s="80" t="s">
        <v>5473</v>
      </c>
      <c r="E1115" s="80" t="s">
        <v>4624</v>
      </c>
      <c r="F1115" s="67" t="s">
        <v>4667</v>
      </c>
      <c r="G1115" s="92" t="s">
        <v>692</v>
      </c>
      <c r="H1115" s="92" t="s">
        <v>692</v>
      </c>
      <c r="I1115" s="92" t="s">
        <v>692</v>
      </c>
      <c r="J1115" s="92" t="s">
        <v>692</v>
      </c>
      <c r="K1115" s="92" t="s">
        <v>692</v>
      </c>
      <c r="L1115" s="63" t="str">
        <f t="shared" si="115"/>
        <v>Infraestruturais</v>
      </c>
      <c r="M1115" s="90" t="str">
        <f t="shared" si="116"/>
        <v>Hidroviários</v>
      </c>
      <c r="N1115" s="90" t="str">
        <f t="shared" si="117"/>
        <v>Portos Partes</v>
      </c>
      <c r="O1115" s="55" t="str">
        <f t="shared" si="118"/>
        <v>Crista</v>
      </c>
      <c r="P1115" s="55" t="s">
        <v>4668</v>
      </c>
      <c r="Q1115" s="63" t="s">
        <v>4669</v>
      </c>
      <c r="R1115" s="55" t="s">
        <v>7077</v>
      </c>
      <c r="S1115" s="55" t="s">
        <v>692</v>
      </c>
      <c r="T1115" s="55" t="str">
        <f t="shared" si="119"/>
        <v>Infraestruturais</v>
      </c>
      <c r="U1115" s="55" t="str">
        <f t="shared" si="119"/>
        <v>Hidroviários</v>
      </c>
      <c r="V1115" s="55" t="str">
        <f t="shared" si="119"/>
        <v>Portos Partes</v>
      </c>
      <c r="W1115" s="54" t="s">
        <v>7259</v>
      </c>
      <c r="X1115" s="84" t="str">
        <f t="shared" si="120"/>
        <v>Key-COD-CT-1115</v>
      </c>
      <c r="Y1115" s="84" t="s">
        <v>5459</v>
      </c>
      <c r="Z1115" s="84" t="s">
        <v>692</v>
      </c>
      <c r="AA1115" s="84" t="s">
        <v>7181</v>
      </c>
      <c r="AB1115" s="84" t="s">
        <v>692</v>
      </c>
      <c r="AC1115" s="84" t="s">
        <v>692</v>
      </c>
      <c r="AD1115" s="54" t="s">
        <v>692</v>
      </c>
    </row>
    <row r="1116" spans="1:30" ht="6.6" customHeight="1" x14ac:dyDescent="0.25">
      <c r="A1116" s="85">
        <v>1116</v>
      </c>
      <c r="B1116" s="80" t="s">
        <v>5419</v>
      </c>
      <c r="C1116" s="91" t="s">
        <v>5467</v>
      </c>
      <c r="D1116" s="80" t="s">
        <v>5473</v>
      </c>
      <c r="E1116" s="80" t="s">
        <v>4624</v>
      </c>
      <c r="F1116" s="67" t="s">
        <v>4670</v>
      </c>
      <c r="G1116" s="92" t="s">
        <v>692</v>
      </c>
      <c r="H1116" s="92" t="s">
        <v>692</v>
      </c>
      <c r="I1116" s="92" t="s">
        <v>692</v>
      </c>
      <c r="J1116" s="92" t="s">
        <v>692</v>
      </c>
      <c r="K1116" s="92" t="s">
        <v>692</v>
      </c>
      <c r="L1116" s="63" t="str">
        <f t="shared" si="115"/>
        <v>Infraestruturais</v>
      </c>
      <c r="M1116" s="90" t="str">
        <f t="shared" si="116"/>
        <v>Hidroviários</v>
      </c>
      <c r="N1116" s="90" t="str">
        <f t="shared" si="117"/>
        <v>Portos Partes</v>
      </c>
      <c r="O1116" s="55" t="str">
        <f t="shared" si="118"/>
        <v>Comporta</v>
      </c>
      <c r="P1116" s="55" t="s">
        <v>4671</v>
      </c>
      <c r="Q1116" s="63" t="s">
        <v>4672</v>
      </c>
      <c r="R1116" s="55" t="s">
        <v>7078</v>
      </c>
      <c r="S1116" s="55" t="s">
        <v>692</v>
      </c>
      <c r="T1116" s="55" t="str">
        <f t="shared" si="119"/>
        <v>Infraestruturais</v>
      </c>
      <c r="U1116" s="55" t="str">
        <f t="shared" si="119"/>
        <v>Hidroviários</v>
      </c>
      <c r="V1116" s="55" t="str">
        <f t="shared" si="119"/>
        <v>Portos Partes</v>
      </c>
      <c r="W1116" s="54" t="s">
        <v>7259</v>
      </c>
      <c r="X1116" s="84" t="str">
        <f t="shared" si="120"/>
        <v>Key-COD-CT-1116</v>
      </c>
      <c r="Y1116" s="84" t="s">
        <v>5459</v>
      </c>
      <c r="Z1116" s="84" t="s">
        <v>692</v>
      </c>
      <c r="AA1116" s="84" t="s">
        <v>7181</v>
      </c>
      <c r="AB1116" s="84" t="s">
        <v>692</v>
      </c>
      <c r="AC1116" s="84" t="s">
        <v>692</v>
      </c>
      <c r="AD1116" s="54" t="s">
        <v>692</v>
      </c>
    </row>
    <row r="1117" spans="1:30" ht="6.6" customHeight="1" x14ac:dyDescent="0.25">
      <c r="A1117" s="85">
        <v>1117</v>
      </c>
      <c r="B1117" s="80" t="s">
        <v>5419</v>
      </c>
      <c r="C1117" s="91" t="s">
        <v>5467</v>
      </c>
      <c r="D1117" s="80" t="s">
        <v>5473</v>
      </c>
      <c r="E1117" s="80" t="s">
        <v>4624</v>
      </c>
      <c r="F1117" s="65" t="s">
        <v>4673</v>
      </c>
      <c r="G1117" s="93" t="s">
        <v>692</v>
      </c>
      <c r="H1117" s="93" t="s">
        <v>692</v>
      </c>
      <c r="I1117" s="93" t="s">
        <v>692</v>
      </c>
      <c r="J1117" s="46" t="s">
        <v>692</v>
      </c>
      <c r="K1117" s="46" t="s">
        <v>692</v>
      </c>
      <c r="L1117" s="63" t="str">
        <f t="shared" si="115"/>
        <v>Infraestruturais</v>
      </c>
      <c r="M1117" s="90" t="str">
        <f t="shared" si="116"/>
        <v>Hidroviários</v>
      </c>
      <c r="N1117" s="90" t="str">
        <f t="shared" si="117"/>
        <v>Portos Partes</v>
      </c>
      <c r="O1117" s="55" t="str">
        <f t="shared" si="118"/>
        <v>Contenedor.de.Carga</v>
      </c>
      <c r="P1117" s="58" t="s">
        <v>4674</v>
      </c>
      <c r="Q1117" s="63" t="s">
        <v>4675</v>
      </c>
      <c r="R1117" s="55" t="s">
        <v>7079</v>
      </c>
      <c r="S1117" s="55" t="s">
        <v>692</v>
      </c>
      <c r="T1117" s="55" t="str">
        <f t="shared" si="119"/>
        <v>Infraestruturais</v>
      </c>
      <c r="U1117" s="55" t="str">
        <f t="shared" si="119"/>
        <v>Hidroviários</v>
      </c>
      <c r="V1117" s="55" t="str">
        <f t="shared" si="119"/>
        <v>Portos Partes</v>
      </c>
      <c r="W1117" s="54" t="s">
        <v>7259</v>
      </c>
      <c r="X1117" s="84" t="str">
        <f t="shared" si="120"/>
        <v>Key-COD-CT-1117</v>
      </c>
      <c r="Y1117" s="84" t="s">
        <v>5459</v>
      </c>
      <c r="Z1117" s="84" t="s">
        <v>692</v>
      </c>
      <c r="AA1117" s="84" t="s">
        <v>7181</v>
      </c>
      <c r="AB1117" s="84" t="s">
        <v>692</v>
      </c>
      <c r="AC1117" s="84" t="s">
        <v>692</v>
      </c>
      <c r="AD1117" s="54" t="s">
        <v>692</v>
      </c>
    </row>
    <row r="1118" spans="1:30" ht="6.6" customHeight="1" x14ac:dyDescent="0.25">
      <c r="A1118" s="85">
        <v>1118</v>
      </c>
      <c r="B1118" s="80" t="s">
        <v>5419</v>
      </c>
      <c r="C1118" s="91" t="s">
        <v>5467</v>
      </c>
      <c r="D1118" s="80" t="s">
        <v>5473</v>
      </c>
      <c r="E1118" s="80" t="s">
        <v>4676</v>
      </c>
      <c r="F1118" s="67" t="s">
        <v>4677</v>
      </c>
      <c r="G1118" s="92" t="s">
        <v>692</v>
      </c>
      <c r="H1118" s="92" t="s">
        <v>692</v>
      </c>
      <c r="I1118" s="92" t="s">
        <v>692</v>
      </c>
      <c r="J1118" s="92" t="s">
        <v>692</v>
      </c>
      <c r="K1118" s="92" t="s">
        <v>692</v>
      </c>
      <c r="L1118" s="63" t="str">
        <f t="shared" si="115"/>
        <v>Infraestruturais</v>
      </c>
      <c r="M1118" s="90" t="str">
        <f t="shared" si="116"/>
        <v>Hidroviários</v>
      </c>
      <c r="N1118" s="90" t="str">
        <f t="shared" si="117"/>
        <v>Portos Zonas</v>
      </c>
      <c r="O1118" s="55" t="str">
        <f t="shared" si="118"/>
        <v>Barlavento</v>
      </c>
      <c r="P1118" s="55" t="s">
        <v>4678</v>
      </c>
      <c r="Q1118" s="97" t="s">
        <v>4679</v>
      </c>
      <c r="R1118" s="55" t="s">
        <v>7080</v>
      </c>
      <c r="S1118" s="55" t="s">
        <v>692</v>
      </c>
      <c r="T1118" s="55" t="str">
        <f t="shared" si="119"/>
        <v>Infraestruturais</v>
      </c>
      <c r="U1118" s="55" t="str">
        <f t="shared" si="119"/>
        <v>Hidroviários</v>
      </c>
      <c r="V1118" s="55" t="str">
        <f t="shared" si="119"/>
        <v>Portos Zonas</v>
      </c>
      <c r="W1118" s="54" t="s">
        <v>7259</v>
      </c>
      <c r="X1118" s="84" t="str">
        <f t="shared" si="120"/>
        <v>Key-COD-CT-1118</v>
      </c>
      <c r="Y1118" s="84" t="s">
        <v>5459</v>
      </c>
      <c r="Z1118" s="84" t="s">
        <v>692</v>
      </c>
      <c r="AA1118" s="84" t="s">
        <v>7181</v>
      </c>
      <c r="AB1118" s="84" t="s">
        <v>692</v>
      </c>
      <c r="AC1118" s="84" t="s">
        <v>692</v>
      </c>
      <c r="AD1118" s="54" t="s">
        <v>692</v>
      </c>
    </row>
    <row r="1119" spans="1:30" ht="6.6" customHeight="1" x14ac:dyDescent="0.25">
      <c r="A1119" s="85">
        <v>1119</v>
      </c>
      <c r="B1119" s="80" t="s">
        <v>5419</v>
      </c>
      <c r="C1119" s="91" t="s">
        <v>5467</v>
      </c>
      <c r="D1119" s="80" t="s">
        <v>5473</v>
      </c>
      <c r="E1119" s="80" t="s">
        <v>4676</v>
      </c>
      <c r="F1119" s="67" t="s">
        <v>4680</v>
      </c>
      <c r="G1119" s="92" t="s">
        <v>692</v>
      </c>
      <c r="H1119" s="92" t="s">
        <v>692</v>
      </c>
      <c r="I1119" s="92" t="s">
        <v>692</v>
      </c>
      <c r="J1119" s="92" t="s">
        <v>692</v>
      </c>
      <c r="K1119" s="92" t="s">
        <v>692</v>
      </c>
      <c r="L1119" s="63" t="str">
        <f t="shared" si="115"/>
        <v>Infraestruturais</v>
      </c>
      <c r="M1119" s="90" t="str">
        <f t="shared" si="116"/>
        <v>Hidroviários</v>
      </c>
      <c r="N1119" s="90" t="str">
        <f t="shared" si="117"/>
        <v>Portos Zonas</v>
      </c>
      <c r="O1119" s="55" t="str">
        <f t="shared" si="118"/>
        <v>Sotavento</v>
      </c>
      <c r="P1119" s="55" t="s">
        <v>4681</v>
      </c>
      <c r="Q1119" s="63" t="s">
        <v>4682</v>
      </c>
      <c r="R1119" s="55" t="s">
        <v>7081</v>
      </c>
      <c r="S1119" s="55" t="s">
        <v>692</v>
      </c>
      <c r="T1119" s="55" t="str">
        <f t="shared" si="119"/>
        <v>Infraestruturais</v>
      </c>
      <c r="U1119" s="55" t="str">
        <f t="shared" si="119"/>
        <v>Hidroviários</v>
      </c>
      <c r="V1119" s="55" t="str">
        <f t="shared" si="119"/>
        <v>Portos Zonas</v>
      </c>
      <c r="W1119" s="54" t="s">
        <v>7259</v>
      </c>
      <c r="X1119" s="84" t="str">
        <f t="shared" si="120"/>
        <v>Key-COD-CT-1119</v>
      </c>
      <c r="Y1119" s="84" t="s">
        <v>5459</v>
      </c>
      <c r="Z1119" s="84" t="s">
        <v>692</v>
      </c>
      <c r="AA1119" s="84" t="s">
        <v>7236</v>
      </c>
      <c r="AB1119" s="84" t="s">
        <v>692</v>
      </c>
      <c r="AC1119" s="84" t="s">
        <v>692</v>
      </c>
      <c r="AD1119" s="54" t="s">
        <v>692</v>
      </c>
    </row>
    <row r="1120" spans="1:30" ht="6.6" customHeight="1" x14ac:dyDescent="0.25">
      <c r="A1120" s="85">
        <v>1120</v>
      </c>
      <c r="B1120" s="80" t="s">
        <v>5419</v>
      </c>
      <c r="C1120" s="91" t="s">
        <v>5467</v>
      </c>
      <c r="D1120" s="80" t="s">
        <v>5473</v>
      </c>
      <c r="E1120" s="80" t="s">
        <v>4676</v>
      </c>
      <c r="F1120" s="67" t="s">
        <v>4683</v>
      </c>
      <c r="G1120" s="92" t="s">
        <v>692</v>
      </c>
      <c r="H1120" s="92" t="s">
        <v>692</v>
      </c>
      <c r="I1120" s="92" t="s">
        <v>692</v>
      </c>
      <c r="J1120" s="92" t="s">
        <v>692</v>
      </c>
      <c r="K1120" s="92" t="s">
        <v>692</v>
      </c>
      <c r="L1120" s="63" t="str">
        <f t="shared" si="115"/>
        <v>Infraestruturais</v>
      </c>
      <c r="M1120" s="90" t="str">
        <f t="shared" si="116"/>
        <v>Hidroviários</v>
      </c>
      <c r="N1120" s="90" t="str">
        <f t="shared" si="117"/>
        <v>Portos Zonas</v>
      </c>
      <c r="O1120" s="55" t="str">
        <f t="shared" si="118"/>
        <v>Zona.Aquática</v>
      </c>
      <c r="P1120" s="55" t="s">
        <v>4684</v>
      </c>
      <c r="Q1120" s="63" t="s">
        <v>4685</v>
      </c>
      <c r="R1120" s="55" t="s">
        <v>7082</v>
      </c>
      <c r="S1120" s="55" t="s">
        <v>692</v>
      </c>
      <c r="T1120" s="55" t="str">
        <f t="shared" si="119"/>
        <v>Infraestruturais</v>
      </c>
      <c r="U1120" s="55" t="str">
        <f t="shared" si="119"/>
        <v>Hidroviários</v>
      </c>
      <c r="V1120" s="55" t="str">
        <f t="shared" si="119"/>
        <v>Portos Zonas</v>
      </c>
      <c r="W1120" s="54" t="s">
        <v>7259</v>
      </c>
      <c r="X1120" s="84" t="str">
        <f t="shared" si="120"/>
        <v>Key-COD-CT-1120</v>
      </c>
      <c r="Y1120" s="84" t="s">
        <v>7231</v>
      </c>
      <c r="Z1120" s="84" t="s">
        <v>692</v>
      </c>
      <c r="AA1120" s="84" t="s">
        <v>7236</v>
      </c>
      <c r="AB1120" s="84" t="s">
        <v>692</v>
      </c>
      <c r="AC1120" s="84" t="s">
        <v>692</v>
      </c>
      <c r="AD1120" s="54" t="s">
        <v>692</v>
      </c>
    </row>
    <row r="1121" spans="1:30" ht="6.6" customHeight="1" x14ac:dyDescent="0.25">
      <c r="A1121" s="85">
        <v>1121</v>
      </c>
      <c r="B1121" s="80" t="s">
        <v>5419</v>
      </c>
      <c r="C1121" s="91" t="s">
        <v>5467</v>
      </c>
      <c r="D1121" s="80" t="s">
        <v>5473</v>
      </c>
      <c r="E1121" s="80" t="s">
        <v>4676</v>
      </c>
      <c r="F1121" s="67" t="s">
        <v>4686</v>
      </c>
      <c r="G1121" s="92" t="s">
        <v>692</v>
      </c>
      <c r="H1121" s="92" t="s">
        <v>692</v>
      </c>
      <c r="I1121" s="92" t="s">
        <v>692</v>
      </c>
      <c r="J1121" s="92" t="s">
        <v>692</v>
      </c>
      <c r="K1121" s="92" t="s">
        <v>692</v>
      </c>
      <c r="L1121" s="63" t="str">
        <f t="shared" si="115"/>
        <v>Infraestruturais</v>
      </c>
      <c r="M1121" s="90" t="str">
        <f t="shared" si="116"/>
        <v>Hidroviários</v>
      </c>
      <c r="N1121" s="90" t="str">
        <f t="shared" si="117"/>
        <v>Portos Zonas</v>
      </c>
      <c r="O1121" s="55" t="str">
        <f t="shared" si="118"/>
        <v>Zona.Terrestre</v>
      </c>
      <c r="P1121" s="55" t="s">
        <v>4687</v>
      </c>
      <c r="Q1121" s="58" t="s">
        <v>4688</v>
      </c>
      <c r="R1121" s="55" t="s">
        <v>7083</v>
      </c>
      <c r="S1121" s="55" t="s">
        <v>692</v>
      </c>
      <c r="T1121" s="55" t="str">
        <f t="shared" si="119"/>
        <v>Infraestruturais</v>
      </c>
      <c r="U1121" s="55" t="str">
        <f t="shared" si="119"/>
        <v>Hidroviários</v>
      </c>
      <c r="V1121" s="55" t="str">
        <f t="shared" si="119"/>
        <v>Portos Zonas</v>
      </c>
      <c r="W1121" s="54" t="s">
        <v>7259</v>
      </c>
      <c r="X1121" s="84" t="str">
        <f t="shared" si="120"/>
        <v>Key-COD-CT-1121</v>
      </c>
      <c r="Y1121" s="84" t="s">
        <v>7231</v>
      </c>
      <c r="Z1121" s="84" t="s">
        <v>692</v>
      </c>
      <c r="AA1121" s="84" t="s">
        <v>7236</v>
      </c>
      <c r="AB1121" s="84" t="s">
        <v>692</v>
      </c>
      <c r="AC1121" s="84" t="s">
        <v>692</v>
      </c>
      <c r="AD1121" s="54" t="s">
        <v>692</v>
      </c>
    </row>
    <row r="1122" spans="1:30" ht="6.6" customHeight="1" x14ac:dyDescent="0.25">
      <c r="A1122" s="85">
        <v>1122</v>
      </c>
      <c r="B1122" s="80" t="s">
        <v>5419</v>
      </c>
      <c r="C1122" s="91" t="s">
        <v>5467</v>
      </c>
      <c r="D1122" s="80" t="s">
        <v>5473</v>
      </c>
      <c r="E1122" s="80" t="s">
        <v>4676</v>
      </c>
      <c r="F1122" s="67" t="s">
        <v>4689</v>
      </c>
      <c r="G1122" s="92" t="s">
        <v>692</v>
      </c>
      <c r="H1122" s="92" t="s">
        <v>692</v>
      </c>
      <c r="I1122" s="92" t="s">
        <v>692</v>
      </c>
      <c r="J1122" s="92" t="s">
        <v>692</v>
      </c>
      <c r="K1122" s="92" t="s">
        <v>692</v>
      </c>
      <c r="L1122" s="63" t="str">
        <f t="shared" si="115"/>
        <v>Infraestruturais</v>
      </c>
      <c r="M1122" s="90" t="str">
        <f t="shared" si="116"/>
        <v>Hidroviários</v>
      </c>
      <c r="N1122" s="90" t="str">
        <f t="shared" si="117"/>
        <v>Portos Zonas</v>
      </c>
      <c r="O1122" s="55" t="str">
        <f t="shared" si="118"/>
        <v>Zona.Navegável</v>
      </c>
      <c r="P1122" s="55" t="s">
        <v>4690</v>
      </c>
      <c r="Q1122" s="63" t="s">
        <v>4691</v>
      </c>
      <c r="R1122" s="55" t="s">
        <v>7084</v>
      </c>
      <c r="S1122" s="55" t="s">
        <v>692</v>
      </c>
      <c r="T1122" s="55" t="str">
        <f t="shared" si="119"/>
        <v>Infraestruturais</v>
      </c>
      <c r="U1122" s="55" t="str">
        <f t="shared" si="119"/>
        <v>Hidroviários</v>
      </c>
      <c r="V1122" s="55" t="str">
        <f t="shared" si="119"/>
        <v>Portos Zonas</v>
      </c>
      <c r="W1122" s="54" t="s">
        <v>7259</v>
      </c>
      <c r="X1122" s="84" t="str">
        <f t="shared" si="120"/>
        <v>Key-COD-CT-1122</v>
      </c>
      <c r="Y1122" s="84" t="s">
        <v>7231</v>
      </c>
      <c r="Z1122" s="84" t="s">
        <v>692</v>
      </c>
      <c r="AA1122" s="84" t="s">
        <v>7236</v>
      </c>
      <c r="AB1122" s="84" t="s">
        <v>692</v>
      </c>
      <c r="AC1122" s="84" t="s">
        <v>692</v>
      </c>
      <c r="AD1122" s="54" t="s">
        <v>692</v>
      </c>
    </row>
    <row r="1123" spans="1:30" ht="6.6" customHeight="1" x14ac:dyDescent="0.25">
      <c r="A1123" s="85">
        <v>1123</v>
      </c>
      <c r="B1123" s="80" t="s">
        <v>5419</v>
      </c>
      <c r="C1123" s="91" t="s">
        <v>5467</v>
      </c>
      <c r="D1123" s="80" t="s">
        <v>5473</v>
      </c>
      <c r="E1123" s="80" t="s">
        <v>4676</v>
      </c>
      <c r="F1123" s="67" t="s">
        <v>4692</v>
      </c>
      <c r="G1123" s="92" t="s">
        <v>692</v>
      </c>
      <c r="H1123" s="92" t="s">
        <v>692</v>
      </c>
      <c r="I1123" s="92" t="s">
        <v>692</v>
      </c>
      <c r="J1123" s="92" t="s">
        <v>692</v>
      </c>
      <c r="K1123" s="92" t="s">
        <v>692</v>
      </c>
      <c r="L1123" s="63" t="str">
        <f t="shared" si="115"/>
        <v>Infraestruturais</v>
      </c>
      <c r="M1123" s="90" t="str">
        <f t="shared" si="116"/>
        <v>Hidroviários</v>
      </c>
      <c r="N1123" s="90" t="str">
        <f t="shared" si="117"/>
        <v>Portos Zonas</v>
      </c>
      <c r="O1123" s="55" t="str">
        <f t="shared" si="118"/>
        <v>Zona.de.Estocagem</v>
      </c>
      <c r="P1123" s="55" t="s">
        <v>4693</v>
      </c>
      <c r="Q1123" s="55" t="s">
        <v>4694</v>
      </c>
      <c r="R1123" s="55" t="s">
        <v>7085</v>
      </c>
      <c r="S1123" s="55" t="s">
        <v>692</v>
      </c>
      <c r="T1123" s="55" t="str">
        <f t="shared" si="119"/>
        <v>Infraestruturais</v>
      </c>
      <c r="U1123" s="55" t="str">
        <f t="shared" si="119"/>
        <v>Hidroviários</v>
      </c>
      <c r="V1123" s="55" t="str">
        <f t="shared" si="119"/>
        <v>Portos Zonas</v>
      </c>
      <c r="W1123" s="54" t="s">
        <v>7259</v>
      </c>
      <c r="X1123" s="84" t="str">
        <f t="shared" si="120"/>
        <v>Key-COD-CT-1123</v>
      </c>
      <c r="Y1123" s="84" t="s">
        <v>7231</v>
      </c>
      <c r="Z1123" s="84" t="s">
        <v>692</v>
      </c>
      <c r="AA1123" s="84" t="s">
        <v>7236</v>
      </c>
      <c r="AB1123" s="84" t="s">
        <v>692</v>
      </c>
      <c r="AC1123" s="84" t="s">
        <v>692</v>
      </c>
      <c r="AD1123" s="54" t="s">
        <v>692</v>
      </c>
    </row>
    <row r="1124" spans="1:30" ht="6.6" customHeight="1" x14ac:dyDescent="0.25">
      <c r="A1124" s="85">
        <v>1124</v>
      </c>
      <c r="B1124" s="80" t="s">
        <v>5419</v>
      </c>
      <c r="C1124" s="91" t="s">
        <v>5467</v>
      </c>
      <c r="D1124" s="80" t="s">
        <v>5473</v>
      </c>
      <c r="E1124" s="80" t="s">
        <v>4676</v>
      </c>
      <c r="F1124" s="67" t="s">
        <v>4695</v>
      </c>
      <c r="G1124" s="92" t="s">
        <v>692</v>
      </c>
      <c r="H1124" s="92" t="s">
        <v>692</v>
      </c>
      <c r="I1124" s="92" t="s">
        <v>692</v>
      </c>
      <c r="J1124" s="92" t="s">
        <v>692</v>
      </c>
      <c r="K1124" s="92" t="s">
        <v>692</v>
      </c>
      <c r="L1124" s="63" t="str">
        <f t="shared" si="115"/>
        <v>Infraestruturais</v>
      </c>
      <c r="M1124" s="90" t="str">
        <f t="shared" si="116"/>
        <v>Hidroviários</v>
      </c>
      <c r="N1124" s="90" t="str">
        <f t="shared" si="117"/>
        <v>Portos Zonas</v>
      </c>
      <c r="O1124" s="55" t="str">
        <f t="shared" si="118"/>
        <v>Zona.de.Pátio</v>
      </c>
      <c r="P1124" s="55" t="s">
        <v>4696</v>
      </c>
      <c r="Q1124" s="55" t="s">
        <v>4697</v>
      </c>
      <c r="R1124" s="55" t="s">
        <v>7086</v>
      </c>
      <c r="S1124" s="55" t="s">
        <v>692</v>
      </c>
      <c r="T1124" s="55" t="str">
        <f t="shared" si="119"/>
        <v>Infraestruturais</v>
      </c>
      <c r="U1124" s="55" t="str">
        <f t="shared" si="119"/>
        <v>Hidroviários</v>
      </c>
      <c r="V1124" s="55" t="str">
        <f t="shared" si="119"/>
        <v>Portos Zonas</v>
      </c>
      <c r="W1124" s="54" t="s">
        <v>7259</v>
      </c>
      <c r="X1124" s="84" t="str">
        <f t="shared" si="120"/>
        <v>Key-COD-CT-1124</v>
      </c>
      <c r="Y1124" s="84" t="s">
        <v>7231</v>
      </c>
      <c r="Z1124" s="84" t="s">
        <v>692</v>
      </c>
      <c r="AA1124" s="84" t="s">
        <v>7236</v>
      </c>
      <c r="AB1124" s="84" t="s">
        <v>692</v>
      </c>
      <c r="AC1124" s="84" t="s">
        <v>692</v>
      </c>
      <c r="AD1124" s="54" t="s">
        <v>692</v>
      </c>
    </row>
    <row r="1125" spans="1:30" ht="6.6" customHeight="1" x14ac:dyDescent="0.25">
      <c r="A1125" s="85">
        <v>1125</v>
      </c>
      <c r="B1125" s="80" t="s">
        <v>5419</v>
      </c>
      <c r="C1125" s="91" t="s">
        <v>5467</v>
      </c>
      <c r="D1125" s="80" t="s">
        <v>5473</v>
      </c>
      <c r="E1125" s="80" t="s">
        <v>4676</v>
      </c>
      <c r="F1125" s="67" t="s">
        <v>4698</v>
      </c>
      <c r="G1125" s="92" t="s">
        <v>692</v>
      </c>
      <c r="H1125" s="92" t="s">
        <v>692</v>
      </c>
      <c r="I1125" s="92" t="s">
        <v>692</v>
      </c>
      <c r="J1125" s="92" t="s">
        <v>692</v>
      </c>
      <c r="K1125" s="92" t="s">
        <v>692</v>
      </c>
      <c r="L1125" s="63" t="str">
        <f t="shared" si="115"/>
        <v>Infraestruturais</v>
      </c>
      <c r="M1125" s="90" t="str">
        <f t="shared" si="116"/>
        <v>Hidroviários</v>
      </c>
      <c r="N1125" s="90" t="str">
        <f t="shared" si="117"/>
        <v>Portos Zonas</v>
      </c>
      <c r="O1125" s="55" t="str">
        <f t="shared" si="118"/>
        <v>Zona.de.Operação</v>
      </c>
      <c r="P1125" s="55" t="s">
        <v>4699</v>
      </c>
      <c r="Q1125" s="63" t="s">
        <v>4700</v>
      </c>
      <c r="R1125" s="55" t="s">
        <v>7087</v>
      </c>
      <c r="S1125" s="55" t="s">
        <v>692</v>
      </c>
      <c r="T1125" s="55" t="str">
        <f t="shared" si="119"/>
        <v>Infraestruturais</v>
      </c>
      <c r="U1125" s="55" t="str">
        <f t="shared" si="119"/>
        <v>Hidroviários</v>
      </c>
      <c r="V1125" s="55" t="str">
        <f t="shared" si="119"/>
        <v>Portos Zonas</v>
      </c>
      <c r="W1125" s="54" t="s">
        <v>7259</v>
      </c>
      <c r="X1125" s="84" t="str">
        <f t="shared" si="120"/>
        <v>Key-COD-CT-1125</v>
      </c>
      <c r="Y1125" s="84" t="s">
        <v>7231</v>
      </c>
      <c r="Z1125" s="84" t="s">
        <v>692</v>
      </c>
      <c r="AA1125" s="84" t="s">
        <v>7236</v>
      </c>
      <c r="AB1125" s="84" t="s">
        <v>692</v>
      </c>
      <c r="AC1125" s="84" t="s">
        <v>692</v>
      </c>
      <c r="AD1125" s="54" t="s">
        <v>692</v>
      </c>
    </row>
    <row r="1126" spans="1:30" ht="6.6" customHeight="1" x14ac:dyDescent="0.25">
      <c r="A1126" s="85">
        <v>1126</v>
      </c>
      <c r="B1126" s="80" t="s">
        <v>5419</v>
      </c>
      <c r="C1126" s="91" t="s">
        <v>5467</v>
      </c>
      <c r="D1126" s="80" t="s">
        <v>5473</v>
      </c>
      <c r="E1126" s="80" t="s">
        <v>4676</v>
      </c>
      <c r="F1126" s="67" t="s">
        <v>4701</v>
      </c>
      <c r="G1126" s="92" t="s">
        <v>692</v>
      </c>
      <c r="H1126" s="92" t="s">
        <v>692</v>
      </c>
      <c r="I1126" s="92" t="s">
        <v>692</v>
      </c>
      <c r="J1126" s="92" t="s">
        <v>692</v>
      </c>
      <c r="K1126" s="92" t="s">
        <v>692</v>
      </c>
      <c r="L1126" s="63" t="str">
        <f t="shared" si="115"/>
        <v>Infraestruturais</v>
      </c>
      <c r="M1126" s="90" t="str">
        <f t="shared" si="116"/>
        <v>Hidroviários</v>
      </c>
      <c r="N1126" s="90" t="str">
        <f t="shared" si="117"/>
        <v>Portos Zonas</v>
      </c>
      <c r="O1126" s="55" t="str">
        <f t="shared" si="118"/>
        <v>Zona.de.Fabricação</v>
      </c>
      <c r="P1126" s="55" t="s">
        <v>4702</v>
      </c>
      <c r="Q1126" s="63" t="s">
        <v>4703</v>
      </c>
      <c r="R1126" s="55" t="s">
        <v>7088</v>
      </c>
      <c r="S1126" s="55" t="s">
        <v>692</v>
      </c>
      <c r="T1126" s="55" t="str">
        <f t="shared" si="119"/>
        <v>Infraestruturais</v>
      </c>
      <c r="U1126" s="55" t="str">
        <f t="shared" si="119"/>
        <v>Hidroviários</v>
      </c>
      <c r="V1126" s="55" t="str">
        <f t="shared" si="119"/>
        <v>Portos Zonas</v>
      </c>
      <c r="W1126" s="54" t="s">
        <v>7259</v>
      </c>
      <c r="X1126" s="84" t="str">
        <f t="shared" si="120"/>
        <v>Key-COD-CT-1126</v>
      </c>
      <c r="Y1126" s="84" t="s">
        <v>7231</v>
      </c>
      <c r="Z1126" s="84" t="s">
        <v>692</v>
      </c>
      <c r="AA1126" s="84" t="s">
        <v>7236</v>
      </c>
      <c r="AB1126" s="84" t="s">
        <v>692</v>
      </c>
      <c r="AC1126" s="84" t="s">
        <v>692</v>
      </c>
      <c r="AD1126" s="54" t="s">
        <v>692</v>
      </c>
    </row>
    <row r="1127" spans="1:30" ht="6.6" customHeight="1" x14ac:dyDescent="0.25">
      <c r="A1127" s="85">
        <v>1127</v>
      </c>
      <c r="B1127" s="80" t="s">
        <v>5419</v>
      </c>
      <c r="C1127" s="91" t="s">
        <v>5467</v>
      </c>
      <c r="D1127" s="80" t="s">
        <v>5473</v>
      </c>
      <c r="E1127" s="80" t="s">
        <v>4676</v>
      </c>
      <c r="F1127" s="67" t="s">
        <v>4704</v>
      </c>
      <c r="G1127" s="92" t="s">
        <v>692</v>
      </c>
      <c r="H1127" s="92" t="s">
        <v>692</v>
      </c>
      <c r="I1127" s="92" t="s">
        <v>692</v>
      </c>
      <c r="J1127" s="92" t="s">
        <v>692</v>
      </c>
      <c r="K1127" s="92" t="s">
        <v>692</v>
      </c>
      <c r="L1127" s="63" t="str">
        <f t="shared" si="115"/>
        <v>Infraestruturais</v>
      </c>
      <c r="M1127" s="90" t="str">
        <f t="shared" si="116"/>
        <v>Hidroviários</v>
      </c>
      <c r="N1127" s="90" t="str">
        <f t="shared" si="117"/>
        <v>Portos Zonas</v>
      </c>
      <c r="O1127" s="55" t="str">
        <f t="shared" si="118"/>
        <v>Zona.de.Transbordo</v>
      </c>
      <c r="P1127" s="55" t="s">
        <v>4705</v>
      </c>
      <c r="Q1127" s="63" t="s">
        <v>4706</v>
      </c>
      <c r="R1127" s="55" t="s">
        <v>7089</v>
      </c>
      <c r="S1127" s="55" t="s">
        <v>692</v>
      </c>
      <c r="T1127" s="55" t="str">
        <f t="shared" si="119"/>
        <v>Infraestruturais</v>
      </c>
      <c r="U1127" s="55" t="str">
        <f t="shared" si="119"/>
        <v>Hidroviários</v>
      </c>
      <c r="V1127" s="55" t="str">
        <f t="shared" si="119"/>
        <v>Portos Zonas</v>
      </c>
      <c r="W1127" s="54" t="s">
        <v>7259</v>
      </c>
      <c r="X1127" s="84" t="str">
        <f t="shared" si="120"/>
        <v>Key-COD-CT-1127</v>
      </c>
      <c r="Y1127" s="84" t="s">
        <v>7231</v>
      </c>
      <c r="Z1127" s="84" t="s">
        <v>692</v>
      </c>
      <c r="AA1127" s="84" t="s">
        <v>5456</v>
      </c>
      <c r="AB1127" s="84" t="s">
        <v>692</v>
      </c>
      <c r="AC1127" s="84" t="s">
        <v>692</v>
      </c>
      <c r="AD1127" s="54" t="s">
        <v>692</v>
      </c>
    </row>
    <row r="1128" spans="1:30" ht="6.6" customHeight="1" x14ac:dyDescent="0.25">
      <c r="A1128" s="85">
        <v>1128</v>
      </c>
      <c r="B1128" s="80" t="s">
        <v>5419</v>
      </c>
      <c r="C1128" s="91" t="s">
        <v>5467</v>
      </c>
      <c r="D1128" s="80" t="s">
        <v>5475</v>
      </c>
      <c r="E1128" s="80" t="s">
        <v>4707</v>
      </c>
      <c r="F1128" s="67" t="s">
        <v>4708</v>
      </c>
      <c r="G1128" s="92" t="s">
        <v>692</v>
      </c>
      <c r="H1128" s="92" t="s">
        <v>692</v>
      </c>
      <c r="I1128" s="92" t="s">
        <v>692</v>
      </c>
      <c r="J1128" s="92" t="s">
        <v>692</v>
      </c>
      <c r="K1128" s="92" t="s">
        <v>692</v>
      </c>
      <c r="L1128" s="63" t="str">
        <f t="shared" si="115"/>
        <v>Infraestruturais</v>
      </c>
      <c r="M1128" s="90" t="str">
        <f t="shared" si="116"/>
        <v>Aeroportuários</v>
      </c>
      <c r="N1128" s="90" t="str">
        <f t="shared" si="117"/>
        <v>Aeródromos</v>
      </c>
      <c r="O1128" s="55" t="str">
        <f t="shared" si="118"/>
        <v>Aeroporto.Internacional</v>
      </c>
      <c r="P1128" s="87" t="s">
        <v>4709</v>
      </c>
      <c r="Q1128" s="55" t="s">
        <v>5476</v>
      </c>
      <c r="R1128" s="55" t="s">
        <v>7090</v>
      </c>
      <c r="S1128" s="55" t="s">
        <v>692</v>
      </c>
      <c r="T1128" s="55" t="str">
        <f t="shared" si="119"/>
        <v>Infraestruturais</v>
      </c>
      <c r="U1128" s="55" t="str">
        <f t="shared" si="119"/>
        <v>Aeroportuários</v>
      </c>
      <c r="V1128" s="55" t="str">
        <f t="shared" si="119"/>
        <v>Aeródromos</v>
      </c>
      <c r="W1128" s="54" t="s">
        <v>7259</v>
      </c>
      <c r="X1128" s="84" t="str">
        <f t="shared" si="120"/>
        <v>Key-COD-CT-1128</v>
      </c>
      <c r="Y1128" s="84" t="s">
        <v>7212</v>
      </c>
      <c r="Z1128" s="84" t="s">
        <v>692</v>
      </c>
      <c r="AA1128" s="84" t="s">
        <v>5456</v>
      </c>
      <c r="AB1128" s="84" t="s">
        <v>692</v>
      </c>
      <c r="AC1128" s="84" t="s">
        <v>692</v>
      </c>
      <c r="AD1128" s="54" t="s">
        <v>692</v>
      </c>
    </row>
    <row r="1129" spans="1:30" ht="6.6" customHeight="1" x14ac:dyDescent="0.25">
      <c r="A1129" s="85">
        <v>1129</v>
      </c>
      <c r="B1129" s="80" t="s">
        <v>5419</v>
      </c>
      <c r="C1129" s="91" t="s">
        <v>5467</v>
      </c>
      <c r="D1129" s="80" t="s">
        <v>5475</v>
      </c>
      <c r="E1129" s="80" t="s">
        <v>4707</v>
      </c>
      <c r="F1129" s="67" t="s">
        <v>4710</v>
      </c>
      <c r="G1129" s="92" t="s">
        <v>692</v>
      </c>
      <c r="H1129" s="92" t="s">
        <v>692</v>
      </c>
      <c r="I1129" s="92" t="s">
        <v>692</v>
      </c>
      <c r="J1129" s="92" t="s">
        <v>692</v>
      </c>
      <c r="K1129" s="92" t="s">
        <v>692</v>
      </c>
      <c r="L1129" s="63" t="str">
        <f t="shared" si="115"/>
        <v>Infraestruturais</v>
      </c>
      <c r="M1129" s="90" t="str">
        <f t="shared" si="116"/>
        <v>Aeroportuários</v>
      </c>
      <c r="N1129" s="90" t="str">
        <f t="shared" si="117"/>
        <v>Aeródromos</v>
      </c>
      <c r="O1129" s="55" t="str">
        <f t="shared" si="118"/>
        <v>Aeroporto.Regional</v>
      </c>
      <c r="P1129" s="87" t="s">
        <v>4711</v>
      </c>
      <c r="Q1129" s="55" t="s">
        <v>5477</v>
      </c>
      <c r="R1129" s="55" t="s">
        <v>7091</v>
      </c>
      <c r="S1129" s="55" t="s">
        <v>692</v>
      </c>
      <c r="T1129" s="55" t="str">
        <f t="shared" si="119"/>
        <v>Infraestruturais</v>
      </c>
      <c r="U1129" s="55" t="str">
        <f t="shared" si="119"/>
        <v>Aeroportuários</v>
      </c>
      <c r="V1129" s="55" t="str">
        <f t="shared" si="119"/>
        <v>Aeródromos</v>
      </c>
      <c r="W1129" s="54" t="s">
        <v>7259</v>
      </c>
      <c r="X1129" s="84" t="str">
        <f t="shared" si="120"/>
        <v>Key-COD-CT-1129</v>
      </c>
      <c r="Y1129" s="84" t="s">
        <v>7212</v>
      </c>
      <c r="Z1129" s="84" t="s">
        <v>692</v>
      </c>
      <c r="AA1129" s="84" t="s">
        <v>5456</v>
      </c>
      <c r="AB1129" s="84" t="s">
        <v>692</v>
      </c>
      <c r="AC1129" s="84" t="s">
        <v>692</v>
      </c>
      <c r="AD1129" s="54" t="s">
        <v>692</v>
      </c>
    </row>
    <row r="1130" spans="1:30" ht="6.6" customHeight="1" x14ac:dyDescent="0.25">
      <c r="A1130" s="85">
        <v>1130</v>
      </c>
      <c r="B1130" s="80" t="s">
        <v>5419</v>
      </c>
      <c r="C1130" s="91" t="s">
        <v>5467</v>
      </c>
      <c r="D1130" s="80" t="s">
        <v>5475</v>
      </c>
      <c r="E1130" s="80" t="s">
        <v>4707</v>
      </c>
      <c r="F1130" s="67" t="s">
        <v>4712</v>
      </c>
      <c r="G1130" s="92" t="s">
        <v>692</v>
      </c>
      <c r="H1130" s="92" t="s">
        <v>692</v>
      </c>
      <c r="I1130" s="92" t="s">
        <v>692</v>
      </c>
      <c r="J1130" s="92" t="s">
        <v>692</v>
      </c>
      <c r="K1130" s="92" t="s">
        <v>692</v>
      </c>
      <c r="L1130" s="63" t="str">
        <f t="shared" ref="L1130:L1136" si="121">_xlfn.CONCAT(C1130)</f>
        <v>Infraestruturais</v>
      </c>
      <c r="M1130" s="90" t="str">
        <f t="shared" si="116"/>
        <v>Aeroportuários</v>
      </c>
      <c r="N1130" s="90" t="str">
        <f t="shared" si="117"/>
        <v>Aeródromos</v>
      </c>
      <c r="O1130" s="55" t="str">
        <f t="shared" si="118"/>
        <v>Aeroporto.Doméstico</v>
      </c>
      <c r="P1130" s="87" t="s">
        <v>5395</v>
      </c>
      <c r="Q1130" s="55" t="s">
        <v>5478</v>
      </c>
      <c r="R1130" s="55" t="s">
        <v>7092</v>
      </c>
      <c r="S1130" s="55" t="s">
        <v>692</v>
      </c>
      <c r="T1130" s="55" t="str">
        <f t="shared" ref="T1130:V1145" si="122">SUBSTITUTE(C1130, ".", " ")</f>
        <v>Infraestruturais</v>
      </c>
      <c r="U1130" s="55" t="str">
        <f t="shared" si="122"/>
        <v>Aeroportuários</v>
      </c>
      <c r="V1130" s="55" t="str">
        <f t="shared" si="122"/>
        <v>Aeródromos</v>
      </c>
      <c r="W1130" s="54" t="s">
        <v>7259</v>
      </c>
      <c r="X1130" s="84" t="str">
        <f t="shared" si="120"/>
        <v>Key-COD-CT-1130</v>
      </c>
      <c r="Y1130" s="84" t="s">
        <v>7212</v>
      </c>
      <c r="Z1130" s="84" t="s">
        <v>692</v>
      </c>
      <c r="AA1130" s="84" t="s">
        <v>5456</v>
      </c>
      <c r="AB1130" s="84" t="s">
        <v>692</v>
      </c>
      <c r="AC1130" s="84" t="s">
        <v>692</v>
      </c>
      <c r="AD1130" s="54" t="s">
        <v>692</v>
      </c>
    </row>
    <row r="1131" spans="1:30" ht="6.6" customHeight="1" x14ac:dyDescent="0.25">
      <c r="A1131" s="85">
        <v>1131</v>
      </c>
      <c r="B1131" s="80" t="s">
        <v>5419</v>
      </c>
      <c r="C1131" s="91" t="s">
        <v>5467</v>
      </c>
      <c r="D1131" s="80" t="s">
        <v>5475</v>
      </c>
      <c r="E1131" s="80" t="s">
        <v>4707</v>
      </c>
      <c r="F1131" s="67" t="s">
        <v>4713</v>
      </c>
      <c r="G1131" s="92" t="s">
        <v>692</v>
      </c>
      <c r="H1131" s="92" t="s">
        <v>692</v>
      </c>
      <c r="I1131" s="92" t="s">
        <v>692</v>
      </c>
      <c r="J1131" s="92" t="s">
        <v>692</v>
      </c>
      <c r="K1131" s="92" t="s">
        <v>692</v>
      </c>
      <c r="L1131" s="63" t="str">
        <f t="shared" si="121"/>
        <v>Infraestruturais</v>
      </c>
      <c r="M1131" s="90" t="str">
        <f t="shared" ref="M1131:M1136" si="123">CONCATENATE("", D1131)</f>
        <v>Aeroportuários</v>
      </c>
      <c r="N1131" s="90" t="str">
        <f t="shared" si="117"/>
        <v>Aeródromos</v>
      </c>
      <c r="O1131" s="55" t="str">
        <f t="shared" si="118"/>
        <v>Aeroporto.Militar</v>
      </c>
      <c r="P1131" s="87" t="s">
        <v>5394</v>
      </c>
      <c r="Q1131" s="55" t="s">
        <v>5479</v>
      </c>
      <c r="R1131" s="55" t="s">
        <v>7093</v>
      </c>
      <c r="S1131" s="55" t="s">
        <v>692</v>
      </c>
      <c r="T1131" s="55" t="str">
        <f t="shared" si="122"/>
        <v>Infraestruturais</v>
      </c>
      <c r="U1131" s="55" t="str">
        <f t="shared" si="122"/>
        <v>Aeroportuários</v>
      </c>
      <c r="V1131" s="55" t="str">
        <f t="shared" si="122"/>
        <v>Aeródromos</v>
      </c>
      <c r="W1131" s="54" t="s">
        <v>7259</v>
      </c>
      <c r="X1131" s="84" t="str">
        <f t="shared" si="120"/>
        <v>Key-COD-CT-1131</v>
      </c>
      <c r="Y1131" s="84" t="s">
        <v>7212</v>
      </c>
      <c r="Z1131" s="84" t="s">
        <v>692</v>
      </c>
      <c r="AA1131" s="84" t="s">
        <v>5456</v>
      </c>
      <c r="AB1131" s="84" t="s">
        <v>692</v>
      </c>
      <c r="AC1131" s="84" t="s">
        <v>692</v>
      </c>
      <c r="AD1131" s="54" t="s">
        <v>692</v>
      </c>
    </row>
    <row r="1132" spans="1:30" ht="6.6" customHeight="1" x14ac:dyDescent="0.25">
      <c r="A1132" s="85">
        <v>1132</v>
      </c>
      <c r="B1132" s="80" t="s">
        <v>5419</v>
      </c>
      <c r="C1132" s="91" t="s">
        <v>5467</v>
      </c>
      <c r="D1132" s="80" t="s">
        <v>5475</v>
      </c>
      <c r="E1132" s="80" t="s">
        <v>4707</v>
      </c>
      <c r="F1132" s="67" t="s">
        <v>4714</v>
      </c>
      <c r="G1132" s="92" t="s">
        <v>692</v>
      </c>
      <c r="H1132" s="92" t="s">
        <v>692</v>
      </c>
      <c r="I1132" s="92" t="s">
        <v>692</v>
      </c>
      <c r="J1132" s="92" t="s">
        <v>692</v>
      </c>
      <c r="K1132" s="92" t="s">
        <v>692</v>
      </c>
      <c r="L1132" s="63" t="str">
        <f t="shared" si="121"/>
        <v>Infraestruturais</v>
      </c>
      <c r="M1132" s="90" t="str">
        <f t="shared" si="123"/>
        <v>Aeroportuários</v>
      </c>
      <c r="N1132" s="90" t="str">
        <f t="shared" si="117"/>
        <v>Aeródromos</v>
      </c>
      <c r="O1132" s="55" t="str">
        <f t="shared" si="118"/>
        <v>Aeroclub</v>
      </c>
      <c r="P1132" s="87" t="s">
        <v>4715</v>
      </c>
      <c r="Q1132" s="55" t="s">
        <v>5480</v>
      </c>
      <c r="R1132" s="55" t="s">
        <v>7094</v>
      </c>
      <c r="S1132" s="55" t="s">
        <v>692</v>
      </c>
      <c r="T1132" s="55" t="str">
        <f t="shared" si="122"/>
        <v>Infraestruturais</v>
      </c>
      <c r="U1132" s="55" t="str">
        <f t="shared" si="122"/>
        <v>Aeroportuários</v>
      </c>
      <c r="V1132" s="55" t="str">
        <f t="shared" si="122"/>
        <v>Aeródromos</v>
      </c>
      <c r="W1132" s="54" t="s">
        <v>7259</v>
      </c>
      <c r="X1132" s="84" t="str">
        <f t="shared" si="120"/>
        <v>Key-COD-CT-1132</v>
      </c>
      <c r="Y1132" s="84" t="s">
        <v>7212</v>
      </c>
      <c r="Z1132" s="84" t="s">
        <v>692</v>
      </c>
      <c r="AA1132" s="84" t="s">
        <v>5456</v>
      </c>
      <c r="AB1132" s="84" t="s">
        <v>692</v>
      </c>
      <c r="AC1132" s="84" t="s">
        <v>692</v>
      </c>
      <c r="AD1132" s="54" t="s">
        <v>692</v>
      </c>
    </row>
    <row r="1133" spans="1:30" ht="6.6" customHeight="1" x14ac:dyDescent="0.25">
      <c r="A1133" s="85">
        <v>1133</v>
      </c>
      <c r="B1133" s="80" t="s">
        <v>5419</v>
      </c>
      <c r="C1133" s="91" t="s">
        <v>5467</v>
      </c>
      <c r="D1133" s="80" t="s">
        <v>5475</v>
      </c>
      <c r="E1133" s="80" t="s">
        <v>4707</v>
      </c>
      <c r="F1133" s="67" t="s">
        <v>4716</v>
      </c>
      <c r="G1133" s="92" t="s">
        <v>692</v>
      </c>
      <c r="H1133" s="92" t="s">
        <v>692</v>
      </c>
      <c r="I1133" s="92" t="s">
        <v>692</v>
      </c>
      <c r="J1133" s="92" t="s">
        <v>692</v>
      </c>
      <c r="K1133" s="92" t="s">
        <v>692</v>
      </c>
      <c r="L1133" s="63" t="str">
        <f t="shared" si="121"/>
        <v>Infraestruturais</v>
      </c>
      <c r="M1133" s="90" t="str">
        <f t="shared" si="123"/>
        <v>Aeroportuários</v>
      </c>
      <c r="N1133" s="90" t="str">
        <f t="shared" si="117"/>
        <v>Aeródromos</v>
      </c>
      <c r="O1133" s="55" t="str">
        <f t="shared" si="118"/>
        <v>Pista.de.Pouso.e.Decolagem</v>
      </c>
      <c r="P1133" s="87" t="s">
        <v>4717</v>
      </c>
      <c r="Q1133" s="55" t="s">
        <v>5481</v>
      </c>
      <c r="R1133" s="55" t="s">
        <v>7095</v>
      </c>
      <c r="S1133" s="55" t="s">
        <v>692</v>
      </c>
      <c r="T1133" s="55" t="str">
        <f t="shared" si="122"/>
        <v>Infraestruturais</v>
      </c>
      <c r="U1133" s="55" t="str">
        <f t="shared" si="122"/>
        <v>Aeroportuários</v>
      </c>
      <c r="V1133" s="55" t="str">
        <f t="shared" si="122"/>
        <v>Aeródromos</v>
      </c>
      <c r="W1133" s="54" t="s">
        <v>7259</v>
      </c>
      <c r="X1133" s="84" t="str">
        <f t="shared" si="120"/>
        <v>Key-COD-CT-1133</v>
      </c>
      <c r="Y1133" s="84" t="s">
        <v>7212</v>
      </c>
      <c r="Z1133" s="84" t="s">
        <v>692</v>
      </c>
      <c r="AA1133" s="84" t="s">
        <v>5456</v>
      </c>
      <c r="AB1133" s="84" t="s">
        <v>692</v>
      </c>
      <c r="AC1133" s="84" t="s">
        <v>692</v>
      </c>
      <c r="AD1133" s="54" t="s">
        <v>692</v>
      </c>
    </row>
    <row r="1134" spans="1:30" ht="6.6" customHeight="1" x14ac:dyDescent="0.25">
      <c r="A1134" s="85">
        <v>1134</v>
      </c>
      <c r="B1134" s="80" t="s">
        <v>5419</v>
      </c>
      <c r="C1134" s="91" t="s">
        <v>5467</v>
      </c>
      <c r="D1134" s="80" t="s">
        <v>5475</v>
      </c>
      <c r="E1134" s="80" t="s">
        <v>4707</v>
      </c>
      <c r="F1134" s="67" t="s">
        <v>4718</v>
      </c>
      <c r="G1134" s="92" t="s">
        <v>692</v>
      </c>
      <c r="H1134" s="92" t="s">
        <v>692</v>
      </c>
      <c r="I1134" s="92" t="s">
        <v>692</v>
      </c>
      <c r="J1134" s="92" t="s">
        <v>692</v>
      </c>
      <c r="K1134" s="92" t="s">
        <v>692</v>
      </c>
      <c r="L1134" s="63" t="str">
        <f t="shared" si="121"/>
        <v>Infraestruturais</v>
      </c>
      <c r="M1134" s="90" t="str">
        <f t="shared" si="123"/>
        <v>Aeroportuários</v>
      </c>
      <c r="N1134" s="90" t="str">
        <f t="shared" si="117"/>
        <v>Aeródromos</v>
      </c>
      <c r="O1134" s="55" t="str">
        <f t="shared" si="118"/>
        <v>Pista.Auxiliar</v>
      </c>
      <c r="P1134" s="87" t="s">
        <v>4719</v>
      </c>
      <c r="Q1134" s="55" t="s">
        <v>5482</v>
      </c>
      <c r="R1134" s="55" t="s">
        <v>7096</v>
      </c>
      <c r="S1134" s="55" t="s">
        <v>692</v>
      </c>
      <c r="T1134" s="55" t="str">
        <f t="shared" si="122"/>
        <v>Infraestruturais</v>
      </c>
      <c r="U1134" s="55" t="str">
        <f t="shared" si="122"/>
        <v>Aeroportuários</v>
      </c>
      <c r="V1134" s="55" t="str">
        <f t="shared" si="122"/>
        <v>Aeródromos</v>
      </c>
      <c r="W1134" s="54" t="s">
        <v>7259</v>
      </c>
      <c r="X1134" s="84" t="str">
        <f t="shared" si="120"/>
        <v>Key-COD-CT-1134</v>
      </c>
      <c r="Y1134" s="84" t="s">
        <v>7212</v>
      </c>
      <c r="Z1134" s="84" t="s">
        <v>692</v>
      </c>
      <c r="AA1134" s="84" t="s">
        <v>5456</v>
      </c>
      <c r="AB1134" s="84" t="s">
        <v>692</v>
      </c>
      <c r="AC1134" s="84" t="s">
        <v>692</v>
      </c>
      <c r="AD1134" s="54" t="s">
        <v>692</v>
      </c>
    </row>
    <row r="1135" spans="1:30" ht="6.6" customHeight="1" x14ac:dyDescent="0.25">
      <c r="A1135" s="85">
        <v>1135</v>
      </c>
      <c r="B1135" s="80" t="s">
        <v>5419</v>
      </c>
      <c r="C1135" s="91" t="s">
        <v>5467</v>
      </c>
      <c r="D1135" s="80" t="s">
        <v>5475</v>
      </c>
      <c r="E1135" s="80" t="s">
        <v>4707</v>
      </c>
      <c r="F1135" s="67" t="s">
        <v>4720</v>
      </c>
      <c r="G1135" s="92" t="s">
        <v>692</v>
      </c>
      <c r="H1135" s="92" t="s">
        <v>692</v>
      </c>
      <c r="I1135" s="92" t="s">
        <v>692</v>
      </c>
      <c r="J1135" s="92" t="s">
        <v>692</v>
      </c>
      <c r="K1135" s="92" t="s">
        <v>692</v>
      </c>
      <c r="L1135" s="63" t="str">
        <f t="shared" si="121"/>
        <v>Infraestruturais</v>
      </c>
      <c r="M1135" s="90" t="str">
        <f t="shared" si="123"/>
        <v>Aeroportuários</v>
      </c>
      <c r="N1135" s="90" t="str">
        <f t="shared" si="117"/>
        <v>Aeródromos</v>
      </c>
      <c r="O1135" s="55" t="str">
        <f t="shared" si="118"/>
        <v>Heliporto</v>
      </c>
      <c r="P1135" s="55" t="s">
        <v>4721</v>
      </c>
      <c r="Q1135" s="55" t="s">
        <v>5483</v>
      </c>
      <c r="R1135" s="55" t="s">
        <v>7097</v>
      </c>
      <c r="S1135" s="55" t="s">
        <v>692</v>
      </c>
      <c r="T1135" s="55" t="str">
        <f t="shared" si="122"/>
        <v>Infraestruturais</v>
      </c>
      <c r="U1135" s="55" t="str">
        <f t="shared" si="122"/>
        <v>Aeroportuários</v>
      </c>
      <c r="V1135" s="55" t="str">
        <f t="shared" si="122"/>
        <v>Aeródromos</v>
      </c>
      <c r="W1135" s="54" t="s">
        <v>7259</v>
      </c>
      <c r="X1135" s="84" t="str">
        <f t="shared" si="120"/>
        <v>Key-COD-CT-1135</v>
      </c>
      <c r="Y1135" s="84" t="s">
        <v>7212</v>
      </c>
      <c r="Z1135" s="84" t="s">
        <v>692</v>
      </c>
      <c r="AA1135" s="84" t="s">
        <v>5456</v>
      </c>
      <c r="AB1135" s="84" t="s">
        <v>692</v>
      </c>
      <c r="AC1135" s="84" t="s">
        <v>692</v>
      </c>
      <c r="AD1135" s="54" t="s">
        <v>692</v>
      </c>
    </row>
    <row r="1136" spans="1:30" ht="6.6" customHeight="1" x14ac:dyDescent="0.25">
      <c r="A1136" s="85">
        <v>1136</v>
      </c>
      <c r="B1136" s="80" t="s">
        <v>5419</v>
      </c>
      <c r="C1136" s="91" t="s">
        <v>5467</v>
      </c>
      <c r="D1136" s="80" t="s">
        <v>5475</v>
      </c>
      <c r="E1136" s="80" t="s">
        <v>4707</v>
      </c>
      <c r="F1136" s="67" t="s">
        <v>4722</v>
      </c>
      <c r="G1136" s="92" t="s">
        <v>692</v>
      </c>
      <c r="H1136" s="92" t="s">
        <v>692</v>
      </c>
      <c r="I1136" s="92" t="s">
        <v>692</v>
      </c>
      <c r="J1136" s="92" t="s">
        <v>692</v>
      </c>
      <c r="K1136" s="92" t="s">
        <v>692</v>
      </c>
      <c r="L1136" s="63" t="str">
        <f t="shared" si="121"/>
        <v>Infraestruturais</v>
      </c>
      <c r="M1136" s="90" t="str">
        <f t="shared" si="123"/>
        <v>Aeroportuários</v>
      </c>
      <c r="N1136" s="90" t="str">
        <f t="shared" si="117"/>
        <v>Aeródromos</v>
      </c>
      <c r="O1136" s="55" t="str">
        <f t="shared" si="118"/>
        <v>Heliponto</v>
      </c>
      <c r="P1136" s="55" t="s">
        <v>4723</v>
      </c>
      <c r="Q1136" s="55" t="s">
        <v>5484</v>
      </c>
      <c r="R1136" s="55" t="s">
        <v>7098</v>
      </c>
      <c r="S1136" s="55" t="s">
        <v>692</v>
      </c>
      <c r="T1136" s="55" t="str">
        <f t="shared" si="122"/>
        <v>Infraestruturais</v>
      </c>
      <c r="U1136" s="55" t="str">
        <f t="shared" si="122"/>
        <v>Aeroportuários</v>
      </c>
      <c r="V1136" s="55" t="str">
        <f t="shared" si="122"/>
        <v>Aeródromos</v>
      </c>
      <c r="W1136" s="54" t="s">
        <v>7259</v>
      </c>
      <c r="X1136" s="84" t="str">
        <f t="shared" si="120"/>
        <v>Key-COD-CT-1136</v>
      </c>
      <c r="Y1136" s="84" t="s">
        <v>7212</v>
      </c>
      <c r="Z1136" s="84" t="s">
        <v>692</v>
      </c>
      <c r="AA1136" s="84" t="s">
        <v>7182</v>
      </c>
      <c r="AB1136" s="84" t="s">
        <v>692</v>
      </c>
      <c r="AC1136" s="84" t="s">
        <v>692</v>
      </c>
      <c r="AD1136" s="54" t="s">
        <v>692</v>
      </c>
    </row>
    <row r="1137" spans="1:30" ht="6.6" customHeight="1" x14ac:dyDescent="0.25">
      <c r="A1137" s="85">
        <v>1137</v>
      </c>
      <c r="B1137" s="80" t="s">
        <v>5419</v>
      </c>
      <c r="C1137" s="91" t="s">
        <v>5485</v>
      </c>
      <c r="D1137" s="80" t="s">
        <v>4724</v>
      </c>
      <c r="E1137" s="80" t="s">
        <v>4725</v>
      </c>
      <c r="F1137" s="89" t="s">
        <v>4726</v>
      </c>
      <c r="G1137" s="92" t="s">
        <v>692</v>
      </c>
      <c r="H1137" s="92" t="s">
        <v>692</v>
      </c>
      <c r="I1137" s="92" t="s">
        <v>692</v>
      </c>
      <c r="J1137" s="92" t="s">
        <v>692</v>
      </c>
      <c r="K1137" s="92" t="s">
        <v>692</v>
      </c>
      <c r="L1137" s="90" t="str">
        <f t="shared" ref="L1137:O1163" si="124">SUBSTITUTE(CONCATENATE("", C1137), ".", " ")</f>
        <v>Redes Urbanas</v>
      </c>
      <c r="M1137" s="90" t="str">
        <f t="shared" si="124"/>
        <v>Redes de Fluídos</v>
      </c>
      <c r="N1137" s="90" t="str">
        <f t="shared" si="124"/>
        <v>Redes Fornecedoras</v>
      </c>
      <c r="O1137" s="90" t="str">
        <f t="shared" si="124"/>
        <v>Rede de Agua</v>
      </c>
      <c r="P1137" s="55" t="s">
        <v>4727</v>
      </c>
      <c r="Q1137" s="55" t="s">
        <v>4728</v>
      </c>
      <c r="R1137" s="55" t="s">
        <v>7099</v>
      </c>
      <c r="S1137" s="55" t="s">
        <v>692</v>
      </c>
      <c r="T1137" s="55" t="str">
        <f t="shared" si="122"/>
        <v>Redes Urbanas</v>
      </c>
      <c r="U1137" s="55" t="str">
        <f t="shared" si="122"/>
        <v>Redes de Fluídos</v>
      </c>
      <c r="V1137" s="55" t="str">
        <f t="shared" si="122"/>
        <v>Redes Fornecedoras</v>
      </c>
      <c r="W1137" s="54" t="s">
        <v>7259</v>
      </c>
      <c r="X1137" s="84" t="str">
        <f t="shared" si="120"/>
        <v>Key-COD-CT-1137</v>
      </c>
      <c r="Y1137" s="84" t="s">
        <v>7232</v>
      </c>
      <c r="Z1137" s="84" t="s">
        <v>692</v>
      </c>
      <c r="AA1137" s="84" t="s">
        <v>7183</v>
      </c>
      <c r="AB1137" s="84" t="s">
        <v>692</v>
      </c>
      <c r="AC1137" s="84" t="s">
        <v>692</v>
      </c>
      <c r="AD1137" s="54" t="s">
        <v>692</v>
      </c>
    </row>
    <row r="1138" spans="1:30" ht="6.6" customHeight="1" x14ac:dyDescent="0.25">
      <c r="A1138" s="85">
        <v>1138</v>
      </c>
      <c r="B1138" s="80" t="s">
        <v>5419</v>
      </c>
      <c r="C1138" s="91" t="s">
        <v>5485</v>
      </c>
      <c r="D1138" s="80" t="s">
        <v>4724</v>
      </c>
      <c r="E1138" s="80" t="s">
        <v>4725</v>
      </c>
      <c r="F1138" s="89" t="s">
        <v>4729</v>
      </c>
      <c r="G1138" s="92" t="s">
        <v>692</v>
      </c>
      <c r="H1138" s="92" t="s">
        <v>692</v>
      </c>
      <c r="I1138" s="92" t="s">
        <v>692</v>
      </c>
      <c r="J1138" s="92" t="s">
        <v>692</v>
      </c>
      <c r="K1138" s="92" t="s">
        <v>692</v>
      </c>
      <c r="L1138" s="90" t="str">
        <f t="shared" si="124"/>
        <v>Redes Urbanas</v>
      </c>
      <c r="M1138" s="90" t="str">
        <f t="shared" si="124"/>
        <v>Redes de Fluídos</v>
      </c>
      <c r="N1138" s="90" t="str">
        <f t="shared" si="124"/>
        <v>Redes Fornecedoras</v>
      </c>
      <c r="O1138" s="90" t="str">
        <f t="shared" si="124"/>
        <v>Rede de Substâncias</v>
      </c>
      <c r="P1138" s="55" t="s">
        <v>4730</v>
      </c>
      <c r="Q1138" s="55" t="s">
        <v>4731</v>
      </c>
      <c r="R1138" s="55" t="s">
        <v>7100</v>
      </c>
      <c r="S1138" s="55" t="s">
        <v>692</v>
      </c>
      <c r="T1138" s="55" t="str">
        <f t="shared" si="122"/>
        <v>Redes Urbanas</v>
      </c>
      <c r="U1138" s="55" t="str">
        <f t="shared" si="122"/>
        <v>Redes de Fluídos</v>
      </c>
      <c r="V1138" s="55" t="str">
        <f t="shared" si="122"/>
        <v>Redes Fornecedoras</v>
      </c>
      <c r="W1138" s="54" t="s">
        <v>7259</v>
      </c>
      <c r="X1138" s="84" t="str">
        <f t="shared" si="120"/>
        <v>Key-COD-CT-1138</v>
      </c>
      <c r="Y1138" s="84" t="s">
        <v>7232</v>
      </c>
      <c r="Z1138" s="84" t="s">
        <v>692</v>
      </c>
      <c r="AA1138" s="84" t="s">
        <v>7184</v>
      </c>
      <c r="AB1138" s="84" t="s">
        <v>692</v>
      </c>
      <c r="AC1138" s="84" t="s">
        <v>692</v>
      </c>
      <c r="AD1138" s="54" t="s">
        <v>692</v>
      </c>
    </row>
    <row r="1139" spans="1:30" ht="6.6" customHeight="1" x14ac:dyDescent="0.25">
      <c r="A1139" s="85">
        <v>1139</v>
      </c>
      <c r="B1139" s="80" t="s">
        <v>5419</v>
      </c>
      <c r="C1139" s="91" t="s">
        <v>5485</v>
      </c>
      <c r="D1139" s="80" t="s">
        <v>4724</v>
      </c>
      <c r="E1139" s="80" t="s">
        <v>4725</v>
      </c>
      <c r="F1139" s="80" t="s">
        <v>4732</v>
      </c>
      <c r="G1139" s="92" t="s">
        <v>692</v>
      </c>
      <c r="H1139" s="92" t="s">
        <v>692</v>
      </c>
      <c r="I1139" s="92" t="s">
        <v>692</v>
      </c>
      <c r="J1139" s="92" t="s">
        <v>692</v>
      </c>
      <c r="K1139" s="92" t="s">
        <v>692</v>
      </c>
      <c r="L1139" s="90" t="str">
        <f t="shared" si="124"/>
        <v>Redes Urbanas</v>
      </c>
      <c r="M1139" s="90" t="str">
        <f t="shared" si="124"/>
        <v>Redes de Fluídos</v>
      </c>
      <c r="N1139" s="90" t="str">
        <f t="shared" si="124"/>
        <v>Redes Fornecedoras</v>
      </c>
      <c r="O1139" s="90" t="str">
        <f t="shared" si="124"/>
        <v>Rede de Combustíveis</v>
      </c>
      <c r="P1139" s="55" t="s">
        <v>4733</v>
      </c>
      <c r="Q1139" s="55" t="s">
        <v>4734</v>
      </c>
      <c r="R1139" s="55" t="s">
        <v>7101</v>
      </c>
      <c r="S1139" s="55" t="s">
        <v>692</v>
      </c>
      <c r="T1139" s="55" t="str">
        <f t="shared" si="122"/>
        <v>Redes Urbanas</v>
      </c>
      <c r="U1139" s="55" t="str">
        <f t="shared" si="122"/>
        <v>Redes de Fluídos</v>
      </c>
      <c r="V1139" s="55" t="str">
        <f t="shared" si="122"/>
        <v>Redes Fornecedoras</v>
      </c>
      <c r="W1139" s="54" t="s">
        <v>7259</v>
      </c>
      <c r="X1139" s="84" t="str">
        <f t="shared" si="120"/>
        <v>Key-COD-CT-1139</v>
      </c>
      <c r="Y1139" s="84" t="s">
        <v>7232</v>
      </c>
      <c r="Z1139" s="84" t="s">
        <v>692</v>
      </c>
      <c r="AA1139" s="84" t="s">
        <v>7185</v>
      </c>
      <c r="AB1139" s="84" t="s">
        <v>692</v>
      </c>
      <c r="AC1139" s="84" t="s">
        <v>692</v>
      </c>
      <c r="AD1139" s="54" t="s">
        <v>692</v>
      </c>
    </row>
    <row r="1140" spans="1:30" ht="6.6" customHeight="1" x14ac:dyDescent="0.25">
      <c r="A1140" s="85">
        <v>1140</v>
      </c>
      <c r="B1140" s="80" t="s">
        <v>5419</v>
      </c>
      <c r="C1140" s="91" t="s">
        <v>5485</v>
      </c>
      <c r="D1140" s="80" t="s">
        <v>4724</v>
      </c>
      <c r="E1140" s="80" t="s">
        <v>4725</v>
      </c>
      <c r="F1140" s="80" t="s">
        <v>4735</v>
      </c>
      <c r="G1140" s="92" t="s">
        <v>692</v>
      </c>
      <c r="H1140" s="92" t="s">
        <v>692</v>
      </c>
      <c r="I1140" s="92" t="s">
        <v>692</v>
      </c>
      <c r="J1140" s="92" t="s">
        <v>692</v>
      </c>
      <c r="K1140" s="92" t="s">
        <v>692</v>
      </c>
      <c r="L1140" s="90" t="str">
        <f t="shared" si="124"/>
        <v>Redes Urbanas</v>
      </c>
      <c r="M1140" s="90" t="str">
        <f t="shared" si="124"/>
        <v>Redes de Fluídos</v>
      </c>
      <c r="N1140" s="90" t="str">
        <f t="shared" si="124"/>
        <v>Redes Fornecedoras</v>
      </c>
      <c r="O1140" s="90" t="str">
        <f t="shared" si="124"/>
        <v>Rede de Gás</v>
      </c>
      <c r="P1140" s="55" t="s">
        <v>4736</v>
      </c>
      <c r="Q1140" s="55" t="s">
        <v>4737</v>
      </c>
      <c r="R1140" s="55" t="s">
        <v>7102</v>
      </c>
      <c r="S1140" s="55" t="s">
        <v>692</v>
      </c>
      <c r="T1140" s="55" t="str">
        <f t="shared" si="122"/>
        <v>Redes Urbanas</v>
      </c>
      <c r="U1140" s="55" t="str">
        <f t="shared" si="122"/>
        <v>Redes de Fluídos</v>
      </c>
      <c r="V1140" s="55" t="str">
        <f t="shared" si="122"/>
        <v>Redes Fornecedoras</v>
      </c>
      <c r="W1140" s="54" t="s">
        <v>7259</v>
      </c>
      <c r="X1140" s="84" t="str">
        <f t="shared" si="120"/>
        <v>Key-COD-CT-1140</v>
      </c>
      <c r="Y1140" s="84" t="s">
        <v>7232</v>
      </c>
      <c r="Z1140" s="84" t="s">
        <v>692</v>
      </c>
      <c r="AA1140" s="84" t="s">
        <v>7186</v>
      </c>
      <c r="AB1140" s="84" t="s">
        <v>692</v>
      </c>
      <c r="AC1140" s="84" t="s">
        <v>692</v>
      </c>
      <c r="AD1140" s="54" t="s">
        <v>692</v>
      </c>
    </row>
    <row r="1141" spans="1:30" ht="6.6" customHeight="1" x14ac:dyDescent="0.25">
      <c r="A1141" s="85">
        <v>1141</v>
      </c>
      <c r="B1141" s="80" t="s">
        <v>5419</v>
      </c>
      <c r="C1141" s="91" t="s">
        <v>5485</v>
      </c>
      <c r="D1141" s="80" t="s">
        <v>4724</v>
      </c>
      <c r="E1141" s="80" t="s">
        <v>4725</v>
      </c>
      <c r="F1141" s="89" t="s">
        <v>4738</v>
      </c>
      <c r="G1141" s="92" t="s">
        <v>692</v>
      </c>
      <c r="H1141" s="92" t="s">
        <v>692</v>
      </c>
      <c r="I1141" s="92" t="s">
        <v>692</v>
      </c>
      <c r="J1141" s="92" t="s">
        <v>692</v>
      </c>
      <c r="K1141" s="92" t="s">
        <v>692</v>
      </c>
      <c r="L1141" s="90" t="str">
        <f t="shared" si="124"/>
        <v>Redes Urbanas</v>
      </c>
      <c r="M1141" s="90" t="str">
        <f t="shared" si="124"/>
        <v>Redes de Fluídos</v>
      </c>
      <c r="N1141" s="90" t="str">
        <f t="shared" si="124"/>
        <v>Redes Fornecedoras</v>
      </c>
      <c r="O1141" s="90" t="str">
        <f t="shared" si="124"/>
        <v>Rede de Operacionalização</v>
      </c>
      <c r="P1141" s="55" t="s">
        <v>4739</v>
      </c>
      <c r="Q1141" s="55" t="s">
        <v>4740</v>
      </c>
      <c r="R1141" s="55" t="s">
        <v>7103</v>
      </c>
      <c r="S1141" s="55" t="s">
        <v>692</v>
      </c>
      <c r="T1141" s="55" t="str">
        <f t="shared" si="122"/>
        <v>Redes Urbanas</v>
      </c>
      <c r="U1141" s="55" t="str">
        <f t="shared" si="122"/>
        <v>Redes de Fluídos</v>
      </c>
      <c r="V1141" s="55" t="str">
        <f t="shared" si="122"/>
        <v>Redes Fornecedoras</v>
      </c>
      <c r="W1141" s="54" t="s">
        <v>7259</v>
      </c>
      <c r="X1141" s="84" t="str">
        <f t="shared" si="120"/>
        <v>Key-COD-CT-1141</v>
      </c>
      <c r="Y1141" s="84" t="s">
        <v>7232</v>
      </c>
      <c r="Z1141" s="84" t="s">
        <v>692</v>
      </c>
      <c r="AA1141" s="84" t="s">
        <v>7187</v>
      </c>
      <c r="AB1141" s="84" t="s">
        <v>692</v>
      </c>
      <c r="AC1141" s="84" t="s">
        <v>692</v>
      </c>
      <c r="AD1141" s="54" t="s">
        <v>692</v>
      </c>
    </row>
    <row r="1142" spans="1:30" ht="6.6" customHeight="1" x14ac:dyDescent="0.25">
      <c r="A1142" s="85">
        <v>1142</v>
      </c>
      <c r="B1142" s="80" t="s">
        <v>5419</v>
      </c>
      <c r="C1142" s="91" t="s">
        <v>5485</v>
      </c>
      <c r="D1142" s="80" t="s">
        <v>4724</v>
      </c>
      <c r="E1142" s="80" t="s">
        <v>4741</v>
      </c>
      <c r="F1142" s="89" t="s">
        <v>4742</v>
      </c>
      <c r="G1142" s="92" t="s">
        <v>692</v>
      </c>
      <c r="H1142" s="92" t="s">
        <v>692</v>
      </c>
      <c r="I1142" s="92" t="s">
        <v>692</v>
      </c>
      <c r="J1142" s="92" t="s">
        <v>692</v>
      </c>
      <c r="K1142" s="92" t="s">
        <v>692</v>
      </c>
      <c r="L1142" s="90" t="str">
        <f t="shared" si="124"/>
        <v>Redes Urbanas</v>
      </c>
      <c r="M1142" s="90" t="str">
        <f t="shared" si="124"/>
        <v>Redes de Fluídos</v>
      </c>
      <c r="N1142" s="90" t="str">
        <f t="shared" si="124"/>
        <v>Redes Coletoras</v>
      </c>
      <c r="O1142" s="90" t="str">
        <f t="shared" si="124"/>
        <v>Rede de Tormenta</v>
      </c>
      <c r="P1142" s="55" t="s">
        <v>4743</v>
      </c>
      <c r="Q1142" s="55" t="s">
        <v>4744</v>
      </c>
      <c r="R1142" s="55" t="s">
        <v>7104</v>
      </c>
      <c r="S1142" s="55" t="s">
        <v>692</v>
      </c>
      <c r="T1142" s="55" t="str">
        <f t="shared" si="122"/>
        <v>Redes Urbanas</v>
      </c>
      <c r="U1142" s="55" t="str">
        <f t="shared" si="122"/>
        <v>Redes de Fluídos</v>
      </c>
      <c r="V1142" s="55" t="str">
        <f t="shared" si="122"/>
        <v>Redes Coletoras</v>
      </c>
      <c r="W1142" s="54" t="s">
        <v>7259</v>
      </c>
      <c r="X1142" s="84" t="str">
        <f t="shared" si="120"/>
        <v>Key-COD-CT-1142</v>
      </c>
      <c r="Y1142" s="84" t="s">
        <v>7232</v>
      </c>
      <c r="Z1142" s="84" t="s">
        <v>692</v>
      </c>
      <c r="AA1142" s="84" t="s">
        <v>7188</v>
      </c>
      <c r="AB1142" s="84" t="s">
        <v>692</v>
      </c>
      <c r="AC1142" s="84" t="s">
        <v>692</v>
      </c>
      <c r="AD1142" s="54" t="s">
        <v>692</v>
      </c>
    </row>
    <row r="1143" spans="1:30" ht="6.6" customHeight="1" x14ac:dyDescent="0.25">
      <c r="A1143" s="85">
        <v>1143</v>
      </c>
      <c r="B1143" s="80" t="s">
        <v>5419</v>
      </c>
      <c r="C1143" s="91" t="s">
        <v>5485</v>
      </c>
      <c r="D1143" s="80" t="s">
        <v>4724</v>
      </c>
      <c r="E1143" s="80" t="s">
        <v>4741</v>
      </c>
      <c r="F1143" s="89" t="s">
        <v>4745</v>
      </c>
      <c r="G1143" s="92" t="s">
        <v>692</v>
      </c>
      <c r="H1143" s="92" t="s">
        <v>692</v>
      </c>
      <c r="I1143" s="92" t="s">
        <v>692</v>
      </c>
      <c r="J1143" s="92" t="s">
        <v>692</v>
      </c>
      <c r="K1143" s="92" t="s">
        <v>692</v>
      </c>
      <c r="L1143" s="90" t="str">
        <f t="shared" si="124"/>
        <v>Redes Urbanas</v>
      </c>
      <c r="M1143" s="90" t="str">
        <f t="shared" si="124"/>
        <v>Redes de Fluídos</v>
      </c>
      <c r="N1143" s="90" t="str">
        <f t="shared" si="124"/>
        <v>Redes Coletoras</v>
      </c>
      <c r="O1143" s="90" t="str">
        <f t="shared" si="124"/>
        <v>Rede de Agua Residual</v>
      </c>
      <c r="P1143" s="55" t="s">
        <v>4746</v>
      </c>
      <c r="Q1143" s="55" t="s">
        <v>4747</v>
      </c>
      <c r="R1143" s="55" t="s">
        <v>7105</v>
      </c>
      <c r="S1143" s="55" t="s">
        <v>692</v>
      </c>
      <c r="T1143" s="55" t="str">
        <f t="shared" si="122"/>
        <v>Redes Urbanas</v>
      </c>
      <c r="U1143" s="55" t="str">
        <f t="shared" si="122"/>
        <v>Redes de Fluídos</v>
      </c>
      <c r="V1143" s="55" t="str">
        <f t="shared" si="122"/>
        <v>Redes Coletoras</v>
      </c>
      <c r="W1143" s="54" t="s">
        <v>7259</v>
      </c>
      <c r="X1143" s="84" t="str">
        <f t="shared" si="120"/>
        <v>Key-COD-CT-1143</v>
      </c>
      <c r="Y1143" s="84" t="s">
        <v>7232</v>
      </c>
      <c r="Z1143" s="84" t="s">
        <v>692</v>
      </c>
      <c r="AA1143" s="84" t="s">
        <v>7189</v>
      </c>
      <c r="AB1143" s="84" t="s">
        <v>692</v>
      </c>
      <c r="AC1143" s="84" t="s">
        <v>692</v>
      </c>
      <c r="AD1143" s="54" t="s">
        <v>692</v>
      </c>
    </row>
    <row r="1144" spans="1:30" ht="6.6" customHeight="1" x14ac:dyDescent="0.25">
      <c r="A1144" s="85">
        <v>1144</v>
      </c>
      <c r="B1144" s="80" t="s">
        <v>5419</v>
      </c>
      <c r="C1144" s="91" t="s">
        <v>5485</v>
      </c>
      <c r="D1144" s="80" t="s">
        <v>4724</v>
      </c>
      <c r="E1144" s="80" t="s">
        <v>4741</v>
      </c>
      <c r="F1144" s="89" t="s">
        <v>4748</v>
      </c>
      <c r="G1144" s="92" t="s">
        <v>692</v>
      </c>
      <c r="H1144" s="92" t="s">
        <v>692</v>
      </c>
      <c r="I1144" s="92" t="s">
        <v>692</v>
      </c>
      <c r="J1144" s="92" t="s">
        <v>692</v>
      </c>
      <c r="K1144" s="92" t="s">
        <v>692</v>
      </c>
      <c r="L1144" s="90" t="str">
        <f t="shared" si="124"/>
        <v>Redes Urbanas</v>
      </c>
      <c r="M1144" s="90" t="str">
        <f t="shared" si="124"/>
        <v>Redes de Fluídos</v>
      </c>
      <c r="N1144" s="90" t="str">
        <f t="shared" si="124"/>
        <v>Redes Coletoras</v>
      </c>
      <c r="O1144" s="90" t="str">
        <f t="shared" si="124"/>
        <v>Rede de Esgoto</v>
      </c>
      <c r="P1144" s="55" t="s">
        <v>4749</v>
      </c>
      <c r="Q1144" s="55" t="s">
        <v>4750</v>
      </c>
      <c r="R1144" s="55" t="s">
        <v>7106</v>
      </c>
      <c r="S1144" s="55" t="s">
        <v>692</v>
      </c>
      <c r="T1144" s="55" t="str">
        <f t="shared" si="122"/>
        <v>Redes Urbanas</v>
      </c>
      <c r="U1144" s="55" t="str">
        <f t="shared" si="122"/>
        <v>Redes de Fluídos</v>
      </c>
      <c r="V1144" s="55" t="str">
        <f t="shared" si="122"/>
        <v>Redes Coletoras</v>
      </c>
      <c r="W1144" s="54" t="s">
        <v>7259</v>
      </c>
      <c r="X1144" s="84" t="str">
        <f t="shared" si="120"/>
        <v>Key-COD-CT-1144</v>
      </c>
      <c r="Y1144" s="84" t="s">
        <v>7232</v>
      </c>
      <c r="Z1144" s="84" t="s">
        <v>692</v>
      </c>
      <c r="AA1144" s="84" t="s">
        <v>7190</v>
      </c>
      <c r="AB1144" s="84" t="s">
        <v>692</v>
      </c>
      <c r="AC1144" s="84" t="s">
        <v>692</v>
      </c>
      <c r="AD1144" s="54" t="s">
        <v>692</v>
      </c>
    </row>
    <row r="1145" spans="1:30" ht="6.6" customHeight="1" x14ac:dyDescent="0.25">
      <c r="A1145" s="85">
        <v>1145</v>
      </c>
      <c r="B1145" s="80" t="s">
        <v>5419</v>
      </c>
      <c r="C1145" s="91" t="s">
        <v>5485</v>
      </c>
      <c r="D1145" s="80" t="s">
        <v>4724</v>
      </c>
      <c r="E1145" s="80" t="s">
        <v>4741</v>
      </c>
      <c r="F1145" s="80" t="s">
        <v>4751</v>
      </c>
      <c r="G1145" s="92" t="s">
        <v>692</v>
      </c>
      <c r="H1145" s="92" t="s">
        <v>692</v>
      </c>
      <c r="I1145" s="92" t="s">
        <v>692</v>
      </c>
      <c r="J1145" s="92" t="s">
        <v>692</v>
      </c>
      <c r="K1145" s="92" t="s">
        <v>692</v>
      </c>
      <c r="L1145" s="90" t="str">
        <f t="shared" si="124"/>
        <v>Redes Urbanas</v>
      </c>
      <c r="M1145" s="90" t="str">
        <f t="shared" si="124"/>
        <v>Redes de Fluídos</v>
      </c>
      <c r="N1145" s="90" t="str">
        <f t="shared" si="124"/>
        <v>Redes Coletoras</v>
      </c>
      <c r="O1145" s="90" t="str">
        <f t="shared" si="124"/>
        <v>Rede de Descartes</v>
      </c>
      <c r="P1145" s="55" t="s">
        <v>4752</v>
      </c>
      <c r="Q1145" s="55" t="s">
        <v>4753</v>
      </c>
      <c r="R1145" s="55" t="s">
        <v>7107</v>
      </c>
      <c r="S1145" s="55" t="s">
        <v>692</v>
      </c>
      <c r="T1145" s="55" t="str">
        <f t="shared" si="122"/>
        <v>Redes Urbanas</v>
      </c>
      <c r="U1145" s="55" t="str">
        <f t="shared" si="122"/>
        <v>Redes de Fluídos</v>
      </c>
      <c r="V1145" s="55" t="str">
        <f t="shared" si="122"/>
        <v>Redes Coletoras</v>
      </c>
      <c r="W1145" s="54" t="s">
        <v>7259</v>
      </c>
      <c r="X1145" s="84" t="str">
        <f t="shared" si="120"/>
        <v>Key-COD-CT-1145</v>
      </c>
      <c r="Y1145" s="84" t="s">
        <v>7232</v>
      </c>
      <c r="Z1145" s="84" t="s">
        <v>692</v>
      </c>
      <c r="AA1145" s="84" t="s">
        <v>7191</v>
      </c>
      <c r="AB1145" s="84" t="s">
        <v>692</v>
      </c>
      <c r="AC1145" s="84" t="s">
        <v>692</v>
      </c>
      <c r="AD1145" s="54" t="s">
        <v>692</v>
      </c>
    </row>
    <row r="1146" spans="1:30" ht="6.6" customHeight="1" x14ac:dyDescent="0.25">
      <c r="A1146" s="85">
        <v>1146</v>
      </c>
      <c r="B1146" s="80" t="s">
        <v>5419</v>
      </c>
      <c r="C1146" s="91" t="s">
        <v>5485</v>
      </c>
      <c r="D1146" s="80" t="s">
        <v>4724</v>
      </c>
      <c r="E1146" s="80" t="s">
        <v>4741</v>
      </c>
      <c r="F1146" s="80" t="s">
        <v>4754</v>
      </c>
      <c r="G1146" s="92" t="s">
        <v>692</v>
      </c>
      <c r="H1146" s="92" t="s">
        <v>692</v>
      </c>
      <c r="I1146" s="92" t="s">
        <v>692</v>
      </c>
      <c r="J1146" s="92" t="s">
        <v>692</v>
      </c>
      <c r="K1146" s="92" t="s">
        <v>692</v>
      </c>
      <c r="L1146" s="90" t="str">
        <f t="shared" si="124"/>
        <v>Redes Urbanas</v>
      </c>
      <c r="M1146" s="90" t="str">
        <f t="shared" si="124"/>
        <v>Redes de Fluídos</v>
      </c>
      <c r="N1146" s="90" t="str">
        <f t="shared" si="124"/>
        <v>Redes Coletoras</v>
      </c>
      <c r="O1146" s="90" t="str">
        <f t="shared" si="124"/>
        <v>Rede de Hospitalares</v>
      </c>
      <c r="P1146" s="55" t="s">
        <v>4755</v>
      </c>
      <c r="Q1146" s="55" t="s">
        <v>4756</v>
      </c>
      <c r="R1146" s="55" t="s">
        <v>7108</v>
      </c>
      <c r="S1146" s="55" t="s">
        <v>692</v>
      </c>
      <c r="T1146" s="55" t="str">
        <f t="shared" ref="T1146:V1172" si="125">SUBSTITUTE(C1146, ".", " ")</f>
        <v>Redes Urbanas</v>
      </c>
      <c r="U1146" s="55" t="str">
        <f t="shared" si="125"/>
        <v>Redes de Fluídos</v>
      </c>
      <c r="V1146" s="55" t="str">
        <f t="shared" si="125"/>
        <v>Redes Coletoras</v>
      </c>
      <c r="W1146" s="54" t="s">
        <v>7259</v>
      </c>
      <c r="X1146" s="84" t="str">
        <f t="shared" si="120"/>
        <v>Key-COD-CT-1146</v>
      </c>
      <c r="Y1146" s="84" t="s">
        <v>7232</v>
      </c>
      <c r="Z1146" s="84" t="s">
        <v>692</v>
      </c>
      <c r="AA1146" s="84" t="s">
        <v>7192</v>
      </c>
      <c r="AB1146" s="84" t="s">
        <v>692</v>
      </c>
      <c r="AC1146" s="84" t="s">
        <v>692</v>
      </c>
      <c r="AD1146" s="54" t="s">
        <v>692</v>
      </c>
    </row>
    <row r="1147" spans="1:30" ht="6.6" customHeight="1" x14ac:dyDescent="0.25">
      <c r="A1147" s="85">
        <v>1147</v>
      </c>
      <c r="B1147" s="80" t="s">
        <v>5419</v>
      </c>
      <c r="C1147" s="91" t="s">
        <v>5485</v>
      </c>
      <c r="D1147" s="80" t="s">
        <v>4757</v>
      </c>
      <c r="E1147" s="80" t="s">
        <v>4758</v>
      </c>
      <c r="F1147" s="80" t="s">
        <v>4759</v>
      </c>
      <c r="G1147" s="92" t="s">
        <v>692</v>
      </c>
      <c r="H1147" s="92" t="s">
        <v>692</v>
      </c>
      <c r="I1147" s="92" t="s">
        <v>692</v>
      </c>
      <c r="J1147" s="92" t="s">
        <v>692</v>
      </c>
      <c r="K1147" s="92" t="s">
        <v>692</v>
      </c>
      <c r="L1147" s="90" t="str">
        <f t="shared" si="124"/>
        <v>Redes Urbanas</v>
      </c>
      <c r="M1147" s="90" t="str">
        <f t="shared" si="124"/>
        <v>Redes Elétricas</v>
      </c>
      <c r="N1147" s="90" t="str">
        <f t="shared" si="124"/>
        <v>Redes de Transmissão</v>
      </c>
      <c r="O1147" s="90" t="str">
        <f t="shared" si="124"/>
        <v>Rede de Alta Tensão</v>
      </c>
      <c r="P1147" s="55" t="s">
        <v>4760</v>
      </c>
      <c r="Q1147" s="55" t="s">
        <v>4761</v>
      </c>
      <c r="R1147" s="55" t="s">
        <v>7109</v>
      </c>
      <c r="S1147" s="55" t="s">
        <v>692</v>
      </c>
      <c r="T1147" s="55" t="str">
        <f t="shared" si="125"/>
        <v>Redes Urbanas</v>
      </c>
      <c r="U1147" s="55" t="str">
        <f t="shared" si="125"/>
        <v>Redes Elétricas</v>
      </c>
      <c r="V1147" s="55" t="str">
        <f t="shared" si="125"/>
        <v>Redes de Transmissão</v>
      </c>
      <c r="W1147" s="54" t="s">
        <v>7259</v>
      </c>
      <c r="X1147" s="84" t="str">
        <f t="shared" si="120"/>
        <v>Key-COD-CT-1147</v>
      </c>
      <c r="Y1147" s="84" t="s">
        <v>7233</v>
      </c>
      <c r="Z1147" s="84" t="s">
        <v>692</v>
      </c>
      <c r="AA1147" s="84" t="s">
        <v>7192</v>
      </c>
      <c r="AB1147" s="84" t="s">
        <v>692</v>
      </c>
      <c r="AC1147" s="84" t="s">
        <v>692</v>
      </c>
      <c r="AD1147" s="54" t="s">
        <v>692</v>
      </c>
    </row>
    <row r="1148" spans="1:30" ht="6.6" customHeight="1" x14ac:dyDescent="0.25">
      <c r="A1148" s="85">
        <v>1148</v>
      </c>
      <c r="B1148" s="80" t="s">
        <v>5419</v>
      </c>
      <c r="C1148" s="91" t="s">
        <v>5485</v>
      </c>
      <c r="D1148" s="80" t="s">
        <v>4757</v>
      </c>
      <c r="E1148" s="80" t="s">
        <v>4758</v>
      </c>
      <c r="F1148" s="80" t="s">
        <v>4762</v>
      </c>
      <c r="G1148" s="92" t="s">
        <v>692</v>
      </c>
      <c r="H1148" s="92" t="s">
        <v>692</v>
      </c>
      <c r="I1148" s="92" t="s">
        <v>692</v>
      </c>
      <c r="J1148" s="92" t="s">
        <v>692</v>
      </c>
      <c r="K1148" s="92" t="s">
        <v>692</v>
      </c>
      <c r="L1148" s="90" t="str">
        <f t="shared" si="124"/>
        <v>Redes Urbanas</v>
      </c>
      <c r="M1148" s="90" t="str">
        <f t="shared" si="124"/>
        <v>Redes Elétricas</v>
      </c>
      <c r="N1148" s="90" t="str">
        <f t="shared" si="124"/>
        <v>Redes de Transmissão</v>
      </c>
      <c r="O1148" s="90" t="str">
        <f t="shared" si="124"/>
        <v>Torre de Transmissão</v>
      </c>
      <c r="P1148" s="55" t="s">
        <v>4763</v>
      </c>
      <c r="Q1148" s="55" t="s">
        <v>4764</v>
      </c>
      <c r="R1148" s="55" t="s">
        <v>7110</v>
      </c>
      <c r="S1148" s="55" t="s">
        <v>692</v>
      </c>
      <c r="T1148" s="55" t="str">
        <f t="shared" si="125"/>
        <v>Redes Urbanas</v>
      </c>
      <c r="U1148" s="55" t="str">
        <f t="shared" si="125"/>
        <v>Redes Elétricas</v>
      </c>
      <c r="V1148" s="55" t="str">
        <f t="shared" si="125"/>
        <v>Redes de Transmissão</v>
      </c>
      <c r="W1148" s="54" t="s">
        <v>7259</v>
      </c>
      <c r="X1148" s="84" t="str">
        <f t="shared" si="120"/>
        <v>Key-COD-CT-1148</v>
      </c>
      <c r="Y1148" s="84" t="s">
        <v>7233</v>
      </c>
      <c r="Z1148" s="84" t="s">
        <v>692</v>
      </c>
      <c r="AA1148" s="84" t="s">
        <v>7192</v>
      </c>
      <c r="AB1148" s="84" t="s">
        <v>692</v>
      </c>
      <c r="AC1148" s="84" t="s">
        <v>692</v>
      </c>
      <c r="AD1148" s="54" t="s">
        <v>692</v>
      </c>
    </row>
    <row r="1149" spans="1:30" ht="6.6" customHeight="1" x14ac:dyDescent="0.25">
      <c r="A1149" s="85">
        <v>1149</v>
      </c>
      <c r="B1149" s="80" t="s">
        <v>5419</v>
      </c>
      <c r="C1149" s="91" t="s">
        <v>5485</v>
      </c>
      <c r="D1149" s="80" t="s">
        <v>4757</v>
      </c>
      <c r="E1149" s="80" t="s">
        <v>4765</v>
      </c>
      <c r="F1149" s="80" t="s">
        <v>4766</v>
      </c>
      <c r="G1149" s="92" t="s">
        <v>692</v>
      </c>
      <c r="H1149" s="92" t="s">
        <v>692</v>
      </c>
      <c r="I1149" s="92" t="s">
        <v>692</v>
      </c>
      <c r="J1149" s="92" t="s">
        <v>692</v>
      </c>
      <c r="K1149" s="92" t="s">
        <v>692</v>
      </c>
      <c r="L1149" s="90" t="str">
        <f t="shared" si="124"/>
        <v>Redes Urbanas</v>
      </c>
      <c r="M1149" s="90" t="str">
        <f t="shared" si="124"/>
        <v>Redes Elétricas</v>
      </c>
      <c r="N1149" s="90" t="str">
        <f t="shared" si="124"/>
        <v>Redes de Distribuição</v>
      </c>
      <c r="O1149" s="90" t="str">
        <f t="shared" si="124"/>
        <v>Rede de MT Nua</v>
      </c>
      <c r="P1149" s="55" t="s">
        <v>4767</v>
      </c>
      <c r="Q1149" s="55" t="s">
        <v>4768</v>
      </c>
      <c r="R1149" s="55" t="s">
        <v>7111</v>
      </c>
      <c r="S1149" s="55" t="s">
        <v>692</v>
      </c>
      <c r="T1149" s="55" t="str">
        <f t="shared" si="125"/>
        <v>Redes Urbanas</v>
      </c>
      <c r="U1149" s="55" t="str">
        <f t="shared" si="125"/>
        <v>Redes Elétricas</v>
      </c>
      <c r="V1149" s="55" t="str">
        <f t="shared" si="125"/>
        <v>Redes de Distribuição</v>
      </c>
      <c r="W1149" s="54" t="s">
        <v>7259</v>
      </c>
      <c r="X1149" s="84" t="str">
        <f t="shared" si="120"/>
        <v>Key-COD-CT-1149</v>
      </c>
      <c r="Y1149" s="84" t="s">
        <v>7233</v>
      </c>
      <c r="Z1149" s="84" t="s">
        <v>692</v>
      </c>
      <c r="AA1149" s="84" t="s">
        <v>7192</v>
      </c>
      <c r="AB1149" s="84" t="s">
        <v>692</v>
      </c>
      <c r="AC1149" s="84" t="s">
        <v>692</v>
      </c>
      <c r="AD1149" s="54" t="s">
        <v>692</v>
      </c>
    </row>
    <row r="1150" spans="1:30" ht="6.6" customHeight="1" x14ac:dyDescent="0.25">
      <c r="A1150" s="85">
        <v>1150</v>
      </c>
      <c r="B1150" s="80" t="s">
        <v>5419</v>
      </c>
      <c r="C1150" s="91" t="s">
        <v>5485</v>
      </c>
      <c r="D1150" s="80" t="s">
        <v>4757</v>
      </c>
      <c r="E1150" s="80" t="s">
        <v>4765</v>
      </c>
      <c r="F1150" s="80" t="s">
        <v>4769</v>
      </c>
      <c r="G1150" s="92" t="s">
        <v>692</v>
      </c>
      <c r="H1150" s="92" t="s">
        <v>692</v>
      </c>
      <c r="I1150" s="92" t="s">
        <v>692</v>
      </c>
      <c r="J1150" s="92" t="s">
        <v>692</v>
      </c>
      <c r="K1150" s="92" t="s">
        <v>692</v>
      </c>
      <c r="L1150" s="90" t="str">
        <f t="shared" si="124"/>
        <v>Redes Urbanas</v>
      </c>
      <c r="M1150" s="90" t="str">
        <f t="shared" si="124"/>
        <v>Redes Elétricas</v>
      </c>
      <c r="N1150" s="90" t="str">
        <f t="shared" si="124"/>
        <v>Redes de Distribuição</v>
      </c>
      <c r="O1150" s="90" t="str">
        <f t="shared" si="124"/>
        <v>Rede de MT Multiplex</v>
      </c>
      <c r="P1150" s="55" t="s">
        <v>4770</v>
      </c>
      <c r="Q1150" s="55" t="s">
        <v>4771</v>
      </c>
      <c r="R1150" s="55" t="s">
        <v>7112</v>
      </c>
      <c r="S1150" s="55" t="s">
        <v>692</v>
      </c>
      <c r="T1150" s="55" t="str">
        <f t="shared" si="125"/>
        <v>Redes Urbanas</v>
      </c>
      <c r="U1150" s="55" t="str">
        <f t="shared" si="125"/>
        <v>Redes Elétricas</v>
      </c>
      <c r="V1150" s="55" t="str">
        <f t="shared" si="125"/>
        <v>Redes de Distribuição</v>
      </c>
      <c r="W1150" s="54" t="s">
        <v>7259</v>
      </c>
      <c r="X1150" s="84" t="str">
        <f t="shared" si="120"/>
        <v>Key-COD-CT-1150</v>
      </c>
      <c r="Y1150" s="84" t="s">
        <v>7233</v>
      </c>
      <c r="Z1150" s="84" t="s">
        <v>692</v>
      </c>
      <c r="AA1150" s="84" t="s">
        <v>7192</v>
      </c>
      <c r="AB1150" s="84" t="s">
        <v>692</v>
      </c>
      <c r="AC1150" s="84" t="s">
        <v>692</v>
      </c>
      <c r="AD1150" s="54" t="s">
        <v>692</v>
      </c>
    </row>
    <row r="1151" spans="1:30" ht="6.6" customHeight="1" x14ac:dyDescent="0.25">
      <c r="A1151" s="85">
        <v>1151</v>
      </c>
      <c r="B1151" s="80" t="s">
        <v>5419</v>
      </c>
      <c r="C1151" s="91" t="s">
        <v>5485</v>
      </c>
      <c r="D1151" s="80" t="s">
        <v>4757</v>
      </c>
      <c r="E1151" s="80" t="s">
        <v>4765</v>
      </c>
      <c r="F1151" s="80" t="s">
        <v>4772</v>
      </c>
      <c r="G1151" s="92" t="s">
        <v>692</v>
      </c>
      <c r="H1151" s="92" t="s">
        <v>692</v>
      </c>
      <c r="I1151" s="92" t="s">
        <v>692</v>
      </c>
      <c r="J1151" s="92" t="s">
        <v>692</v>
      </c>
      <c r="K1151" s="92" t="s">
        <v>692</v>
      </c>
      <c r="L1151" s="90" t="str">
        <f t="shared" si="124"/>
        <v>Redes Urbanas</v>
      </c>
      <c r="M1151" s="90" t="str">
        <f t="shared" si="124"/>
        <v>Redes Elétricas</v>
      </c>
      <c r="N1151" s="90" t="str">
        <f t="shared" si="124"/>
        <v>Redes de Distribuição</v>
      </c>
      <c r="O1151" s="90" t="str">
        <f t="shared" si="124"/>
        <v>Rede de MT Compacta</v>
      </c>
      <c r="P1151" s="55" t="s">
        <v>4773</v>
      </c>
      <c r="Q1151" s="55" t="s">
        <v>4774</v>
      </c>
      <c r="R1151" s="55" t="s">
        <v>7113</v>
      </c>
      <c r="S1151" s="55" t="s">
        <v>692</v>
      </c>
      <c r="T1151" s="55" t="str">
        <f t="shared" si="125"/>
        <v>Redes Urbanas</v>
      </c>
      <c r="U1151" s="55" t="str">
        <f t="shared" si="125"/>
        <v>Redes Elétricas</v>
      </c>
      <c r="V1151" s="55" t="str">
        <f t="shared" si="125"/>
        <v>Redes de Distribuição</v>
      </c>
      <c r="W1151" s="54" t="s">
        <v>7259</v>
      </c>
      <c r="X1151" s="84" t="str">
        <f t="shared" si="120"/>
        <v>Key-COD-CT-1151</v>
      </c>
      <c r="Y1151" s="84" t="s">
        <v>7233</v>
      </c>
      <c r="Z1151" s="84" t="s">
        <v>692</v>
      </c>
      <c r="AA1151" s="84" t="s">
        <v>7192</v>
      </c>
      <c r="AB1151" s="84" t="s">
        <v>692</v>
      </c>
      <c r="AC1151" s="84" t="s">
        <v>692</v>
      </c>
      <c r="AD1151" s="54" t="s">
        <v>692</v>
      </c>
    </row>
    <row r="1152" spans="1:30" ht="6.6" customHeight="1" x14ac:dyDescent="0.25">
      <c r="A1152" s="85">
        <v>1152</v>
      </c>
      <c r="B1152" s="80" t="s">
        <v>5419</v>
      </c>
      <c r="C1152" s="91" t="s">
        <v>5485</v>
      </c>
      <c r="D1152" s="80" t="s">
        <v>4757</v>
      </c>
      <c r="E1152" s="80" t="s">
        <v>4765</v>
      </c>
      <c r="F1152" s="80" t="s">
        <v>4775</v>
      </c>
      <c r="G1152" s="92" t="s">
        <v>692</v>
      </c>
      <c r="H1152" s="92" t="s">
        <v>692</v>
      </c>
      <c r="I1152" s="92" t="s">
        <v>692</v>
      </c>
      <c r="J1152" s="92" t="s">
        <v>692</v>
      </c>
      <c r="K1152" s="92" t="s">
        <v>692</v>
      </c>
      <c r="L1152" s="90" t="str">
        <f t="shared" si="124"/>
        <v>Redes Urbanas</v>
      </c>
      <c r="M1152" s="90" t="str">
        <f t="shared" si="124"/>
        <v>Redes Elétricas</v>
      </c>
      <c r="N1152" s="90" t="str">
        <f t="shared" si="124"/>
        <v>Redes de Distribuição</v>
      </c>
      <c r="O1152" s="90" t="str">
        <f t="shared" si="124"/>
        <v>Poste de Concreto Circular</v>
      </c>
      <c r="P1152" s="55" t="s">
        <v>4776</v>
      </c>
      <c r="Q1152" s="55" t="s">
        <v>4777</v>
      </c>
      <c r="R1152" s="55" t="s">
        <v>7114</v>
      </c>
      <c r="S1152" s="55" t="s">
        <v>692</v>
      </c>
      <c r="T1152" s="55" t="str">
        <f t="shared" si="125"/>
        <v>Redes Urbanas</v>
      </c>
      <c r="U1152" s="55" t="str">
        <f t="shared" si="125"/>
        <v>Redes Elétricas</v>
      </c>
      <c r="V1152" s="55" t="str">
        <f t="shared" si="125"/>
        <v>Redes de Distribuição</v>
      </c>
      <c r="W1152" s="54" t="s">
        <v>7259</v>
      </c>
      <c r="X1152" s="84" t="str">
        <f t="shared" si="120"/>
        <v>Key-COD-CT-1152</v>
      </c>
      <c r="Y1152" s="84" t="s">
        <v>7233</v>
      </c>
      <c r="Z1152" s="84" t="s">
        <v>692</v>
      </c>
      <c r="AA1152" s="84" t="s">
        <v>7192</v>
      </c>
      <c r="AB1152" s="84" t="s">
        <v>692</v>
      </c>
      <c r="AC1152" s="84" t="s">
        <v>692</v>
      </c>
      <c r="AD1152" s="54" t="s">
        <v>692</v>
      </c>
    </row>
    <row r="1153" spans="1:30" ht="6.6" customHeight="1" x14ac:dyDescent="0.25">
      <c r="A1153" s="85">
        <v>1153</v>
      </c>
      <c r="B1153" s="80" t="s">
        <v>5419</v>
      </c>
      <c r="C1153" s="91" t="s">
        <v>5485</v>
      </c>
      <c r="D1153" s="80" t="s">
        <v>4757</v>
      </c>
      <c r="E1153" s="80" t="s">
        <v>4765</v>
      </c>
      <c r="F1153" s="80" t="s">
        <v>4778</v>
      </c>
      <c r="G1153" s="92" t="s">
        <v>692</v>
      </c>
      <c r="H1153" s="92" t="s">
        <v>692</v>
      </c>
      <c r="I1153" s="92" t="s">
        <v>692</v>
      </c>
      <c r="J1153" s="92" t="s">
        <v>692</v>
      </c>
      <c r="K1153" s="92" t="s">
        <v>692</v>
      </c>
      <c r="L1153" s="90" t="str">
        <f t="shared" si="124"/>
        <v>Redes Urbanas</v>
      </c>
      <c r="M1153" s="90" t="str">
        <f t="shared" si="124"/>
        <v>Redes Elétricas</v>
      </c>
      <c r="N1153" s="90" t="str">
        <f t="shared" si="124"/>
        <v>Redes de Distribuição</v>
      </c>
      <c r="O1153" s="90" t="str">
        <f t="shared" si="124"/>
        <v>Poste de Concreto DT</v>
      </c>
      <c r="P1153" s="55" t="s">
        <v>4779</v>
      </c>
      <c r="Q1153" s="55" t="s">
        <v>4780</v>
      </c>
      <c r="R1153" s="55" t="s">
        <v>7115</v>
      </c>
      <c r="S1153" s="55" t="s">
        <v>692</v>
      </c>
      <c r="T1153" s="55" t="str">
        <f t="shared" si="125"/>
        <v>Redes Urbanas</v>
      </c>
      <c r="U1153" s="55" t="str">
        <f t="shared" si="125"/>
        <v>Redes Elétricas</v>
      </c>
      <c r="V1153" s="55" t="str">
        <f t="shared" si="125"/>
        <v>Redes de Distribuição</v>
      </c>
      <c r="W1153" s="54" t="s">
        <v>7259</v>
      </c>
      <c r="X1153" s="84" t="str">
        <f t="shared" si="120"/>
        <v>Key-COD-CT-1153</v>
      </c>
      <c r="Y1153" s="84" t="s">
        <v>7233</v>
      </c>
      <c r="Z1153" s="84" t="s">
        <v>692</v>
      </c>
      <c r="AA1153" s="84" t="s">
        <v>7192</v>
      </c>
      <c r="AB1153" s="84" t="s">
        <v>692</v>
      </c>
      <c r="AC1153" s="84" t="s">
        <v>692</v>
      </c>
      <c r="AD1153" s="54" t="s">
        <v>692</v>
      </c>
    </row>
    <row r="1154" spans="1:30" ht="6.6" customHeight="1" x14ac:dyDescent="0.25">
      <c r="A1154" s="85">
        <v>1154</v>
      </c>
      <c r="B1154" s="80" t="s">
        <v>5419</v>
      </c>
      <c r="C1154" s="91" t="s">
        <v>5485</v>
      </c>
      <c r="D1154" s="80" t="s">
        <v>4757</v>
      </c>
      <c r="E1154" s="80" t="s">
        <v>4765</v>
      </c>
      <c r="F1154" s="80" t="s">
        <v>4781</v>
      </c>
      <c r="G1154" s="92" t="s">
        <v>692</v>
      </c>
      <c r="H1154" s="92" t="s">
        <v>692</v>
      </c>
      <c r="I1154" s="92" t="s">
        <v>692</v>
      </c>
      <c r="J1154" s="92" t="s">
        <v>692</v>
      </c>
      <c r="K1154" s="92" t="s">
        <v>692</v>
      </c>
      <c r="L1154" s="90" t="str">
        <f t="shared" si="124"/>
        <v>Redes Urbanas</v>
      </c>
      <c r="M1154" s="90" t="str">
        <f t="shared" si="124"/>
        <v>Redes Elétricas</v>
      </c>
      <c r="N1154" s="90" t="str">
        <f t="shared" si="124"/>
        <v>Redes de Distribuição</v>
      </c>
      <c r="O1154" s="90" t="str">
        <f t="shared" si="124"/>
        <v>Rede de MT Subterrânea</v>
      </c>
      <c r="P1154" s="55" t="s">
        <v>4782</v>
      </c>
      <c r="Q1154" s="55" t="s">
        <v>4783</v>
      </c>
      <c r="R1154" s="55" t="s">
        <v>7116</v>
      </c>
      <c r="S1154" s="55" t="s">
        <v>692</v>
      </c>
      <c r="T1154" s="55" t="str">
        <f t="shared" si="125"/>
        <v>Redes Urbanas</v>
      </c>
      <c r="U1154" s="55" t="str">
        <f t="shared" si="125"/>
        <v>Redes Elétricas</v>
      </c>
      <c r="V1154" s="55" t="str">
        <f t="shared" si="125"/>
        <v>Redes de Distribuição</v>
      </c>
      <c r="W1154" s="54" t="s">
        <v>7259</v>
      </c>
      <c r="X1154" s="84" t="str">
        <f t="shared" si="120"/>
        <v>Key-COD-CT-1154</v>
      </c>
      <c r="Y1154" s="84" t="s">
        <v>7233</v>
      </c>
      <c r="Z1154" s="84" t="s">
        <v>692</v>
      </c>
      <c r="AA1154" s="84" t="s">
        <v>7192</v>
      </c>
      <c r="AB1154" s="84" t="s">
        <v>692</v>
      </c>
      <c r="AC1154" s="84" t="s">
        <v>692</v>
      </c>
      <c r="AD1154" s="54" t="s">
        <v>692</v>
      </c>
    </row>
    <row r="1155" spans="1:30" ht="6.6" customHeight="1" x14ac:dyDescent="0.25">
      <c r="A1155" s="85">
        <v>1155</v>
      </c>
      <c r="B1155" s="80" t="s">
        <v>5419</v>
      </c>
      <c r="C1155" s="91" t="s">
        <v>5485</v>
      </c>
      <c r="D1155" s="80" t="s">
        <v>4757</v>
      </c>
      <c r="E1155" s="80" t="s">
        <v>4765</v>
      </c>
      <c r="F1155" s="80" t="s">
        <v>4784</v>
      </c>
      <c r="G1155" s="92" t="s">
        <v>692</v>
      </c>
      <c r="H1155" s="92" t="s">
        <v>692</v>
      </c>
      <c r="I1155" s="92" t="s">
        <v>692</v>
      </c>
      <c r="J1155" s="92" t="s">
        <v>692</v>
      </c>
      <c r="K1155" s="92" t="s">
        <v>692</v>
      </c>
      <c r="L1155" s="90" t="str">
        <f t="shared" si="124"/>
        <v>Redes Urbanas</v>
      </c>
      <c r="M1155" s="90" t="str">
        <f t="shared" si="124"/>
        <v>Redes Elétricas</v>
      </c>
      <c r="N1155" s="90" t="str">
        <f t="shared" si="124"/>
        <v>Redes de Distribuição</v>
      </c>
      <c r="O1155" s="90" t="str">
        <f t="shared" si="124"/>
        <v>Rede de BT Aérea</v>
      </c>
      <c r="P1155" s="55" t="s">
        <v>4785</v>
      </c>
      <c r="Q1155" s="55" t="s">
        <v>4786</v>
      </c>
      <c r="R1155" s="55" t="s">
        <v>7117</v>
      </c>
      <c r="S1155" s="55" t="s">
        <v>692</v>
      </c>
      <c r="T1155" s="55" t="str">
        <f t="shared" si="125"/>
        <v>Redes Urbanas</v>
      </c>
      <c r="U1155" s="55" t="str">
        <f t="shared" si="125"/>
        <v>Redes Elétricas</v>
      </c>
      <c r="V1155" s="55" t="str">
        <f t="shared" si="125"/>
        <v>Redes de Distribuição</v>
      </c>
      <c r="W1155" s="54" t="s">
        <v>7259</v>
      </c>
      <c r="X1155" s="84" t="str">
        <f t="shared" ref="X1155:X1184" si="126">CONCATENATE("Key-COD-CT-",A1155)</f>
        <v>Key-COD-CT-1155</v>
      </c>
      <c r="Y1155" s="84" t="s">
        <v>7233</v>
      </c>
      <c r="Z1155" s="84" t="s">
        <v>692</v>
      </c>
      <c r="AA1155" s="84" t="s">
        <v>7192</v>
      </c>
      <c r="AB1155" s="84" t="s">
        <v>692</v>
      </c>
      <c r="AC1155" s="84" t="s">
        <v>692</v>
      </c>
      <c r="AD1155" s="54" t="s">
        <v>692</v>
      </c>
    </row>
    <row r="1156" spans="1:30" ht="6.6" customHeight="1" x14ac:dyDescent="0.25">
      <c r="A1156" s="85">
        <v>1156</v>
      </c>
      <c r="B1156" s="80" t="s">
        <v>5419</v>
      </c>
      <c r="C1156" s="91" t="s">
        <v>5485</v>
      </c>
      <c r="D1156" s="80" t="s">
        <v>4757</v>
      </c>
      <c r="E1156" s="80" t="s">
        <v>4765</v>
      </c>
      <c r="F1156" s="80" t="s">
        <v>4787</v>
      </c>
      <c r="G1156" s="92" t="s">
        <v>692</v>
      </c>
      <c r="H1156" s="92" t="s">
        <v>692</v>
      </c>
      <c r="I1156" s="92" t="s">
        <v>692</v>
      </c>
      <c r="J1156" s="92" t="s">
        <v>692</v>
      </c>
      <c r="K1156" s="92" t="s">
        <v>692</v>
      </c>
      <c r="L1156" s="90" t="str">
        <f t="shared" si="124"/>
        <v>Redes Urbanas</v>
      </c>
      <c r="M1156" s="90" t="str">
        <f t="shared" si="124"/>
        <v>Redes Elétricas</v>
      </c>
      <c r="N1156" s="90" t="str">
        <f t="shared" si="124"/>
        <v>Redes de Distribuição</v>
      </c>
      <c r="O1156" s="90" t="str">
        <f t="shared" si="124"/>
        <v>Rede de BT Subterrânea</v>
      </c>
      <c r="P1156" s="55" t="s">
        <v>4788</v>
      </c>
      <c r="Q1156" s="55" t="s">
        <v>4789</v>
      </c>
      <c r="R1156" s="55" t="s">
        <v>7118</v>
      </c>
      <c r="S1156" s="55" t="s">
        <v>692</v>
      </c>
      <c r="T1156" s="55" t="str">
        <f t="shared" si="125"/>
        <v>Redes Urbanas</v>
      </c>
      <c r="U1156" s="55" t="str">
        <f t="shared" si="125"/>
        <v>Redes Elétricas</v>
      </c>
      <c r="V1156" s="55" t="str">
        <f t="shared" si="125"/>
        <v>Redes de Distribuição</v>
      </c>
      <c r="W1156" s="54" t="s">
        <v>7259</v>
      </c>
      <c r="X1156" s="84" t="str">
        <f t="shared" si="126"/>
        <v>Key-COD-CT-1156</v>
      </c>
      <c r="Y1156" s="84" t="s">
        <v>7233</v>
      </c>
      <c r="Z1156" s="84" t="s">
        <v>692</v>
      </c>
      <c r="AA1156" s="84" t="s">
        <v>7192</v>
      </c>
      <c r="AB1156" s="84" t="s">
        <v>692</v>
      </c>
      <c r="AC1156" s="84" t="s">
        <v>692</v>
      </c>
      <c r="AD1156" s="54" t="s">
        <v>692</v>
      </c>
    </row>
    <row r="1157" spans="1:30" ht="6.6" customHeight="1" x14ac:dyDescent="0.25">
      <c r="A1157" s="85">
        <v>1157</v>
      </c>
      <c r="B1157" s="80" t="s">
        <v>5419</v>
      </c>
      <c r="C1157" s="91" t="s">
        <v>5485</v>
      </c>
      <c r="D1157" s="80" t="s">
        <v>4757</v>
      </c>
      <c r="E1157" s="80" t="s">
        <v>4790</v>
      </c>
      <c r="F1157" s="80" t="s">
        <v>4791</v>
      </c>
      <c r="G1157" s="92" t="s">
        <v>692</v>
      </c>
      <c r="H1157" s="92" t="s">
        <v>692</v>
      </c>
      <c r="I1157" s="92" t="s">
        <v>692</v>
      </c>
      <c r="J1157" s="92" t="s">
        <v>692</v>
      </c>
      <c r="K1157" s="92" t="s">
        <v>692</v>
      </c>
      <c r="L1157" s="90" t="str">
        <f t="shared" si="124"/>
        <v>Redes Urbanas</v>
      </c>
      <c r="M1157" s="90" t="str">
        <f t="shared" si="124"/>
        <v>Redes Elétricas</v>
      </c>
      <c r="N1157" s="90" t="str">
        <f t="shared" si="124"/>
        <v>Conexões de EE</v>
      </c>
      <c r="O1157" s="90" t="str">
        <f t="shared" si="124"/>
        <v>Ponto de Entrega</v>
      </c>
      <c r="P1157" s="55" t="s">
        <v>4792</v>
      </c>
      <c r="Q1157" s="55" t="s">
        <v>4793</v>
      </c>
      <c r="R1157" s="55" t="s">
        <v>7119</v>
      </c>
      <c r="S1157" s="55" t="s">
        <v>692</v>
      </c>
      <c r="T1157" s="55" t="str">
        <f t="shared" si="125"/>
        <v>Redes Urbanas</v>
      </c>
      <c r="U1157" s="55" t="str">
        <f t="shared" si="125"/>
        <v>Redes Elétricas</v>
      </c>
      <c r="V1157" s="55" t="str">
        <f t="shared" si="125"/>
        <v>Conexões de EE</v>
      </c>
      <c r="W1157" s="54" t="s">
        <v>7259</v>
      </c>
      <c r="X1157" s="84" t="str">
        <f t="shared" si="126"/>
        <v>Key-COD-CT-1157</v>
      </c>
      <c r="Y1157" s="84" t="s">
        <v>7233</v>
      </c>
      <c r="Z1157" s="84" t="s">
        <v>692</v>
      </c>
      <c r="AA1157" s="84" t="s">
        <v>7192</v>
      </c>
      <c r="AB1157" s="84" t="s">
        <v>692</v>
      </c>
      <c r="AC1157" s="84" t="s">
        <v>692</v>
      </c>
      <c r="AD1157" s="54" t="s">
        <v>692</v>
      </c>
    </row>
    <row r="1158" spans="1:30" ht="6.6" customHeight="1" x14ac:dyDescent="0.25">
      <c r="A1158" s="85">
        <v>1158</v>
      </c>
      <c r="B1158" s="80" t="s">
        <v>5419</v>
      </c>
      <c r="C1158" s="91" t="s">
        <v>5485</v>
      </c>
      <c r="D1158" s="80" t="s">
        <v>4757</v>
      </c>
      <c r="E1158" s="80" t="s">
        <v>4790</v>
      </c>
      <c r="F1158" s="80" t="s">
        <v>4794</v>
      </c>
      <c r="G1158" s="92" t="s">
        <v>692</v>
      </c>
      <c r="H1158" s="92" t="s">
        <v>692</v>
      </c>
      <c r="I1158" s="92" t="s">
        <v>692</v>
      </c>
      <c r="J1158" s="92" t="s">
        <v>692</v>
      </c>
      <c r="K1158" s="92" t="s">
        <v>692</v>
      </c>
      <c r="L1158" s="90" t="str">
        <f t="shared" si="124"/>
        <v>Redes Urbanas</v>
      </c>
      <c r="M1158" s="90" t="str">
        <f t="shared" si="124"/>
        <v>Redes Elétricas</v>
      </c>
      <c r="N1158" s="90" t="str">
        <f t="shared" si="124"/>
        <v>Conexões de EE</v>
      </c>
      <c r="O1158" s="90" t="str">
        <f t="shared" si="124"/>
        <v>Ponto de Entrada</v>
      </c>
      <c r="P1158" s="55" t="s">
        <v>4795</v>
      </c>
      <c r="Q1158" s="55" t="s">
        <v>4796</v>
      </c>
      <c r="R1158" s="55" t="s">
        <v>7120</v>
      </c>
      <c r="S1158" s="55" t="s">
        <v>692</v>
      </c>
      <c r="T1158" s="55" t="str">
        <f t="shared" si="125"/>
        <v>Redes Urbanas</v>
      </c>
      <c r="U1158" s="55" t="str">
        <f t="shared" si="125"/>
        <v>Redes Elétricas</v>
      </c>
      <c r="V1158" s="55" t="str">
        <f t="shared" si="125"/>
        <v>Conexões de EE</v>
      </c>
      <c r="W1158" s="54" t="s">
        <v>7259</v>
      </c>
      <c r="X1158" s="84" t="str">
        <f t="shared" si="126"/>
        <v>Key-COD-CT-1158</v>
      </c>
      <c r="Y1158" s="84" t="s">
        <v>7233</v>
      </c>
      <c r="Z1158" s="84" t="s">
        <v>692</v>
      </c>
      <c r="AA1158" s="84" t="s">
        <v>7192</v>
      </c>
      <c r="AB1158" s="84" t="s">
        <v>692</v>
      </c>
      <c r="AC1158" s="84" t="s">
        <v>692</v>
      </c>
      <c r="AD1158" s="54" t="s">
        <v>692</v>
      </c>
    </row>
    <row r="1159" spans="1:30" ht="6.6" customHeight="1" x14ac:dyDescent="0.25">
      <c r="A1159" s="85">
        <v>1159</v>
      </c>
      <c r="B1159" s="80" t="s">
        <v>5419</v>
      </c>
      <c r="C1159" s="91" t="s">
        <v>5485</v>
      </c>
      <c r="D1159" s="80" t="s">
        <v>4757</v>
      </c>
      <c r="E1159" s="80" t="s">
        <v>4790</v>
      </c>
      <c r="F1159" s="80" t="s">
        <v>4797</v>
      </c>
      <c r="G1159" s="92" t="s">
        <v>692</v>
      </c>
      <c r="H1159" s="92" t="s">
        <v>692</v>
      </c>
      <c r="I1159" s="92" t="s">
        <v>692</v>
      </c>
      <c r="J1159" s="92" t="s">
        <v>692</v>
      </c>
      <c r="K1159" s="92" t="s">
        <v>692</v>
      </c>
      <c r="L1159" s="90" t="str">
        <f t="shared" si="124"/>
        <v>Redes Urbanas</v>
      </c>
      <c r="M1159" s="90" t="str">
        <f t="shared" si="124"/>
        <v>Redes Elétricas</v>
      </c>
      <c r="N1159" s="90" t="str">
        <f t="shared" si="124"/>
        <v>Conexões de EE</v>
      </c>
      <c r="O1159" s="90" t="str">
        <f t="shared" si="124"/>
        <v>Esquema TN</v>
      </c>
      <c r="P1159" s="55" t="s">
        <v>4798</v>
      </c>
      <c r="Q1159" s="55" t="s">
        <v>4799</v>
      </c>
      <c r="R1159" s="55" t="s">
        <v>7121</v>
      </c>
      <c r="S1159" s="55" t="s">
        <v>692</v>
      </c>
      <c r="T1159" s="55" t="str">
        <f t="shared" si="125"/>
        <v>Redes Urbanas</v>
      </c>
      <c r="U1159" s="55" t="str">
        <f t="shared" si="125"/>
        <v>Redes Elétricas</v>
      </c>
      <c r="V1159" s="55" t="str">
        <f t="shared" si="125"/>
        <v>Conexões de EE</v>
      </c>
      <c r="W1159" s="54" t="s">
        <v>7259</v>
      </c>
      <c r="X1159" s="84" t="str">
        <f t="shared" si="126"/>
        <v>Key-COD-CT-1159</v>
      </c>
      <c r="Y1159" s="84" t="s">
        <v>7233</v>
      </c>
      <c r="Z1159" s="84" t="s">
        <v>692</v>
      </c>
      <c r="AA1159" s="84" t="s">
        <v>7192</v>
      </c>
      <c r="AB1159" s="84" t="s">
        <v>692</v>
      </c>
      <c r="AC1159" s="84" t="s">
        <v>692</v>
      </c>
      <c r="AD1159" s="54" t="s">
        <v>692</v>
      </c>
    </row>
    <row r="1160" spans="1:30" ht="6.6" customHeight="1" x14ac:dyDescent="0.25">
      <c r="A1160" s="85">
        <v>1160</v>
      </c>
      <c r="B1160" s="80" t="s">
        <v>5419</v>
      </c>
      <c r="C1160" s="91" t="s">
        <v>5485</v>
      </c>
      <c r="D1160" s="80" t="s">
        <v>4757</v>
      </c>
      <c r="E1160" s="80" t="s">
        <v>4790</v>
      </c>
      <c r="F1160" s="80" t="s">
        <v>4800</v>
      </c>
      <c r="G1160" s="92" t="s">
        <v>692</v>
      </c>
      <c r="H1160" s="92" t="s">
        <v>692</v>
      </c>
      <c r="I1160" s="92" t="s">
        <v>692</v>
      </c>
      <c r="J1160" s="92" t="s">
        <v>692</v>
      </c>
      <c r="K1160" s="92" t="s">
        <v>692</v>
      </c>
      <c r="L1160" s="90" t="str">
        <f t="shared" si="124"/>
        <v>Redes Urbanas</v>
      </c>
      <c r="M1160" s="90" t="str">
        <f t="shared" si="124"/>
        <v>Redes Elétricas</v>
      </c>
      <c r="N1160" s="90" t="str">
        <f t="shared" si="124"/>
        <v>Conexões de EE</v>
      </c>
      <c r="O1160" s="90" t="str">
        <f t="shared" si="124"/>
        <v>Esquema TT</v>
      </c>
      <c r="P1160" s="55" t="s">
        <v>4801</v>
      </c>
      <c r="Q1160" s="55" t="s">
        <v>4802</v>
      </c>
      <c r="R1160" s="55" t="s">
        <v>7122</v>
      </c>
      <c r="S1160" s="55" t="s">
        <v>692</v>
      </c>
      <c r="T1160" s="55" t="str">
        <f t="shared" si="125"/>
        <v>Redes Urbanas</v>
      </c>
      <c r="U1160" s="55" t="str">
        <f t="shared" si="125"/>
        <v>Redes Elétricas</v>
      </c>
      <c r="V1160" s="55" t="str">
        <f t="shared" si="125"/>
        <v>Conexões de EE</v>
      </c>
      <c r="W1160" s="54" t="s">
        <v>7259</v>
      </c>
      <c r="X1160" s="84" t="str">
        <f t="shared" si="126"/>
        <v>Key-COD-CT-1160</v>
      </c>
      <c r="Y1160" s="84" t="s">
        <v>7233</v>
      </c>
      <c r="Z1160" s="84" t="s">
        <v>692</v>
      </c>
      <c r="AA1160" s="84" t="s">
        <v>7192</v>
      </c>
      <c r="AB1160" s="84" t="s">
        <v>692</v>
      </c>
      <c r="AC1160" s="84" t="s">
        <v>692</v>
      </c>
      <c r="AD1160" s="54" t="s">
        <v>692</v>
      </c>
    </row>
    <row r="1161" spans="1:30" ht="6.6" customHeight="1" x14ac:dyDescent="0.25">
      <c r="A1161" s="85">
        <v>1161</v>
      </c>
      <c r="B1161" s="80" t="s">
        <v>5419</v>
      </c>
      <c r="C1161" s="91" t="s">
        <v>5485</v>
      </c>
      <c r="D1161" s="80" t="s">
        <v>4757</v>
      </c>
      <c r="E1161" s="80" t="s">
        <v>4790</v>
      </c>
      <c r="F1161" s="80" t="s">
        <v>4803</v>
      </c>
      <c r="G1161" s="92" t="s">
        <v>692</v>
      </c>
      <c r="H1161" s="92" t="s">
        <v>692</v>
      </c>
      <c r="I1161" s="92" t="s">
        <v>692</v>
      </c>
      <c r="J1161" s="92" t="s">
        <v>692</v>
      </c>
      <c r="K1161" s="92" t="s">
        <v>692</v>
      </c>
      <c r="L1161" s="90" t="str">
        <f t="shared" si="124"/>
        <v>Redes Urbanas</v>
      </c>
      <c r="M1161" s="90" t="str">
        <f t="shared" si="124"/>
        <v>Redes Elétricas</v>
      </c>
      <c r="N1161" s="90" t="str">
        <f t="shared" si="124"/>
        <v>Conexões de EE</v>
      </c>
      <c r="O1161" s="90" t="str">
        <f t="shared" si="124"/>
        <v>Esquema TI</v>
      </c>
      <c r="P1161" s="55" t="s">
        <v>4804</v>
      </c>
      <c r="Q1161" s="55" t="s">
        <v>4805</v>
      </c>
      <c r="R1161" s="55" t="s">
        <v>7123</v>
      </c>
      <c r="S1161" s="55" t="s">
        <v>692</v>
      </c>
      <c r="T1161" s="55" t="str">
        <f t="shared" si="125"/>
        <v>Redes Urbanas</v>
      </c>
      <c r="U1161" s="55" t="str">
        <f t="shared" si="125"/>
        <v>Redes Elétricas</v>
      </c>
      <c r="V1161" s="55" t="str">
        <f t="shared" si="125"/>
        <v>Conexões de EE</v>
      </c>
      <c r="W1161" s="54" t="s">
        <v>7259</v>
      </c>
      <c r="X1161" s="84" t="str">
        <f t="shared" si="126"/>
        <v>Key-COD-CT-1161</v>
      </c>
      <c r="Y1161" s="84" t="s">
        <v>7233</v>
      </c>
      <c r="Z1161" s="84" t="s">
        <v>692</v>
      </c>
      <c r="AA1161" s="84" t="s">
        <v>7193</v>
      </c>
      <c r="AB1161" s="84" t="s">
        <v>692</v>
      </c>
      <c r="AC1161" s="84" t="s">
        <v>692</v>
      </c>
      <c r="AD1161" s="54" t="s">
        <v>692</v>
      </c>
    </row>
    <row r="1162" spans="1:30" ht="6.6" customHeight="1" x14ac:dyDescent="0.25">
      <c r="A1162" s="85">
        <v>1162</v>
      </c>
      <c r="B1162" s="80" t="s">
        <v>5419</v>
      </c>
      <c r="C1162" s="91" t="s">
        <v>5485</v>
      </c>
      <c r="D1162" s="80" t="s">
        <v>4806</v>
      </c>
      <c r="E1162" s="80" t="s">
        <v>4807</v>
      </c>
      <c r="F1162" s="80" t="s">
        <v>4808</v>
      </c>
      <c r="G1162" s="92" t="s">
        <v>692</v>
      </c>
      <c r="H1162" s="92" t="s">
        <v>692</v>
      </c>
      <c r="I1162" s="92" t="s">
        <v>692</v>
      </c>
      <c r="J1162" s="92" t="s">
        <v>692</v>
      </c>
      <c r="K1162" s="92" t="s">
        <v>692</v>
      </c>
      <c r="L1162" s="90" t="str">
        <f t="shared" si="124"/>
        <v>Redes Urbanas</v>
      </c>
      <c r="M1162" s="90" t="str">
        <f t="shared" si="124"/>
        <v>Redes Iluminação</v>
      </c>
      <c r="N1162" s="90" t="str">
        <f t="shared" si="124"/>
        <v>Redes de Iluminação</v>
      </c>
      <c r="O1162" s="90" t="str">
        <f t="shared" si="124"/>
        <v>Rede Pública de Iluminação</v>
      </c>
      <c r="P1162" s="55" t="s">
        <v>4809</v>
      </c>
      <c r="Q1162" s="55" t="s">
        <v>4810</v>
      </c>
      <c r="R1162" s="55" t="s">
        <v>7124</v>
      </c>
      <c r="S1162" s="55" t="s">
        <v>692</v>
      </c>
      <c r="T1162" s="55" t="str">
        <f t="shared" si="125"/>
        <v>Redes Urbanas</v>
      </c>
      <c r="U1162" s="55" t="str">
        <f t="shared" si="125"/>
        <v>Redes Iluminação</v>
      </c>
      <c r="V1162" s="55" t="str">
        <f t="shared" si="125"/>
        <v>Redes de Iluminação</v>
      </c>
      <c r="W1162" s="54" t="s">
        <v>7259</v>
      </c>
      <c r="X1162" s="84" t="str">
        <f t="shared" si="126"/>
        <v>Key-COD-CT-1162</v>
      </c>
      <c r="Y1162" s="84" t="s">
        <v>7233</v>
      </c>
      <c r="Z1162" s="84" t="s">
        <v>692</v>
      </c>
      <c r="AA1162" s="84" t="s">
        <v>7194</v>
      </c>
      <c r="AB1162" s="84" t="s">
        <v>692</v>
      </c>
      <c r="AC1162" s="84" t="s">
        <v>692</v>
      </c>
      <c r="AD1162" s="54" t="s">
        <v>692</v>
      </c>
    </row>
    <row r="1163" spans="1:30" ht="6.6" customHeight="1" x14ac:dyDescent="0.25">
      <c r="A1163" s="85">
        <v>1163</v>
      </c>
      <c r="B1163" s="80" t="s">
        <v>5419</v>
      </c>
      <c r="C1163" s="91" t="s">
        <v>5485</v>
      </c>
      <c r="D1163" s="80" t="s">
        <v>4806</v>
      </c>
      <c r="E1163" s="80" t="s">
        <v>4807</v>
      </c>
      <c r="F1163" s="80" t="s">
        <v>4811</v>
      </c>
      <c r="G1163" s="92" t="s">
        <v>692</v>
      </c>
      <c r="H1163" s="92" t="s">
        <v>692</v>
      </c>
      <c r="I1163" s="92" t="s">
        <v>692</v>
      </c>
      <c r="J1163" s="92" t="s">
        <v>692</v>
      </c>
      <c r="K1163" s="92" t="s">
        <v>692</v>
      </c>
      <c r="L1163" s="90" t="str">
        <f t="shared" si="124"/>
        <v>Redes Urbanas</v>
      </c>
      <c r="M1163" s="90" t="str">
        <f t="shared" si="124"/>
        <v>Redes Iluminação</v>
      </c>
      <c r="N1163" s="90" t="str">
        <f t="shared" si="124"/>
        <v>Redes de Iluminação</v>
      </c>
      <c r="O1163" s="90" t="str">
        <f t="shared" si="124"/>
        <v>Rede Pública de Sinalização</v>
      </c>
      <c r="P1163" s="55" t="s">
        <v>4812</v>
      </c>
      <c r="Q1163" s="55" t="s">
        <v>4813</v>
      </c>
      <c r="R1163" s="55" t="s">
        <v>7125</v>
      </c>
      <c r="S1163" s="55" t="s">
        <v>692</v>
      </c>
      <c r="T1163" s="55" t="str">
        <f t="shared" si="125"/>
        <v>Redes Urbanas</v>
      </c>
      <c r="U1163" s="55" t="str">
        <f t="shared" si="125"/>
        <v>Redes Iluminação</v>
      </c>
      <c r="V1163" s="55" t="str">
        <f t="shared" si="125"/>
        <v>Redes de Iluminação</v>
      </c>
      <c r="W1163" s="54" t="s">
        <v>7259</v>
      </c>
      <c r="X1163" s="84" t="str">
        <f t="shared" si="126"/>
        <v>Key-COD-CT-1163</v>
      </c>
      <c r="Y1163" s="84" t="s">
        <v>7233</v>
      </c>
      <c r="Z1163" s="84" t="s">
        <v>692</v>
      </c>
      <c r="AA1163" s="84" t="s">
        <v>5486</v>
      </c>
      <c r="AB1163" s="84" t="s">
        <v>692</v>
      </c>
      <c r="AC1163" s="84" t="s">
        <v>692</v>
      </c>
      <c r="AD1163" s="54" t="s">
        <v>692</v>
      </c>
    </row>
    <row r="1164" spans="1:30" ht="6.6" customHeight="1" x14ac:dyDescent="0.25">
      <c r="A1164" s="85">
        <v>1164</v>
      </c>
      <c r="B1164" s="80" t="s">
        <v>5419</v>
      </c>
      <c r="C1164" s="91" t="s">
        <v>5485</v>
      </c>
      <c r="D1164" s="80" t="s">
        <v>4814</v>
      </c>
      <c r="E1164" s="80" t="s">
        <v>4815</v>
      </c>
      <c r="F1164" s="80" t="s">
        <v>4816</v>
      </c>
      <c r="G1164" s="92" t="s">
        <v>692</v>
      </c>
      <c r="H1164" s="92" t="s">
        <v>692</v>
      </c>
      <c r="I1164" s="92" t="s">
        <v>692</v>
      </c>
      <c r="J1164" s="92" t="s">
        <v>692</v>
      </c>
      <c r="K1164" s="92" t="s">
        <v>692</v>
      </c>
      <c r="L1164" s="90" t="str">
        <f t="shared" ref="L1164:O1179" si="127">SUBSTITUTE(CONCATENATE("", C1164), ".", " ")</f>
        <v>Redes Urbanas</v>
      </c>
      <c r="M1164" s="90" t="str">
        <f t="shared" si="127"/>
        <v>Redes de Telecom</v>
      </c>
      <c r="N1164" s="90" t="str">
        <f t="shared" si="127"/>
        <v>Redes de Fibra Ótica</v>
      </c>
      <c r="O1164" s="90" t="str">
        <f t="shared" si="127"/>
        <v>Rede Fibra Ótica Aérea</v>
      </c>
      <c r="P1164" s="55" t="s">
        <v>4817</v>
      </c>
      <c r="Q1164" s="55" t="s">
        <v>4818</v>
      </c>
      <c r="R1164" s="55" t="s">
        <v>7126</v>
      </c>
      <c r="S1164" s="55" t="s">
        <v>692</v>
      </c>
      <c r="T1164" s="55" t="str">
        <f t="shared" si="125"/>
        <v>Redes Urbanas</v>
      </c>
      <c r="U1164" s="55" t="str">
        <f t="shared" si="125"/>
        <v>Redes de Telecom</v>
      </c>
      <c r="V1164" s="55" t="str">
        <f t="shared" si="125"/>
        <v>Redes de Fibra Ótica</v>
      </c>
      <c r="W1164" s="54" t="s">
        <v>7259</v>
      </c>
      <c r="X1164" s="84" t="str">
        <f t="shared" si="126"/>
        <v>Key-COD-CT-1164</v>
      </c>
      <c r="Y1164" s="84" t="s">
        <v>7233</v>
      </c>
      <c r="Z1164" s="84" t="s">
        <v>692</v>
      </c>
      <c r="AA1164" s="84" t="s">
        <v>5486</v>
      </c>
      <c r="AB1164" s="84" t="s">
        <v>692</v>
      </c>
      <c r="AC1164" s="84" t="s">
        <v>692</v>
      </c>
      <c r="AD1164" s="54" t="s">
        <v>692</v>
      </c>
    </row>
    <row r="1165" spans="1:30" ht="6.6" customHeight="1" x14ac:dyDescent="0.25">
      <c r="A1165" s="85">
        <v>1165</v>
      </c>
      <c r="B1165" s="80" t="s">
        <v>5419</v>
      </c>
      <c r="C1165" s="91" t="s">
        <v>5485</v>
      </c>
      <c r="D1165" s="80" t="s">
        <v>4814</v>
      </c>
      <c r="E1165" s="80" t="s">
        <v>4815</v>
      </c>
      <c r="F1165" s="80" t="s">
        <v>4819</v>
      </c>
      <c r="G1165" s="92" t="s">
        <v>692</v>
      </c>
      <c r="H1165" s="92" t="s">
        <v>692</v>
      </c>
      <c r="I1165" s="92" t="s">
        <v>692</v>
      </c>
      <c r="J1165" s="92" t="s">
        <v>692</v>
      </c>
      <c r="K1165" s="92" t="s">
        <v>692</v>
      </c>
      <c r="L1165" s="90" t="str">
        <f t="shared" si="127"/>
        <v>Redes Urbanas</v>
      </c>
      <c r="M1165" s="90" t="str">
        <f t="shared" si="127"/>
        <v>Redes de Telecom</v>
      </c>
      <c r="N1165" s="90" t="str">
        <f t="shared" si="127"/>
        <v>Redes de Fibra Ótica</v>
      </c>
      <c r="O1165" s="90" t="str">
        <f t="shared" si="127"/>
        <v>Rede Fibra Ótica Subterrânea</v>
      </c>
      <c r="P1165" s="55" t="s">
        <v>4820</v>
      </c>
      <c r="Q1165" s="55" t="s">
        <v>4821</v>
      </c>
      <c r="R1165" s="55" t="s">
        <v>7127</v>
      </c>
      <c r="S1165" s="55" t="s">
        <v>692</v>
      </c>
      <c r="T1165" s="55" t="str">
        <f t="shared" si="125"/>
        <v>Redes Urbanas</v>
      </c>
      <c r="U1165" s="55" t="str">
        <f t="shared" si="125"/>
        <v>Redes de Telecom</v>
      </c>
      <c r="V1165" s="55" t="str">
        <f t="shared" si="125"/>
        <v>Redes de Fibra Ótica</v>
      </c>
      <c r="W1165" s="54" t="s">
        <v>7259</v>
      </c>
      <c r="X1165" s="84" t="str">
        <f t="shared" si="126"/>
        <v>Key-COD-CT-1165</v>
      </c>
      <c r="Y1165" s="84" t="s">
        <v>7233</v>
      </c>
      <c r="Z1165" s="84" t="s">
        <v>692</v>
      </c>
      <c r="AA1165" s="84" t="s">
        <v>7195</v>
      </c>
      <c r="AB1165" s="84" t="s">
        <v>692</v>
      </c>
      <c r="AC1165" s="84" t="s">
        <v>692</v>
      </c>
      <c r="AD1165" s="54" t="s">
        <v>692</v>
      </c>
    </row>
    <row r="1166" spans="1:30" ht="6.6" customHeight="1" x14ac:dyDescent="0.25">
      <c r="A1166" s="85">
        <v>1166</v>
      </c>
      <c r="B1166" s="80" t="s">
        <v>5419</v>
      </c>
      <c r="C1166" s="91" t="s">
        <v>5485</v>
      </c>
      <c r="D1166" s="80" t="s">
        <v>4814</v>
      </c>
      <c r="E1166" s="80" t="s">
        <v>4822</v>
      </c>
      <c r="F1166" s="80" t="s">
        <v>4823</v>
      </c>
      <c r="G1166" s="92" t="s">
        <v>692</v>
      </c>
      <c r="H1166" s="92" t="s">
        <v>692</v>
      </c>
      <c r="I1166" s="92" t="s">
        <v>692</v>
      </c>
      <c r="J1166" s="92" t="s">
        <v>692</v>
      </c>
      <c r="K1166" s="92" t="s">
        <v>692</v>
      </c>
      <c r="L1166" s="90" t="str">
        <f t="shared" si="127"/>
        <v>Redes Urbanas</v>
      </c>
      <c r="M1166" s="90" t="str">
        <f t="shared" si="127"/>
        <v>Redes de Telecom</v>
      </c>
      <c r="N1166" s="90" t="str">
        <f t="shared" si="127"/>
        <v>Redes de Dados</v>
      </c>
      <c r="O1166" s="90" t="str">
        <f t="shared" si="127"/>
        <v>Rede de Dados Aérea</v>
      </c>
      <c r="P1166" s="55" t="s">
        <v>4824</v>
      </c>
      <c r="Q1166" s="55" t="s">
        <v>4825</v>
      </c>
      <c r="R1166" s="55" t="s">
        <v>7128</v>
      </c>
      <c r="S1166" s="55" t="s">
        <v>692</v>
      </c>
      <c r="T1166" s="55" t="str">
        <f t="shared" si="125"/>
        <v>Redes Urbanas</v>
      </c>
      <c r="U1166" s="55" t="str">
        <f t="shared" si="125"/>
        <v>Redes de Telecom</v>
      </c>
      <c r="V1166" s="55" t="str">
        <f t="shared" si="125"/>
        <v>Redes de Dados</v>
      </c>
      <c r="W1166" s="54" t="s">
        <v>7259</v>
      </c>
      <c r="X1166" s="84" t="str">
        <f t="shared" si="126"/>
        <v>Key-COD-CT-1166</v>
      </c>
      <c r="Y1166" s="84" t="s">
        <v>7233</v>
      </c>
      <c r="Z1166" s="84" t="s">
        <v>692</v>
      </c>
      <c r="AA1166" s="84" t="s">
        <v>7195</v>
      </c>
      <c r="AB1166" s="84" t="s">
        <v>692</v>
      </c>
      <c r="AC1166" s="84" t="s">
        <v>692</v>
      </c>
      <c r="AD1166" s="54" t="s">
        <v>692</v>
      </c>
    </row>
    <row r="1167" spans="1:30" ht="6.6" customHeight="1" x14ac:dyDescent="0.25">
      <c r="A1167" s="85">
        <v>1167</v>
      </c>
      <c r="B1167" s="80" t="s">
        <v>5419</v>
      </c>
      <c r="C1167" s="91" t="s">
        <v>5485</v>
      </c>
      <c r="D1167" s="80" t="s">
        <v>4814</v>
      </c>
      <c r="E1167" s="80" t="s">
        <v>4822</v>
      </c>
      <c r="F1167" s="80" t="s">
        <v>4826</v>
      </c>
      <c r="G1167" s="92" t="s">
        <v>692</v>
      </c>
      <c r="H1167" s="92" t="s">
        <v>692</v>
      </c>
      <c r="I1167" s="92" t="s">
        <v>692</v>
      </c>
      <c r="J1167" s="92" t="s">
        <v>692</v>
      </c>
      <c r="K1167" s="92" t="s">
        <v>692</v>
      </c>
      <c r="L1167" s="90" t="str">
        <f t="shared" si="127"/>
        <v>Redes Urbanas</v>
      </c>
      <c r="M1167" s="90" t="str">
        <f t="shared" si="127"/>
        <v>Redes de Telecom</v>
      </c>
      <c r="N1167" s="90" t="str">
        <f t="shared" si="127"/>
        <v>Redes de Dados</v>
      </c>
      <c r="O1167" s="90" t="str">
        <f t="shared" si="127"/>
        <v>Rede de Dados Subterrânea</v>
      </c>
      <c r="P1167" s="55" t="s">
        <v>4827</v>
      </c>
      <c r="Q1167" s="55" t="s">
        <v>4828</v>
      </c>
      <c r="R1167" s="55" t="s">
        <v>7129</v>
      </c>
      <c r="S1167" s="55" t="s">
        <v>692</v>
      </c>
      <c r="T1167" s="55" t="str">
        <f t="shared" si="125"/>
        <v>Redes Urbanas</v>
      </c>
      <c r="U1167" s="55" t="str">
        <f t="shared" si="125"/>
        <v>Redes de Telecom</v>
      </c>
      <c r="V1167" s="55" t="str">
        <f t="shared" si="125"/>
        <v>Redes de Dados</v>
      </c>
      <c r="W1167" s="54" t="s">
        <v>7259</v>
      </c>
      <c r="X1167" s="84" t="str">
        <f t="shared" si="126"/>
        <v>Key-COD-CT-1167</v>
      </c>
      <c r="Y1167" s="84" t="s">
        <v>7233</v>
      </c>
      <c r="Z1167" s="84" t="s">
        <v>692</v>
      </c>
      <c r="AA1167" s="84" t="s">
        <v>7196</v>
      </c>
      <c r="AB1167" s="84" t="s">
        <v>692</v>
      </c>
      <c r="AC1167" s="84" t="s">
        <v>692</v>
      </c>
      <c r="AD1167" s="54" t="s">
        <v>692</v>
      </c>
    </row>
    <row r="1168" spans="1:30" ht="6.6" customHeight="1" x14ac:dyDescent="0.25">
      <c r="A1168" s="85">
        <v>1168</v>
      </c>
      <c r="B1168" s="80" t="s">
        <v>5419</v>
      </c>
      <c r="C1168" s="91" t="s">
        <v>5485</v>
      </c>
      <c r="D1168" s="80" t="s">
        <v>4814</v>
      </c>
      <c r="E1168" s="80" t="s">
        <v>4822</v>
      </c>
      <c r="F1168" s="80" t="s">
        <v>4829</v>
      </c>
      <c r="G1168" s="92" t="s">
        <v>692</v>
      </c>
      <c r="H1168" s="92" t="s">
        <v>692</v>
      </c>
      <c r="I1168" s="92" t="s">
        <v>692</v>
      </c>
      <c r="J1168" s="92" t="s">
        <v>692</v>
      </c>
      <c r="K1168" s="92" t="s">
        <v>692</v>
      </c>
      <c r="L1168" s="90" t="str">
        <f t="shared" si="127"/>
        <v>Redes Urbanas</v>
      </c>
      <c r="M1168" s="90" t="str">
        <f t="shared" si="127"/>
        <v>Redes de Telecom</v>
      </c>
      <c r="N1168" s="90" t="str">
        <f t="shared" si="127"/>
        <v>Redes de Dados</v>
      </c>
      <c r="O1168" s="90" t="str">
        <f t="shared" si="127"/>
        <v>Rede de Dados Ponto de Acesso</v>
      </c>
      <c r="P1168" s="55" t="s">
        <v>4830</v>
      </c>
      <c r="Q1168" s="55" t="s">
        <v>4831</v>
      </c>
      <c r="R1168" s="55" t="s">
        <v>7130</v>
      </c>
      <c r="S1168" s="55" t="s">
        <v>692</v>
      </c>
      <c r="T1168" s="55" t="str">
        <f t="shared" si="125"/>
        <v>Redes Urbanas</v>
      </c>
      <c r="U1168" s="55" t="str">
        <f t="shared" si="125"/>
        <v>Redes de Telecom</v>
      </c>
      <c r="V1168" s="55" t="str">
        <f t="shared" si="125"/>
        <v>Redes de Dados</v>
      </c>
      <c r="W1168" s="54" t="s">
        <v>7259</v>
      </c>
      <c r="X1168" s="84" t="str">
        <f t="shared" si="126"/>
        <v>Key-COD-CT-1168</v>
      </c>
      <c r="Y1168" s="84" t="s">
        <v>7233</v>
      </c>
      <c r="Z1168" s="84" t="s">
        <v>692</v>
      </c>
      <c r="AA1168" s="84" t="s">
        <v>7197</v>
      </c>
      <c r="AB1168" s="84" t="s">
        <v>692</v>
      </c>
      <c r="AC1168" s="84" t="s">
        <v>692</v>
      </c>
      <c r="AD1168" s="54" t="s">
        <v>692</v>
      </c>
    </row>
    <row r="1169" spans="1:30" ht="6.6" customHeight="1" x14ac:dyDescent="0.25">
      <c r="A1169" s="85">
        <v>1169</v>
      </c>
      <c r="B1169" s="80" t="s">
        <v>5419</v>
      </c>
      <c r="C1169" s="91" t="s">
        <v>5485</v>
      </c>
      <c r="D1169" s="80" t="s">
        <v>4814</v>
      </c>
      <c r="E1169" s="80" t="s">
        <v>4832</v>
      </c>
      <c r="F1169" s="80" t="s">
        <v>4833</v>
      </c>
      <c r="G1169" s="92" t="s">
        <v>692</v>
      </c>
      <c r="H1169" s="92" t="s">
        <v>692</v>
      </c>
      <c r="I1169" s="92" t="s">
        <v>692</v>
      </c>
      <c r="J1169" s="92" t="s">
        <v>692</v>
      </c>
      <c r="K1169" s="92" t="s">
        <v>692</v>
      </c>
      <c r="L1169" s="90" t="str">
        <f t="shared" si="127"/>
        <v>Redes Urbanas</v>
      </c>
      <c r="M1169" s="90" t="str">
        <f t="shared" si="127"/>
        <v>Redes de Telecom</v>
      </c>
      <c r="N1169" s="90" t="str">
        <f t="shared" si="127"/>
        <v>Redes de Net</v>
      </c>
      <c r="O1169" s="90" t="str">
        <f t="shared" si="127"/>
        <v>Rede Net Fixa Aerea</v>
      </c>
      <c r="P1169" s="55" t="s">
        <v>4834</v>
      </c>
      <c r="Q1169" s="55" t="s">
        <v>4835</v>
      </c>
      <c r="R1169" s="55" t="s">
        <v>7131</v>
      </c>
      <c r="S1169" s="55" t="s">
        <v>692</v>
      </c>
      <c r="T1169" s="55" t="str">
        <f t="shared" si="125"/>
        <v>Redes Urbanas</v>
      </c>
      <c r="U1169" s="55" t="str">
        <f t="shared" si="125"/>
        <v>Redes de Telecom</v>
      </c>
      <c r="V1169" s="55" t="str">
        <f t="shared" si="125"/>
        <v>Redes de Net</v>
      </c>
      <c r="W1169" s="54" t="s">
        <v>7259</v>
      </c>
      <c r="X1169" s="84" t="str">
        <f t="shared" si="126"/>
        <v>Key-COD-CT-1169</v>
      </c>
      <c r="Y1169" s="84" t="s">
        <v>7233</v>
      </c>
      <c r="Z1169" s="84" t="s">
        <v>692</v>
      </c>
      <c r="AA1169" s="84" t="s">
        <v>7197</v>
      </c>
      <c r="AB1169" s="84" t="s">
        <v>692</v>
      </c>
      <c r="AC1169" s="84" t="s">
        <v>692</v>
      </c>
      <c r="AD1169" s="54" t="s">
        <v>692</v>
      </c>
    </row>
    <row r="1170" spans="1:30" ht="6.6" customHeight="1" x14ac:dyDescent="0.25">
      <c r="A1170" s="85">
        <v>1170</v>
      </c>
      <c r="B1170" s="80" t="s">
        <v>5419</v>
      </c>
      <c r="C1170" s="91" t="s">
        <v>5485</v>
      </c>
      <c r="D1170" s="80" t="s">
        <v>4814</v>
      </c>
      <c r="E1170" s="80" t="s">
        <v>4832</v>
      </c>
      <c r="F1170" s="80" t="s">
        <v>4836</v>
      </c>
      <c r="G1170" s="92" t="s">
        <v>692</v>
      </c>
      <c r="H1170" s="92" t="s">
        <v>692</v>
      </c>
      <c r="I1170" s="92" t="s">
        <v>692</v>
      </c>
      <c r="J1170" s="92" t="s">
        <v>692</v>
      </c>
      <c r="K1170" s="92" t="s">
        <v>692</v>
      </c>
      <c r="L1170" s="90" t="str">
        <f t="shared" si="127"/>
        <v>Redes Urbanas</v>
      </c>
      <c r="M1170" s="90" t="str">
        <f t="shared" si="127"/>
        <v>Redes de Telecom</v>
      </c>
      <c r="N1170" s="90" t="str">
        <f t="shared" si="127"/>
        <v>Redes de Net</v>
      </c>
      <c r="O1170" s="90" t="str">
        <f t="shared" si="127"/>
        <v>Rede Net Fixa Subterrânea</v>
      </c>
      <c r="P1170" s="55" t="s">
        <v>4837</v>
      </c>
      <c r="Q1170" s="55" t="s">
        <v>4838</v>
      </c>
      <c r="R1170" s="55" t="s">
        <v>7132</v>
      </c>
      <c r="S1170" s="55" t="s">
        <v>692</v>
      </c>
      <c r="T1170" s="55" t="str">
        <f t="shared" si="125"/>
        <v>Redes Urbanas</v>
      </c>
      <c r="U1170" s="55" t="str">
        <f t="shared" si="125"/>
        <v>Redes de Telecom</v>
      </c>
      <c r="V1170" s="55" t="str">
        <f t="shared" si="125"/>
        <v>Redes de Net</v>
      </c>
      <c r="W1170" s="54" t="s">
        <v>7259</v>
      </c>
      <c r="X1170" s="84" t="str">
        <f t="shared" si="126"/>
        <v>Key-COD-CT-1170</v>
      </c>
      <c r="Y1170" s="84" t="s">
        <v>7233</v>
      </c>
      <c r="Z1170" s="84" t="s">
        <v>692</v>
      </c>
      <c r="AA1170" s="84" t="s">
        <v>5486</v>
      </c>
      <c r="AB1170" s="84" t="s">
        <v>692</v>
      </c>
      <c r="AC1170" s="84" t="s">
        <v>692</v>
      </c>
      <c r="AD1170" s="54" t="s">
        <v>692</v>
      </c>
    </row>
    <row r="1171" spans="1:30" ht="6.6" customHeight="1" x14ac:dyDescent="0.25">
      <c r="A1171" s="85">
        <v>1171</v>
      </c>
      <c r="B1171" s="80" t="s">
        <v>5419</v>
      </c>
      <c r="C1171" s="91" t="s">
        <v>5485</v>
      </c>
      <c r="D1171" s="80" t="s">
        <v>4814</v>
      </c>
      <c r="E1171" s="80" t="s">
        <v>4839</v>
      </c>
      <c r="F1171" s="80" t="s">
        <v>4840</v>
      </c>
      <c r="G1171" s="92" t="s">
        <v>692</v>
      </c>
      <c r="H1171" s="92" t="s">
        <v>692</v>
      </c>
      <c r="I1171" s="92" t="s">
        <v>692</v>
      </c>
      <c r="J1171" s="92" t="s">
        <v>692</v>
      </c>
      <c r="K1171" s="92" t="s">
        <v>692</v>
      </c>
      <c r="L1171" s="90" t="str">
        <f t="shared" si="127"/>
        <v>Redes Urbanas</v>
      </c>
      <c r="M1171" s="90" t="str">
        <f t="shared" si="127"/>
        <v>Redes de Telecom</v>
      </c>
      <c r="N1171" s="90" t="str">
        <f t="shared" si="127"/>
        <v>Redes de Telefonia</v>
      </c>
      <c r="O1171" s="90" t="str">
        <f t="shared" si="127"/>
        <v>Rede Telefonia Aerea</v>
      </c>
      <c r="P1171" s="55" t="s">
        <v>4841</v>
      </c>
      <c r="Q1171" s="55" t="s">
        <v>4842</v>
      </c>
      <c r="R1171" s="55" t="s">
        <v>7133</v>
      </c>
      <c r="S1171" s="55" t="s">
        <v>692</v>
      </c>
      <c r="T1171" s="55" t="str">
        <f t="shared" si="125"/>
        <v>Redes Urbanas</v>
      </c>
      <c r="U1171" s="55" t="str">
        <f t="shared" si="125"/>
        <v>Redes de Telecom</v>
      </c>
      <c r="V1171" s="55" t="str">
        <f t="shared" si="125"/>
        <v>Redes de Telefonia</v>
      </c>
      <c r="W1171" s="54" t="s">
        <v>7259</v>
      </c>
      <c r="X1171" s="84" t="str">
        <f t="shared" si="126"/>
        <v>Key-COD-CT-1171</v>
      </c>
      <c r="Y1171" s="84" t="s">
        <v>7233</v>
      </c>
      <c r="Z1171" s="84" t="s">
        <v>692</v>
      </c>
      <c r="AA1171" s="84" t="s">
        <v>5486</v>
      </c>
      <c r="AB1171" s="84" t="s">
        <v>692</v>
      </c>
      <c r="AC1171" s="84" t="s">
        <v>692</v>
      </c>
      <c r="AD1171" s="54" t="s">
        <v>692</v>
      </c>
    </row>
    <row r="1172" spans="1:30" ht="6.6" customHeight="1" x14ac:dyDescent="0.25">
      <c r="A1172" s="85">
        <v>1172</v>
      </c>
      <c r="B1172" s="80" t="s">
        <v>5419</v>
      </c>
      <c r="C1172" s="91" t="s">
        <v>5485</v>
      </c>
      <c r="D1172" s="80" t="s">
        <v>4814</v>
      </c>
      <c r="E1172" s="80" t="s">
        <v>4839</v>
      </c>
      <c r="F1172" s="80" t="s">
        <v>4843</v>
      </c>
      <c r="G1172" s="92" t="s">
        <v>692</v>
      </c>
      <c r="H1172" s="92" t="s">
        <v>692</v>
      </c>
      <c r="I1172" s="92" t="s">
        <v>692</v>
      </c>
      <c r="J1172" s="92" t="s">
        <v>692</v>
      </c>
      <c r="K1172" s="92" t="s">
        <v>692</v>
      </c>
      <c r="L1172" s="90" t="str">
        <f t="shared" si="127"/>
        <v>Redes Urbanas</v>
      </c>
      <c r="M1172" s="90" t="str">
        <f t="shared" si="127"/>
        <v>Redes de Telecom</v>
      </c>
      <c r="N1172" s="90" t="str">
        <f t="shared" si="127"/>
        <v>Redes de Telefonia</v>
      </c>
      <c r="O1172" s="90" t="str">
        <f t="shared" si="127"/>
        <v>Rede Telefonia Subterrânea</v>
      </c>
      <c r="P1172" s="55" t="s">
        <v>4820</v>
      </c>
      <c r="Q1172" s="55" t="s">
        <v>4821</v>
      </c>
      <c r="R1172" s="55" t="s">
        <v>7127</v>
      </c>
      <c r="S1172" s="55" t="s">
        <v>692</v>
      </c>
      <c r="T1172" s="55" t="str">
        <f t="shared" si="125"/>
        <v>Redes Urbanas</v>
      </c>
      <c r="U1172" s="55" t="str">
        <f t="shared" si="125"/>
        <v>Redes de Telecom</v>
      </c>
      <c r="V1172" s="55" t="str">
        <f t="shared" si="125"/>
        <v>Redes de Telefonia</v>
      </c>
      <c r="W1172" s="54" t="s">
        <v>7259</v>
      </c>
      <c r="X1172" s="84" t="str">
        <f t="shared" si="126"/>
        <v>Key-COD-CT-1172</v>
      </c>
      <c r="Y1172" s="84" t="s">
        <v>7233</v>
      </c>
      <c r="Z1172" s="84" t="s">
        <v>692</v>
      </c>
      <c r="AA1172" s="84" t="s">
        <v>7192</v>
      </c>
      <c r="AB1172" s="84" t="s">
        <v>692</v>
      </c>
      <c r="AC1172" s="84" t="s">
        <v>692</v>
      </c>
      <c r="AD1172" s="54" t="s">
        <v>692</v>
      </c>
    </row>
    <row r="1173" spans="1:30" ht="6.6" customHeight="1" x14ac:dyDescent="0.25">
      <c r="A1173" s="85">
        <v>1173</v>
      </c>
      <c r="B1173" s="80" t="s">
        <v>5419</v>
      </c>
      <c r="C1173" s="91" t="s">
        <v>5487</v>
      </c>
      <c r="D1173" s="80" t="s">
        <v>5488</v>
      </c>
      <c r="E1173" s="80" t="s">
        <v>757</v>
      </c>
      <c r="F1173" s="89" t="s">
        <v>3699</v>
      </c>
      <c r="G1173" s="86" t="s">
        <v>692</v>
      </c>
      <c r="H1173" s="86" t="s">
        <v>692</v>
      </c>
      <c r="I1173" s="86" t="s">
        <v>692</v>
      </c>
      <c r="J1173" s="86" t="s">
        <v>692</v>
      </c>
      <c r="K1173" s="86" t="s">
        <v>692</v>
      </c>
      <c r="L1173" s="90" t="str">
        <f t="shared" si="127"/>
        <v>Materialidades</v>
      </c>
      <c r="M1173" s="90" t="str">
        <f t="shared" si="127"/>
        <v>De Tubulações</v>
      </c>
      <c r="N1173" s="90" t="str">
        <f t="shared" si="127"/>
        <v>Materiais</v>
      </c>
      <c r="O1173" s="90" t="str">
        <f t="shared" si="127"/>
        <v>Tubos de FoFo</v>
      </c>
      <c r="P1173" s="58" t="s">
        <v>3700</v>
      </c>
      <c r="Q1173" s="58" t="s">
        <v>3701</v>
      </c>
      <c r="R1173" s="55" t="s">
        <v>7134</v>
      </c>
      <c r="S1173" s="55" t="s">
        <v>692</v>
      </c>
      <c r="T1173" s="55" t="str">
        <f t="shared" ref="T1173:V1184" si="128">SUBSTITUTE(C1173, ".", " ")</f>
        <v>Materialidades</v>
      </c>
      <c r="U1173" s="55" t="str">
        <f t="shared" si="128"/>
        <v>De Tubulações</v>
      </c>
      <c r="V1173" s="55" t="str">
        <f t="shared" si="128"/>
        <v>Materiais</v>
      </c>
      <c r="W1173" s="54" t="s">
        <v>7259</v>
      </c>
      <c r="X1173" s="84" t="str">
        <f t="shared" si="126"/>
        <v>Key-COD-CT-1173</v>
      </c>
      <c r="Y1173" s="84" t="s">
        <v>7234</v>
      </c>
      <c r="Z1173" s="84" t="s">
        <v>692</v>
      </c>
      <c r="AA1173" s="84" t="s">
        <v>7198</v>
      </c>
      <c r="AB1173" s="84" t="s">
        <v>692</v>
      </c>
      <c r="AC1173" s="84" t="s">
        <v>692</v>
      </c>
      <c r="AD1173" s="54" t="s">
        <v>692</v>
      </c>
    </row>
    <row r="1174" spans="1:30" ht="6.6" customHeight="1" x14ac:dyDescent="0.25">
      <c r="A1174" s="85">
        <v>1174</v>
      </c>
      <c r="B1174" s="80" t="s">
        <v>5419</v>
      </c>
      <c r="C1174" s="91" t="s">
        <v>5487</v>
      </c>
      <c r="D1174" s="80" t="s">
        <v>5488</v>
      </c>
      <c r="E1174" s="80" t="s">
        <v>757</v>
      </c>
      <c r="F1174" s="89" t="s">
        <v>3702</v>
      </c>
      <c r="G1174" s="86" t="s">
        <v>692</v>
      </c>
      <c r="H1174" s="86" t="s">
        <v>692</v>
      </c>
      <c r="I1174" s="86" t="s">
        <v>692</v>
      </c>
      <c r="J1174" s="86" t="s">
        <v>692</v>
      </c>
      <c r="K1174" s="86" t="s">
        <v>692</v>
      </c>
      <c r="L1174" s="90" t="str">
        <f t="shared" si="127"/>
        <v>Materialidades</v>
      </c>
      <c r="M1174" s="90" t="str">
        <f t="shared" si="127"/>
        <v>De Tubulações</v>
      </c>
      <c r="N1174" s="90" t="str">
        <f t="shared" si="127"/>
        <v>Materiais</v>
      </c>
      <c r="O1174" s="90" t="str">
        <f t="shared" si="127"/>
        <v>Tubos de PVC</v>
      </c>
      <c r="P1174" s="58" t="s">
        <v>3703</v>
      </c>
      <c r="Q1174" s="58" t="s">
        <v>3704</v>
      </c>
      <c r="R1174" s="55" t="s">
        <v>7135</v>
      </c>
      <c r="S1174" s="55" t="s">
        <v>692</v>
      </c>
      <c r="T1174" s="55" t="str">
        <f t="shared" si="128"/>
        <v>Materialidades</v>
      </c>
      <c r="U1174" s="55" t="str">
        <f t="shared" si="128"/>
        <v>De Tubulações</v>
      </c>
      <c r="V1174" s="55" t="str">
        <f t="shared" si="128"/>
        <v>Materiais</v>
      </c>
      <c r="W1174" s="54" t="s">
        <v>7259</v>
      </c>
      <c r="X1174" s="84" t="str">
        <f t="shared" si="126"/>
        <v>Key-COD-CT-1174</v>
      </c>
      <c r="Y1174" s="84" t="s">
        <v>7234</v>
      </c>
      <c r="Z1174" s="84" t="s">
        <v>692</v>
      </c>
      <c r="AA1174" s="84" t="s">
        <v>7198</v>
      </c>
      <c r="AB1174" s="84" t="s">
        <v>692</v>
      </c>
      <c r="AC1174" s="84" t="s">
        <v>692</v>
      </c>
      <c r="AD1174" s="54" t="s">
        <v>692</v>
      </c>
    </row>
    <row r="1175" spans="1:30" ht="6.6" customHeight="1" x14ac:dyDescent="0.25">
      <c r="A1175" s="85">
        <v>1175</v>
      </c>
      <c r="B1175" s="80" t="s">
        <v>5419</v>
      </c>
      <c r="C1175" s="91" t="s">
        <v>5487</v>
      </c>
      <c r="D1175" s="80" t="s">
        <v>5488</v>
      </c>
      <c r="E1175" s="80" t="s">
        <v>757</v>
      </c>
      <c r="F1175" s="89" t="s">
        <v>3705</v>
      </c>
      <c r="G1175" s="86" t="s">
        <v>692</v>
      </c>
      <c r="H1175" s="86" t="s">
        <v>692</v>
      </c>
      <c r="I1175" s="86" t="s">
        <v>692</v>
      </c>
      <c r="J1175" s="86" t="s">
        <v>692</v>
      </c>
      <c r="K1175" s="86" t="s">
        <v>692</v>
      </c>
      <c r="L1175" s="90" t="str">
        <f t="shared" si="127"/>
        <v>Materialidades</v>
      </c>
      <c r="M1175" s="90" t="str">
        <f t="shared" si="127"/>
        <v>De Tubulações</v>
      </c>
      <c r="N1175" s="90" t="str">
        <f t="shared" si="127"/>
        <v>Materiais</v>
      </c>
      <c r="O1175" s="90" t="str">
        <f t="shared" si="127"/>
        <v>Tubos de PVC O</v>
      </c>
      <c r="P1175" s="58" t="s">
        <v>3706</v>
      </c>
      <c r="Q1175" s="58" t="s">
        <v>3707</v>
      </c>
      <c r="R1175" s="55" t="s">
        <v>7136</v>
      </c>
      <c r="S1175" s="55" t="s">
        <v>692</v>
      </c>
      <c r="T1175" s="55" t="str">
        <f t="shared" si="128"/>
        <v>Materialidades</v>
      </c>
      <c r="U1175" s="55" t="str">
        <f t="shared" si="128"/>
        <v>De Tubulações</v>
      </c>
      <c r="V1175" s="55" t="str">
        <f t="shared" si="128"/>
        <v>Materiais</v>
      </c>
      <c r="W1175" s="54" t="s">
        <v>7259</v>
      </c>
      <c r="X1175" s="84" t="str">
        <f t="shared" si="126"/>
        <v>Key-COD-CT-1175</v>
      </c>
      <c r="Y1175" s="84" t="s">
        <v>7234</v>
      </c>
      <c r="Z1175" s="84" t="s">
        <v>692</v>
      </c>
      <c r="AA1175" s="84" t="s">
        <v>7198</v>
      </c>
      <c r="AB1175" s="84" t="s">
        <v>692</v>
      </c>
      <c r="AC1175" s="84" t="s">
        <v>692</v>
      </c>
      <c r="AD1175" s="54" t="s">
        <v>692</v>
      </c>
    </row>
    <row r="1176" spans="1:30" ht="6.6" customHeight="1" x14ac:dyDescent="0.25">
      <c r="A1176" s="85">
        <v>1176</v>
      </c>
      <c r="B1176" s="80" t="s">
        <v>5419</v>
      </c>
      <c r="C1176" s="91" t="s">
        <v>5487</v>
      </c>
      <c r="D1176" s="80" t="s">
        <v>5488</v>
      </c>
      <c r="E1176" s="80" t="s">
        <v>757</v>
      </c>
      <c r="F1176" s="89" t="s">
        <v>3708</v>
      </c>
      <c r="G1176" s="86" t="s">
        <v>692</v>
      </c>
      <c r="H1176" s="86" t="s">
        <v>692</v>
      </c>
      <c r="I1176" s="86" t="s">
        <v>692</v>
      </c>
      <c r="J1176" s="86" t="s">
        <v>692</v>
      </c>
      <c r="K1176" s="86" t="s">
        <v>692</v>
      </c>
      <c r="L1176" s="90" t="str">
        <f t="shared" si="127"/>
        <v>Materialidades</v>
      </c>
      <c r="M1176" s="90" t="str">
        <f t="shared" si="127"/>
        <v>De Tubulações</v>
      </c>
      <c r="N1176" s="90" t="str">
        <f t="shared" si="127"/>
        <v>Materiais</v>
      </c>
      <c r="O1176" s="90" t="str">
        <f t="shared" si="127"/>
        <v>Tubos de Latão</v>
      </c>
      <c r="P1176" s="58" t="s">
        <v>3709</v>
      </c>
      <c r="Q1176" s="58" t="s">
        <v>3710</v>
      </c>
      <c r="R1176" s="55" t="s">
        <v>7137</v>
      </c>
      <c r="S1176" s="55" t="s">
        <v>692</v>
      </c>
      <c r="T1176" s="55" t="str">
        <f t="shared" si="128"/>
        <v>Materialidades</v>
      </c>
      <c r="U1176" s="55" t="str">
        <f t="shared" si="128"/>
        <v>De Tubulações</v>
      </c>
      <c r="V1176" s="55" t="str">
        <f t="shared" si="128"/>
        <v>Materiais</v>
      </c>
      <c r="W1176" s="54" t="s">
        <v>7259</v>
      </c>
      <c r="X1176" s="84" t="str">
        <f t="shared" si="126"/>
        <v>Key-COD-CT-1176</v>
      </c>
      <c r="Y1176" s="84" t="s">
        <v>7234</v>
      </c>
      <c r="Z1176" s="84" t="s">
        <v>692</v>
      </c>
      <c r="AA1176" s="84" t="s">
        <v>7198</v>
      </c>
      <c r="AB1176" s="84" t="s">
        <v>692</v>
      </c>
      <c r="AC1176" s="84" t="s">
        <v>692</v>
      </c>
      <c r="AD1176" s="54" t="s">
        <v>692</v>
      </c>
    </row>
    <row r="1177" spans="1:30" ht="6.6" customHeight="1" x14ac:dyDescent="0.25">
      <c r="A1177" s="85">
        <v>1177</v>
      </c>
      <c r="B1177" s="80" t="s">
        <v>5419</v>
      </c>
      <c r="C1177" s="91" t="s">
        <v>5487</v>
      </c>
      <c r="D1177" s="80" t="s">
        <v>5488</v>
      </c>
      <c r="E1177" s="80" t="s">
        <v>757</v>
      </c>
      <c r="F1177" s="89" t="s">
        <v>3711</v>
      </c>
      <c r="G1177" s="86" t="s">
        <v>692</v>
      </c>
      <c r="H1177" s="86" t="s">
        <v>692</v>
      </c>
      <c r="I1177" s="86" t="s">
        <v>692</v>
      </c>
      <c r="J1177" s="86" t="s">
        <v>692</v>
      </c>
      <c r="K1177" s="86" t="s">
        <v>692</v>
      </c>
      <c r="L1177" s="90" t="str">
        <f t="shared" si="127"/>
        <v>Materialidades</v>
      </c>
      <c r="M1177" s="90" t="str">
        <f t="shared" si="127"/>
        <v>De Tubulações</v>
      </c>
      <c r="N1177" s="90" t="str">
        <f t="shared" si="127"/>
        <v>Materiais</v>
      </c>
      <c r="O1177" s="90" t="str">
        <f t="shared" si="127"/>
        <v>Tubos de Cobre</v>
      </c>
      <c r="P1177" s="58" t="s">
        <v>3712</v>
      </c>
      <c r="Q1177" s="58" t="s">
        <v>3713</v>
      </c>
      <c r="R1177" s="55" t="s">
        <v>7138</v>
      </c>
      <c r="S1177" s="55" t="s">
        <v>692</v>
      </c>
      <c r="T1177" s="55" t="str">
        <f t="shared" si="128"/>
        <v>Materialidades</v>
      </c>
      <c r="U1177" s="55" t="str">
        <f t="shared" si="128"/>
        <v>De Tubulações</v>
      </c>
      <c r="V1177" s="55" t="str">
        <f t="shared" si="128"/>
        <v>Materiais</v>
      </c>
      <c r="W1177" s="54" t="s">
        <v>7259</v>
      </c>
      <c r="X1177" s="84" t="str">
        <f t="shared" si="126"/>
        <v>Key-COD-CT-1177</v>
      </c>
      <c r="Y1177" s="84" t="s">
        <v>7234</v>
      </c>
      <c r="Z1177" s="84" t="s">
        <v>692</v>
      </c>
      <c r="AA1177" s="84" t="s">
        <v>7198</v>
      </c>
      <c r="AB1177" s="84" t="s">
        <v>692</v>
      </c>
      <c r="AC1177" s="84" t="s">
        <v>692</v>
      </c>
      <c r="AD1177" s="54" t="s">
        <v>692</v>
      </c>
    </row>
    <row r="1178" spans="1:30" ht="6.6" customHeight="1" x14ac:dyDescent="0.25">
      <c r="A1178" s="85">
        <v>1178</v>
      </c>
      <c r="B1178" s="80" t="s">
        <v>5419</v>
      </c>
      <c r="C1178" s="91" t="s">
        <v>5487</v>
      </c>
      <c r="D1178" s="80" t="s">
        <v>5488</v>
      </c>
      <c r="E1178" s="80" t="s">
        <v>757</v>
      </c>
      <c r="F1178" s="89" t="s">
        <v>3714</v>
      </c>
      <c r="G1178" s="86" t="s">
        <v>692</v>
      </c>
      <c r="H1178" s="86" t="s">
        <v>692</v>
      </c>
      <c r="I1178" s="86" t="s">
        <v>692</v>
      </c>
      <c r="J1178" s="86" t="s">
        <v>692</v>
      </c>
      <c r="K1178" s="86" t="s">
        <v>692</v>
      </c>
      <c r="L1178" s="90" t="str">
        <f t="shared" si="127"/>
        <v>Materialidades</v>
      </c>
      <c r="M1178" s="90" t="str">
        <f t="shared" si="127"/>
        <v>De Tubulações</v>
      </c>
      <c r="N1178" s="90" t="str">
        <f t="shared" si="127"/>
        <v>Materiais</v>
      </c>
      <c r="O1178" s="90" t="str">
        <f t="shared" si="127"/>
        <v>Tubos de PEAD</v>
      </c>
      <c r="P1178" s="58" t="s">
        <v>3715</v>
      </c>
      <c r="Q1178" s="58" t="s">
        <v>3716</v>
      </c>
      <c r="R1178" s="55" t="s">
        <v>7139</v>
      </c>
      <c r="S1178" s="55" t="s">
        <v>692</v>
      </c>
      <c r="T1178" s="55" t="str">
        <f t="shared" si="128"/>
        <v>Materialidades</v>
      </c>
      <c r="U1178" s="55" t="str">
        <f t="shared" si="128"/>
        <v>De Tubulações</v>
      </c>
      <c r="V1178" s="55" t="str">
        <f t="shared" si="128"/>
        <v>Materiais</v>
      </c>
      <c r="W1178" s="54" t="s">
        <v>7259</v>
      </c>
      <c r="X1178" s="84" t="str">
        <f t="shared" si="126"/>
        <v>Key-COD-CT-1178</v>
      </c>
      <c r="Y1178" s="84" t="s">
        <v>7234</v>
      </c>
      <c r="Z1178" s="84" t="s">
        <v>692</v>
      </c>
      <c r="AA1178" s="84" t="s">
        <v>7198</v>
      </c>
      <c r="AB1178" s="84" t="s">
        <v>692</v>
      </c>
      <c r="AC1178" s="84" t="s">
        <v>692</v>
      </c>
      <c r="AD1178" s="54" t="s">
        <v>692</v>
      </c>
    </row>
    <row r="1179" spans="1:30" ht="6.6" customHeight="1" x14ac:dyDescent="0.25">
      <c r="A1179" s="85">
        <v>1179</v>
      </c>
      <c r="B1179" s="80" t="s">
        <v>5419</v>
      </c>
      <c r="C1179" s="91" t="s">
        <v>5487</v>
      </c>
      <c r="D1179" s="80" t="s">
        <v>5488</v>
      </c>
      <c r="E1179" s="80" t="s">
        <v>757</v>
      </c>
      <c r="F1179" s="89" t="s">
        <v>3717</v>
      </c>
      <c r="G1179" s="86" t="s">
        <v>692</v>
      </c>
      <c r="H1179" s="86" t="s">
        <v>692</v>
      </c>
      <c r="I1179" s="86" t="s">
        <v>692</v>
      </c>
      <c r="J1179" s="86" t="s">
        <v>692</v>
      </c>
      <c r="K1179" s="86" t="s">
        <v>692</v>
      </c>
      <c r="L1179" s="90" t="str">
        <f t="shared" si="127"/>
        <v>Materialidades</v>
      </c>
      <c r="M1179" s="90" t="str">
        <f t="shared" si="127"/>
        <v>De Tubulações</v>
      </c>
      <c r="N1179" s="90" t="str">
        <f t="shared" si="127"/>
        <v>Materiais</v>
      </c>
      <c r="O1179" s="90" t="str">
        <f t="shared" si="127"/>
        <v>Tubos de Aço</v>
      </c>
      <c r="P1179" s="58" t="s">
        <v>3718</v>
      </c>
      <c r="Q1179" s="58" t="s">
        <v>3719</v>
      </c>
      <c r="R1179" s="55" t="s">
        <v>7140</v>
      </c>
      <c r="S1179" s="55" t="s">
        <v>692</v>
      </c>
      <c r="T1179" s="55" t="str">
        <f t="shared" si="128"/>
        <v>Materialidades</v>
      </c>
      <c r="U1179" s="55" t="str">
        <f t="shared" si="128"/>
        <v>De Tubulações</v>
      </c>
      <c r="V1179" s="55" t="str">
        <f t="shared" si="128"/>
        <v>Materiais</v>
      </c>
      <c r="W1179" s="54" t="s">
        <v>7259</v>
      </c>
      <c r="X1179" s="84" t="str">
        <f t="shared" si="126"/>
        <v>Key-COD-CT-1179</v>
      </c>
      <c r="Y1179" s="84" t="s">
        <v>7234</v>
      </c>
      <c r="Z1179" s="84" t="s">
        <v>692</v>
      </c>
      <c r="AA1179" s="84" t="s">
        <v>7198</v>
      </c>
      <c r="AB1179" s="84" t="s">
        <v>692</v>
      </c>
      <c r="AC1179" s="84" t="s">
        <v>692</v>
      </c>
      <c r="AD1179" s="54" t="s">
        <v>692</v>
      </c>
    </row>
    <row r="1180" spans="1:30" s="104" customFormat="1" ht="6.75" customHeight="1" x14ac:dyDescent="0.2">
      <c r="A1180" s="85">
        <v>1180</v>
      </c>
      <c r="B1180" s="59" t="s">
        <v>7144</v>
      </c>
      <c r="C1180" s="66" t="s">
        <v>7145</v>
      </c>
      <c r="D1180" s="66" t="s">
        <v>7146</v>
      </c>
      <c r="E1180" s="66" t="s">
        <v>7147</v>
      </c>
      <c r="F1180" s="66" t="s">
        <v>7237</v>
      </c>
      <c r="G1180" s="79" t="s">
        <v>692</v>
      </c>
      <c r="H1180" s="79" t="s">
        <v>692</v>
      </c>
      <c r="I1180" s="79" t="s">
        <v>692</v>
      </c>
      <c r="J1180" s="79" t="s">
        <v>692</v>
      </c>
      <c r="K1180" s="79" t="s">
        <v>692</v>
      </c>
      <c r="L1180" s="53" t="str">
        <f t="shared" ref="L1180:O1184" si="129">SUBSTITUTE(CONCATENATE("", C1180), ".", " ")</f>
        <v>De API</v>
      </c>
      <c r="M1180" s="53" t="str">
        <f t="shared" si="129"/>
        <v>Macros</v>
      </c>
      <c r="N1180" s="53" t="str">
        <f t="shared" si="129"/>
        <v>Métodos</v>
      </c>
      <c r="O1180" s="53" t="str">
        <f t="shared" si="129"/>
        <v>Função Auxiliar</v>
      </c>
      <c r="P1180" s="54" t="s">
        <v>7238</v>
      </c>
      <c r="Q1180" s="54" t="s">
        <v>7239</v>
      </c>
      <c r="R1180" s="54" t="s">
        <v>7240</v>
      </c>
      <c r="S1180" s="54" t="s">
        <v>692</v>
      </c>
      <c r="T1180" s="54" t="str">
        <f t="shared" si="128"/>
        <v>De API</v>
      </c>
      <c r="U1180" s="54" t="str">
        <f t="shared" si="128"/>
        <v>Macros</v>
      </c>
      <c r="V1180" s="55" t="str">
        <f t="shared" si="128"/>
        <v>Métodos</v>
      </c>
      <c r="W1180" s="54" t="s">
        <v>7259</v>
      </c>
      <c r="X1180" s="84" t="str">
        <f t="shared" si="126"/>
        <v>Key-COD-CT-1180</v>
      </c>
      <c r="Y1180" s="103" t="s">
        <v>692</v>
      </c>
      <c r="Z1180" s="103" t="s">
        <v>692</v>
      </c>
      <c r="AA1180" s="103" t="s">
        <v>692</v>
      </c>
      <c r="AB1180" s="103" t="s">
        <v>692</v>
      </c>
      <c r="AC1180" s="103" t="s">
        <v>692</v>
      </c>
      <c r="AD1180" s="54" t="s">
        <v>692</v>
      </c>
    </row>
    <row r="1181" spans="1:30" s="104" customFormat="1" ht="6.75" customHeight="1" x14ac:dyDescent="0.2">
      <c r="A1181" s="85">
        <v>1181</v>
      </c>
      <c r="B1181" s="59" t="s">
        <v>7144</v>
      </c>
      <c r="C1181" s="66" t="s">
        <v>7145</v>
      </c>
      <c r="D1181" s="66" t="s">
        <v>7146</v>
      </c>
      <c r="E1181" s="66" t="s">
        <v>7147</v>
      </c>
      <c r="F1181" s="66" t="s">
        <v>7241</v>
      </c>
      <c r="G1181" s="79" t="s">
        <v>692</v>
      </c>
      <c r="H1181" s="79" t="s">
        <v>692</v>
      </c>
      <c r="I1181" s="79" t="s">
        <v>692</v>
      </c>
      <c r="J1181" s="79" t="s">
        <v>692</v>
      </c>
      <c r="K1181" s="79" t="s">
        <v>692</v>
      </c>
      <c r="L1181" s="53" t="str">
        <f t="shared" si="129"/>
        <v>De API</v>
      </c>
      <c r="M1181" s="53" t="str">
        <f t="shared" si="129"/>
        <v>Macros</v>
      </c>
      <c r="N1181" s="53" t="str">
        <f t="shared" si="129"/>
        <v>Métodos</v>
      </c>
      <c r="O1181" s="53" t="str">
        <f t="shared" si="129"/>
        <v>Função Global</v>
      </c>
      <c r="P1181" s="54" t="s">
        <v>7242</v>
      </c>
      <c r="Q1181" s="54" t="s">
        <v>7243</v>
      </c>
      <c r="R1181" s="54" t="s">
        <v>7244</v>
      </c>
      <c r="S1181" s="54" t="s">
        <v>692</v>
      </c>
      <c r="T1181" s="54" t="str">
        <f t="shared" si="128"/>
        <v>De API</v>
      </c>
      <c r="U1181" s="54" t="str">
        <f t="shared" si="128"/>
        <v>Macros</v>
      </c>
      <c r="V1181" s="55" t="str">
        <f t="shared" si="128"/>
        <v>Métodos</v>
      </c>
      <c r="W1181" s="54" t="s">
        <v>7259</v>
      </c>
      <c r="X1181" s="84" t="str">
        <f t="shared" si="126"/>
        <v>Key-COD-CT-1181</v>
      </c>
      <c r="Y1181" s="103" t="s">
        <v>692</v>
      </c>
      <c r="Z1181" s="103" t="s">
        <v>692</v>
      </c>
      <c r="AA1181" s="103" t="s">
        <v>692</v>
      </c>
      <c r="AB1181" s="103" t="s">
        <v>692</v>
      </c>
      <c r="AC1181" s="103" t="s">
        <v>692</v>
      </c>
      <c r="AD1181" s="54" t="s">
        <v>692</v>
      </c>
    </row>
    <row r="1182" spans="1:30" s="104" customFormat="1" ht="6.75" customHeight="1" x14ac:dyDescent="0.2">
      <c r="A1182" s="85">
        <v>1182</v>
      </c>
      <c r="B1182" s="59" t="s">
        <v>7144</v>
      </c>
      <c r="C1182" s="66" t="s">
        <v>7145</v>
      </c>
      <c r="D1182" s="66" t="s">
        <v>7146</v>
      </c>
      <c r="E1182" s="66" t="s">
        <v>7147</v>
      </c>
      <c r="F1182" s="66" t="s">
        <v>7245</v>
      </c>
      <c r="G1182" s="79" t="s">
        <v>692</v>
      </c>
      <c r="H1182" s="79" t="s">
        <v>692</v>
      </c>
      <c r="I1182" s="79" t="s">
        <v>692</v>
      </c>
      <c r="J1182" s="79" t="s">
        <v>692</v>
      </c>
      <c r="K1182" s="79" t="s">
        <v>692</v>
      </c>
      <c r="L1182" s="53" t="str">
        <f t="shared" si="129"/>
        <v>De API</v>
      </c>
      <c r="M1182" s="53" t="str">
        <f t="shared" si="129"/>
        <v>Macros</v>
      </c>
      <c r="N1182" s="53" t="str">
        <f t="shared" si="129"/>
        <v>Métodos</v>
      </c>
      <c r="O1182" s="53" t="str">
        <f t="shared" si="129"/>
        <v>Função Local</v>
      </c>
      <c r="P1182" s="54" t="s">
        <v>7246</v>
      </c>
      <c r="Q1182" s="54" t="s">
        <v>7247</v>
      </c>
      <c r="R1182" s="54" t="s">
        <v>7248</v>
      </c>
      <c r="S1182" s="54" t="s">
        <v>692</v>
      </c>
      <c r="T1182" s="54" t="str">
        <f t="shared" si="128"/>
        <v>De API</v>
      </c>
      <c r="U1182" s="54" t="str">
        <f t="shared" si="128"/>
        <v>Macros</v>
      </c>
      <c r="V1182" s="55" t="str">
        <f t="shared" si="128"/>
        <v>Métodos</v>
      </c>
      <c r="W1182" s="54" t="s">
        <v>7259</v>
      </c>
      <c r="X1182" s="84" t="str">
        <f t="shared" si="126"/>
        <v>Key-COD-CT-1182</v>
      </c>
      <c r="Y1182" s="103" t="s">
        <v>692</v>
      </c>
      <c r="Z1182" s="103" t="s">
        <v>692</v>
      </c>
      <c r="AA1182" s="103" t="s">
        <v>692</v>
      </c>
      <c r="AB1182" s="103" t="s">
        <v>692</v>
      </c>
      <c r="AC1182" s="103" t="s">
        <v>692</v>
      </c>
      <c r="AD1182" s="54" t="s">
        <v>692</v>
      </c>
    </row>
    <row r="1183" spans="1:30" s="104" customFormat="1" ht="6.75" customHeight="1" x14ac:dyDescent="0.2">
      <c r="A1183" s="85">
        <v>1183</v>
      </c>
      <c r="B1183" s="59" t="s">
        <v>7144</v>
      </c>
      <c r="C1183" s="66" t="s">
        <v>7145</v>
      </c>
      <c r="D1183" s="66" t="s">
        <v>7146</v>
      </c>
      <c r="E1183" s="66" t="s">
        <v>7147</v>
      </c>
      <c r="F1183" s="66" t="s">
        <v>7249</v>
      </c>
      <c r="G1183" s="79" t="s">
        <v>692</v>
      </c>
      <c r="H1183" s="79" t="s">
        <v>692</v>
      </c>
      <c r="I1183" s="79" t="s">
        <v>692</v>
      </c>
      <c r="J1183" s="79" t="s">
        <v>692</v>
      </c>
      <c r="K1183" s="79" t="s">
        <v>692</v>
      </c>
      <c r="L1183" s="53" t="str">
        <f t="shared" si="129"/>
        <v>De API</v>
      </c>
      <c r="M1183" s="53" t="str">
        <f t="shared" si="129"/>
        <v>Macros</v>
      </c>
      <c r="N1183" s="53" t="str">
        <f t="shared" si="129"/>
        <v>Métodos</v>
      </c>
      <c r="O1183" s="53" t="str">
        <f t="shared" si="129"/>
        <v>Função Filtro</v>
      </c>
      <c r="P1183" s="54" t="s">
        <v>7250</v>
      </c>
      <c r="Q1183" s="54" t="s">
        <v>7251</v>
      </c>
      <c r="R1183" s="54" t="s">
        <v>7252</v>
      </c>
      <c r="S1183" s="54" t="s">
        <v>692</v>
      </c>
      <c r="T1183" s="54" t="str">
        <f t="shared" si="128"/>
        <v>De API</v>
      </c>
      <c r="U1183" s="54" t="str">
        <f t="shared" si="128"/>
        <v>Macros</v>
      </c>
      <c r="V1183" s="55" t="str">
        <f t="shared" si="128"/>
        <v>Métodos</v>
      </c>
      <c r="W1183" s="54" t="s">
        <v>7259</v>
      </c>
      <c r="X1183" s="84" t="str">
        <f t="shared" si="126"/>
        <v>Key-COD-CT-1183</v>
      </c>
      <c r="Y1183" s="103" t="s">
        <v>692</v>
      </c>
      <c r="Z1183" s="103" t="s">
        <v>692</v>
      </c>
      <c r="AA1183" s="103" t="s">
        <v>692</v>
      </c>
      <c r="AB1183" s="103" t="s">
        <v>692</v>
      </c>
      <c r="AC1183" s="103" t="s">
        <v>692</v>
      </c>
      <c r="AD1183" s="54" t="s">
        <v>692</v>
      </c>
    </row>
    <row r="1184" spans="1:30" s="104" customFormat="1" ht="6.75" customHeight="1" x14ac:dyDescent="0.2">
      <c r="A1184" s="85">
        <v>1184</v>
      </c>
      <c r="B1184" s="59" t="s">
        <v>7144</v>
      </c>
      <c r="C1184" s="66" t="s">
        <v>7145</v>
      </c>
      <c r="D1184" s="66" t="s">
        <v>7146</v>
      </c>
      <c r="E1184" s="66" t="s">
        <v>7253</v>
      </c>
      <c r="F1184" s="66" t="s">
        <v>7254</v>
      </c>
      <c r="G1184" s="79" t="s">
        <v>692</v>
      </c>
      <c r="H1184" s="79" t="s">
        <v>692</v>
      </c>
      <c r="I1184" s="79" t="s">
        <v>692</v>
      </c>
      <c r="J1184" s="79" t="s">
        <v>692</v>
      </c>
      <c r="K1184" s="79" t="s">
        <v>692</v>
      </c>
      <c r="L1184" s="53" t="str">
        <f t="shared" si="129"/>
        <v>De API</v>
      </c>
      <c r="M1184" s="53" t="str">
        <f t="shared" si="129"/>
        <v>Macros</v>
      </c>
      <c r="N1184" s="53" t="str">
        <f t="shared" si="129"/>
        <v>Códigos Visuais</v>
      </c>
      <c r="O1184" s="53" t="str">
        <f t="shared" si="129"/>
        <v>Bloco de Código</v>
      </c>
      <c r="P1184" s="54" t="s">
        <v>7255</v>
      </c>
      <c r="Q1184" s="54" t="s">
        <v>7256</v>
      </c>
      <c r="R1184" s="54" t="s">
        <v>7257</v>
      </c>
      <c r="S1184" s="54" t="s">
        <v>692</v>
      </c>
      <c r="T1184" s="54" t="str">
        <f t="shared" si="128"/>
        <v>De API</v>
      </c>
      <c r="U1184" s="54" t="str">
        <f t="shared" si="128"/>
        <v>Macros</v>
      </c>
      <c r="V1184" s="55" t="str">
        <f t="shared" si="128"/>
        <v>Códigos Visuais</v>
      </c>
      <c r="W1184" s="54" t="s">
        <v>7259</v>
      </c>
      <c r="X1184" s="84" t="str">
        <f t="shared" si="126"/>
        <v>Key-COD-CT-1184</v>
      </c>
      <c r="Y1184" s="103" t="s">
        <v>692</v>
      </c>
      <c r="Z1184" s="103" t="s">
        <v>692</v>
      </c>
      <c r="AA1184" s="103" t="s">
        <v>692</v>
      </c>
      <c r="AB1184" s="103" t="s">
        <v>692</v>
      </c>
      <c r="AC1184" s="103" t="s">
        <v>692</v>
      </c>
      <c r="AD1184" s="54" t="s">
        <v>692</v>
      </c>
    </row>
  </sheetData>
  <phoneticPr fontId="1" type="noConversion"/>
  <conditionalFormatting sqref="A2:B1184">
    <cfRule type="cellIs" dxfId="14" priority="1" operator="equal">
      <formula>"null"</formula>
    </cfRule>
  </conditionalFormatting>
  <conditionalFormatting sqref="A1:E1 S1:XFD1 L1:Q37 T2:W2 C3:E37 T3:V37 W3:W1184 L48:P54 D48:E103 T48:V103 AE48:XFD103 L55:Q103 D117:E136 L117:Q790 T117:V790 AE117:XFD790 C137:E790 A1185:E1048576 L1185:XFD1048576">
    <cfRule type="cellIs" dxfId="13" priority="176" operator="equal">
      <formula>"null"</formula>
    </cfRule>
  </conditionalFormatting>
  <conditionalFormatting sqref="C791:D1136 L830:Q1127 AE830:XFD1136 T830:V1172">
    <cfRule type="cellIs" dxfId="12" priority="13" operator="equal">
      <formula>"null"</formula>
    </cfRule>
  </conditionalFormatting>
  <conditionalFormatting sqref="C2:E2">
    <cfRule type="duplicateValues" dxfId="11" priority="9"/>
  </conditionalFormatting>
  <conditionalFormatting sqref="E1184:F1184">
    <cfRule type="duplicateValues" dxfId="10" priority="2"/>
  </conditionalFormatting>
  <conditionalFormatting sqref="F1:F1179 F1185:F1048576">
    <cfRule type="duplicateValues" dxfId="9" priority="11"/>
  </conditionalFormatting>
  <conditionalFormatting sqref="F1180:F1183">
    <cfRule type="duplicateValues" dxfId="8" priority="3"/>
  </conditionalFormatting>
  <conditionalFormatting sqref="L791:Q795 T791:V817 AE791:XFD818 L796:O798 Q796:Q798 L799:Q818 T818:U818 V818:V829 O819:O829 L1128:P1136 C1137:C1172">
    <cfRule type="cellIs" dxfId="7" priority="34" operator="equal">
      <formula>"null"</formula>
    </cfRule>
  </conditionalFormatting>
  <conditionalFormatting sqref="R1:R1179">
    <cfRule type="cellIs" dxfId="6" priority="5" operator="equal">
      <formula>"null"</formula>
    </cfRule>
  </conditionalFormatting>
  <conditionalFormatting sqref="X1185:AC1048576 X1:AD1">
    <cfRule type="duplicateValues" dxfId="5" priority="218"/>
  </conditionalFormatting>
  <conditionalFormatting sqref="AE2:XFD37">
    <cfRule type="cellIs" dxfId="4" priority="10"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2779-33CC-4740-AACA-88B1E370FD31}">
  <dimension ref="A1:C2"/>
  <sheetViews>
    <sheetView zoomScale="250" zoomScaleNormal="250" workbookViewId="0">
      <pane ySplit="1" topLeftCell="A2" activePane="bottomLeft" state="frozen"/>
      <selection pane="bottomLeft" sqref="A1:XFD1"/>
    </sheetView>
  </sheetViews>
  <sheetFormatPr defaultRowHeight="15" x14ac:dyDescent="0.25"/>
  <cols>
    <col min="1" max="1" width="3.28515625" customWidth="1"/>
    <col min="2" max="2" width="10.28515625" customWidth="1"/>
    <col min="3" max="3" width="14.85546875" customWidth="1"/>
  </cols>
  <sheetData>
    <row r="1" spans="1:3" ht="27.95" customHeight="1" x14ac:dyDescent="0.25">
      <c r="A1" s="39">
        <v>1</v>
      </c>
      <c r="B1" s="40" t="s">
        <v>939</v>
      </c>
      <c r="C1" s="40" t="s">
        <v>940</v>
      </c>
    </row>
    <row r="2" spans="1:3" ht="10.5" customHeight="1" x14ac:dyDescent="0.25">
      <c r="A2" s="41">
        <v>2</v>
      </c>
      <c r="B2" s="42" t="s">
        <v>692</v>
      </c>
      <c r="C2" s="42" t="s">
        <v>692</v>
      </c>
    </row>
  </sheetData>
  <conditionalFormatting sqref="A1:A2">
    <cfRule type="cellIs" dxfId="3" priority="1" operator="equal">
      <formula>"null"</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6E4-5B5C-422C-A7DE-963F2EC53E95}">
  <dimension ref="A1:U2"/>
  <sheetViews>
    <sheetView zoomScale="175" zoomScaleNormal="175" workbookViewId="0">
      <pane ySplit="1" topLeftCell="A2" activePane="bottomLeft" state="frozen"/>
      <selection activeCell="E1" sqref="E1"/>
      <selection pane="bottomLeft" activeCell="D11" sqref="D11"/>
    </sheetView>
  </sheetViews>
  <sheetFormatPr defaultColWidth="11.140625" defaultRowHeight="7.9" customHeight="1" x14ac:dyDescent="0.15"/>
  <cols>
    <col min="1" max="1" width="1.42578125" style="48" bestFit="1" customWidth="1"/>
    <col min="2" max="10" width="5.140625" style="49" bestFit="1" customWidth="1"/>
    <col min="11" max="21" width="5.5703125" style="47" bestFit="1" customWidth="1"/>
    <col min="22" max="16384" width="11.140625" style="47"/>
  </cols>
  <sheetData>
    <row r="1" spans="1:21" s="45" customFormat="1" ht="15.95" customHeight="1" x14ac:dyDescent="0.15">
      <c r="A1" s="43" t="s">
        <v>941</v>
      </c>
      <c r="B1" s="44" t="s">
        <v>942</v>
      </c>
      <c r="C1" s="44" t="s">
        <v>943</v>
      </c>
      <c r="D1" s="44" t="s">
        <v>944</v>
      </c>
      <c r="E1" s="44" t="s">
        <v>945</v>
      </c>
      <c r="F1" s="44" t="s">
        <v>946</v>
      </c>
      <c r="G1" s="44" t="s">
        <v>947</v>
      </c>
      <c r="H1" s="44" t="s">
        <v>948</v>
      </c>
      <c r="I1" s="44" t="s">
        <v>949</v>
      </c>
      <c r="J1" s="44" t="s">
        <v>950</v>
      </c>
      <c r="K1" s="44" t="s">
        <v>951</v>
      </c>
      <c r="L1" s="44" t="s">
        <v>952</v>
      </c>
      <c r="M1" s="44" t="s">
        <v>953</v>
      </c>
      <c r="N1" s="44" t="s">
        <v>954</v>
      </c>
      <c r="O1" s="44" t="s">
        <v>955</v>
      </c>
      <c r="P1" s="44" t="s">
        <v>956</v>
      </c>
      <c r="Q1" s="44" t="s">
        <v>957</v>
      </c>
      <c r="R1" s="44" t="s">
        <v>958</v>
      </c>
      <c r="S1" s="44" t="s">
        <v>959</v>
      </c>
      <c r="T1" s="44" t="s">
        <v>960</v>
      </c>
      <c r="U1" s="44" t="s">
        <v>961</v>
      </c>
    </row>
    <row r="2" spans="1:21" ht="8.25" x14ac:dyDescent="0.15">
      <c r="A2" s="43">
        <v>2</v>
      </c>
      <c r="B2" s="46" t="s">
        <v>692</v>
      </c>
      <c r="C2" s="46" t="s">
        <v>692</v>
      </c>
      <c r="D2" s="46" t="s">
        <v>692</v>
      </c>
      <c r="E2" s="46" t="s">
        <v>692</v>
      </c>
      <c r="F2" s="46" t="s">
        <v>692</v>
      </c>
      <c r="G2" s="46" t="s">
        <v>692</v>
      </c>
      <c r="H2" s="46" t="s">
        <v>692</v>
      </c>
      <c r="I2" s="46" t="s">
        <v>692</v>
      </c>
      <c r="J2" s="46" t="s">
        <v>692</v>
      </c>
      <c r="K2" s="46" t="s">
        <v>692</v>
      </c>
      <c r="L2" s="46" t="s">
        <v>692</v>
      </c>
      <c r="M2" s="46" t="s">
        <v>692</v>
      </c>
      <c r="N2" s="46" t="s">
        <v>692</v>
      </c>
      <c r="O2" s="46" t="s">
        <v>692</v>
      </c>
      <c r="P2" s="46" t="s">
        <v>692</v>
      </c>
      <c r="Q2" s="46" t="s">
        <v>692</v>
      </c>
      <c r="R2" s="46" t="s">
        <v>692</v>
      </c>
      <c r="S2" s="46" t="s">
        <v>692</v>
      </c>
      <c r="T2" s="46" t="s">
        <v>692</v>
      </c>
      <c r="U2" s="46" t="s">
        <v>692</v>
      </c>
    </row>
  </sheetData>
  <pageMargins left="0.511811024" right="0.511811024" top="0.78740157499999996" bottom="0.78740157499999996" header="0.31496062000000002" footer="0.31496062000000002"/>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3E41-A10C-49BE-BBEE-F140DDDDB7D7}">
  <dimension ref="A1:W337"/>
  <sheetViews>
    <sheetView zoomScale="175" zoomScaleNormal="175" workbookViewId="0">
      <selection activeCell="C2" sqref="C2"/>
    </sheetView>
  </sheetViews>
  <sheetFormatPr defaultRowHeight="15" x14ac:dyDescent="0.25"/>
  <cols>
    <col min="1" max="1" width="3.140625" bestFit="1" customWidth="1"/>
    <col min="2" max="2" width="7.28515625" bestFit="1" customWidth="1"/>
    <col min="3" max="3" width="6.140625" customWidth="1"/>
    <col min="4" max="4" width="8.7109375" bestFit="1" customWidth="1"/>
    <col min="5" max="5" width="5.85546875" bestFit="1" customWidth="1"/>
    <col min="6" max="6" width="4.28515625" style="18" bestFit="1" customWidth="1"/>
    <col min="7" max="7" width="3.42578125" style="18" bestFit="1" customWidth="1"/>
    <col min="8" max="8" width="4.28515625" style="18" bestFit="1" customWidth="1"/>
    <col min="9" max="9" width="24.42578125" bestFit="1" customWidth="1"/>
    <col min="10" max="10" width="4.28515625" style="18" bestFit="1" customWidth="1"/>
    <col min="11" max="11" width="7" style="18" bestFit="1" customWidth="1"/>
    <col min="12" max="12" width="6.7109375" style="18" bestFit="1" customWidth="1"/>
    <col min="13" max="13" width="23.7109375" bestFit="1" customWidth="1"/>
    <col min="14" max="14" width="8.42578125" style="18" bestFit="1" customWidth="1"/>
    <col min="15" max="15" width="68.5703125" bestFit="1" customWidth="1"/>
    <col min="16" max="16" width="5.7109375" bestFit="1" customWidth="1"/>
    <col min="17" max="17" width="39.5703125" bestFit="1" customWidth="1"/>
    <col min="18" max="18" width="7.28515625" bestFit="1" customWidth="1"/>
    <col min="19" max="19" width="9.140625" bestFit="1" customWidth="1"/>
    <col min="20" max="20" width="11.140625" bestFit="1" customWidth="1"/>
    <col min="21" max="21" width="20.42578125" bestFit="1" customWidth="1"/>
    <col min="22" max="22" width="6" bestFit="1" customWidth="1"/>
    <col min="23" max="23" width="26.7109375" bestFit="1" customWidth="1"/>
  </cols>
  <sheetData>
    <row r="1" spans="1:23" s="25" customFormat="1" ht="18.399999999999999" customHeight="1" x14ac:dyDescent="0.25">
      <c r="A1" s="22" t="s">
        <v>850</v>
      </c>
      <c r="B1" s="23" t="s">
        <v>851</v>
      </c>
      <c r="C1" s="24" t="s">
        <v>5494</v>
      </c>
      <c r="D1" s="23" t="s">
        <v>852</v>
      </c>
      <c r="E1" s="23" t="s">
        <v>504</v>
      </c>
      <c r="F1" s="23" t="s">
        <v>852</v>
      </c>
      <c r="G1" s="23" t="s">
        <v>504</v>
      </c>
      <c r="H1" s="23" t="s">
        <v>852</v>
      </c>
      <c r="I1" s="23" t="s">
        <v>504</v>
      </c>
      <c r="J1" s="23" t="s">
        <v>852</v>
      </c>
      <c r="K1" s="23" t="s">
        <v>504</v>
      </c>
      <c r="L1" s="23" t="s">
        <v>852</v>
      </c>
      <c r="M1" s="23" t="s">
        <v>504</v>
      </c>
      <c r="N1" s="23" t="s">
        <v>852</v>
      </c>
      <c r="O1" s="23" t="s">
        <v>504</v>
      </c>
      <c r="P1" s="23" t="s">
        <v>852</v>
      </c>
      <c r="Q1" s="23" t="s">
        <v>504</v>
      </c>
      <c r="R1" s="23" t="s">
        <v>852</v>
      </c>
      <c r="S1" s="23" t="s">
        <v>504</v>
      </c>
      <c r="T1" s="23" t="s">
        <v>852</v>
      </c>
      <c r="U1" s="23" t="s">
        <v>504</v>
      </c>
      <c r="V1" s="23" t="s">
        <v>852</v>
      </c>
      <c r="W1" s="23" t="s">
        <v>504</v>
      </c>
    </row>
    <row r="2" spans="1:23" s="25" customFormat="1" ht="6.95" customHeight="1" x14ac:dyDescent="0.25">
      <c r="A2" s="26">
        <v>1</v>
      </c>
      <c r="B2" s="30" t="s">
        <v>6002</v>
      </c>
      <c r="C2" s="28" t="s">
        <v>5490</v>
      </c>
      <c r="D2" s="51" t="s">
        <v>692</v>
      </c>
      <c r="E2" s="52" t="s">
        <v>692</v>
      </c>
      <c r="F2" s="51" t="s">
        <v>692</v>
      </c>
      <c r="G2" s="52" t="s">
        <v>692</v>
      </c>
      <c r="H2" s="73" t="s">
        <v>966</v>
      </c>
      <c r="I2" s="50" t="s">
        <v>3641</v>
      </c>
      <c r="J2" s="73" t="s">
        <v>1112</v>
      </c>
      <c r="K2" s="50" t="str">
        <f t="shared" ref="K2:K65" si="0">_xlfn.CONCAT("""",B2,"""")</f>
        <v>"UFRJ"</v>
      </c>
      <c r="L2" s="73" t="s">
        <v>895</v>
      </c>
      <c r="M2" s="29" t="s">
        <v>5322</v>
      </c>
      <c r="N2" s="73" t="s">
        <v>3656</v>
      </c>
      <c r="O2" s="50" t="s">
        <v>5391</v>
      </c>
      <c r="P2" s="73" t="s">
        <v>3655</v>
      </c>
      <c r="Q2" s="50" t="s">
        <v>5391</v>
      </c>
      <c r="R2" s="73" t="s">
        <v>4906</v>
      </c>
      <c r="S2" s="50" t="s">
        <v>5391</v>
      </c>
      <c r="T2" s="73" t="s">
        <v>5006</v>
      </c>
      <c r="U2" s="29" t="s">
        <v>3639</v>
      </c>
      <c r="V2" s="73" t="s">
        <v>5392</v>
      </c>
      <c r="W2" s="29" t="s">
        <v>3639</v>
      </c>
    </row>
    <row r="3" spans="1:23" s="25" customFormat="1" ht="6.95" customHeight="1" x14ac:dyDescent="0.25">
      <c r="A3" s="26">
        <v>2</v>
      </c>
      <c r="B3" s="30" t="s">
        <v>6003</v>
      </c>
      <c r="C3" s="28" t="s">
        <v>5490</v>
      </c>
      <c r="D3" s="51" t="s">
        <v>5009</v>
      </c>
      <c r="E3" s="52" t="s">
        <v>6002</v>
      </c>
      <c r="F3" s="51" t="s">
        <v>692</v>
      </c>
      <c r="G3" s="52" t="s">
        <v>692</v>
      </c>
      <c r="H3" s="73" t="s">
        <v>966</v>
      </c>
      <c r="I3" s="50" t="s">
        <v>3641</v>
      </c>
      <c r="J3" s="73" t="s">
        <v>1112</v>
      </c>
      <c r="K3" s="50" t="str">
        <f t="shared" si="0"/>
        <v>"UFRJ.CT"</v>
      </c>
      <c r="L3" s="73" t="s">
        <v>895</v>
      </c>
      <c r="M3" s="29" t="s">
        <v>3640</v>
      </c>
      <c r="N3" s="73" t="s">
        <v>3656</v>
      </c>
      <c r="O3" s="50" t="s">
        <v>5391</v>
      </c>
      <c r="P3" s="73" t="s">
        <v>3655</v>
      </c>
      <c r="Q3" s="50" t="s">
        <v>5391</v>
      </c>
      <c r="R3" s="73" t="s">
        <v>4906</v>
      </c>
      <c r="S3" s="50" t="s">
        <v>5391</v>
      </c>
      <c r="T3" s="73" t="s">
        <v>5006</v>
      </c>
      <c r="U3" s="29" t="s">
        <v>3640</v>
      </c>
      <c r="V3" s="73" t="s">
        <v>5392</v>
      </c>
      <c r="W3" s="29" t="s">
        <v>3640</v>
      </c>
    </row>
    <row r="4" spans="1:23" s="25" customFormat="1" ht="6.95" customHeight="1" x14ac:dyDescent="0.25">
      <c r="A4" s="26">
        <v>296</v>
      </c>
      <c r="B4" s="27" t="s">
        <v>1084</v>
      </c>
      <c r="C4" s="28" t="s">
        <v>5490</v>
      </c>
      <c r="D4" s="51" t="s">
        <v>5009</v>
      </c>
      <c r="E4" s="52" t="s">
        <v>6002</v>
      </c>
      <c r="F4" s="51" t="s">
        <v>692</v>
      </c>
      <c r="G4" s="52" t="s">
        <v>692</v>
      </c>
      <c r="H4" s="73" t="s">
        <v>966</v>
      </c>
      <c r="I4" s="50" t="s">
        <v>1092</v>
      </c>
      <c r="J4" s="73" t="s">
        <v>1112</v>
      </c>
      <c r="K4" s="50" t="str">
        <f t="shared" si="0"/>
        <v>"UFRJ.1"</v>
      </c>
      <c r="L4" s="73" t="s">
        <v>895</v>
      </c>
      <c r="M4" s="50" t="s">
        <v>1088</v>
      </c>
      <c r="N4" s="73" t="s">
        <v>3656</v>
      </c>
      <c r="O4" s="50" t="s">
        <v>5391</v>
      </c>
      <c r="P4" s="73" t="s">
        <v>3655</v>
      </c>
      <c r="Q4" s="50" t="s">
        <v>5391</v>
      </c>
      <c r="R4" s="73" t="s">
        <v>4906</v>
      </c>
      <c r="S4" s="50" t="s">
        <v>5391</v>
      </c>
      <c r="T4" s="73" t="s">
        <v>5006</v>
      </c>
      <c r="U4" s="50" t="s">
        <v>1088</v>
      </c>
      <c r="V4" s="73" t="s">
        <v>5392</v>
      </c>
      <c r="W4" s="50" t="s">
        <v>5415</v>
      </c>
    </row>
    <row r="5" spans="1:23" s="25" customFormat="1" ht="6.95" customHeight="1" x14ac:dyDescent="0.25">
      <c r="A5" s="26">
        <v>297</v>
      </c>
      <c r="B5" s="27" t="s">
        <v>1085</v>
      </c>
      <c r="C5" s="28" t="s">
        <v>5490</v>
      </c>
      <c r="D5" s="51" t="s">
        <v>5009</v>
      </c>
      <c r="E5" s="52" t="s">
        <v>6002</v>
      </c>
      <c r="F5" s="51" t="s">
        <v>692</v>
      </c>
      <c r="G5" s="52" t="s">
        <v>692</v>
      </c>
      <c r="H5" s="73" t="s">
        <v>966</v>
      </c>
      <c r="I5" s="50" t="s">
        <v>1092</v>
      </c>
      <c r="J5" s="73" t="s">
        <v>1112</v>
      </c>
      <c r="K5" s="50" t="str">
        <f t="shared" si="0"/>
        <v>"UFRJ.2"</v>
      </c>
      <c r="L5" s="73" t="s">
        <v>895</v>
      </c>
      <c r="M5" s="50" t="s">
        <v>1089</v>
      </c>
      <c r="N5" s="73" t="s">
        <v>3656</v>
      </c>
      <c r="O5" s="50" t="s">
        <v>5391</v>
      </c>
      <c r="P5" s="73" t="s">
        <v>3655</v>
      </c>
      <c r="Q5" s="50" t="s">
        <v>5391</v>
      </c>
      <c r="R5" s="73" t="s">
        <v>4906</v>
      </c>
      <c r="S5" s="50" t="s">
        <v>5391</v>
      </c>
      <c r="T5" s="73" t="s">
        <v>5006</v>
      </c>
      <c r="U5" s="50" t="s">
        <v>1089</v>
      </c>
      <c r="V5" s="73" t="s">
        <v>5392</v>
      </c>
      <c r="W5" s="50" t="s">
        <v>5416</v>
      </c>
    </row>
    <row r="6" spans="1:23" s="25" customFormat="1" ht="6.95" customHeight="1" x14ac:dyDescent="0.25">
      <c r="A6" s="26">
        <v>298</v>
      </c>
      <c r="B6" s="27" t="s">
        <v>1086</v>
      </c>
      <c r="C6" s="28" t="s">
        <v>5490</v>
      </c>
      <c r="D6" s="51" t="s">
        <v>5009</v>
      </c>
      <c r="E6" s="52" t="s">
        <v>6002</v>
      </c>
      <c r="F6" s="51" t="s">
        <v>692</v>
      </c>
      <c r="G6" s="52" t="s">
        <v>692</v>
      </c>
      <c r="H6" s="73" t="s">
        <v>966</v>
      </c>
      <c r="I6" s="50" t="s">
        <v>1092</v>
      </c>
      <c r="J6" s="73" t="s">
        <v>1112</v>
      </c>
      <c r="K6" s="50" t="str">
        <f t="shared" si="0"/>
        <v>"UFRJ.3"</v>
      </c>
      <c r="L6" s="73" t="s">
        <v>895</v>
      </c>
      <c r="M6" s="50" t="s">
        <v>1090</v>
      </c>
      <c r="N6" s="73" t="s">
        <v>3656</v>
      </c>
      <c r="O6" s="50" t="s">
        <v>5391</v>
      </c>
      <c r="P6" s="73" t="s">
        <v>3655</v>
      </c>
      <c r="Q6" s="50" t="s">
        <v>5391</v>
      </c>
      <c r="R6" s="73" t="s">
        <v>4906</v>
      </c>
      <c r="S6" s="50" t="s">
        <v>5391</v>
      </c>
      <c r="T6" s="73" t="s">
        <v>5006</v>
      </c>
      <c r="U6" s="50" t="s">
        <v>1090</v>
      </c>
      <c r="V6" s="73" t="s">
        <v>5392</v>
      </c>
      <c r="W6" s="50" t="s">
        <v>5417</v>
      </c>
    </row>
    <row r="7" spans="1:23" s="25" customFormat="1" ht="6.95" customHeight="1" x14ac:dyDescent="0.25">
      <c r="A7" s="26">
        <v>299</v>
      </c>
      <c r="B7" s="27" t="s">
        <v>1087</v>
      </c>
      <c r="C7" s="28" t="s">
        <v>5490</v>
      </c>
      <c r="D7" s="51" t="s">
        <v>5009</v>
      </c>
      <c r="E7" s="52" t="s">
        <v>6002</v>
      </c>
      <c r="F7" s="51" t="s">
        <v>692</v>
      </c>
      <c r="G7" s="52" t="s">
        <v>692</v>
      </c>
      <c r="H7" s="73" t="s">
        <v>966</v>
      </c>
      <c r="I7" s="50" t="s">
        <v>1092</v>
      </c>
      <c r="J7" s="73" t="s">
        <v>1112</v>
      </c>
      <c r="K7" s="50" t="str">
        <f t="shared" si="0"/>
        <v>"UFRJ.4"</v>
      </c>
      <c r="L7" s="73" t="s">
        <v>895</v>
      </c>
      <c r="M7" s="50" t="s">
        <v>1091</v>
      </c>
      <c r="N7" s="73" t="s">
        <v>3656</v>
      </c>
      <c r="O7" s="50" t="s">
        <v>5391</v>
      </c>
      <c r="P7" s="73" t="s">
        <v>3655</v>
      </c>
      <c r="Q7" s="50" t="s">
        <v>5391</v>
      </c>
      <c r="R7" s="73" t="s">
        <v>4906</v>
      </c>
      <c r="S7" s="50" t="s">
        <v>5391</v>
      </c>
      <c r="T7" s="73" t="s">
        <v>5006</v>
      </c>
      <c r="U7" s="50" t="s">
        <v>1091</v>
      </c>
      <c r="V7" s="73" t="s">
        <v>5392</v>
      </c>
      <c r="W7" s="50" t="s">
        <v>5418</v>
      </c>
    </row>
    <row r="8" spans="1:23" s="25" customFormat="1" ht="6.95" customHeight="1" x14ac:dyDescent="0.25">
      <c r="A8" s="26">
        <v>300</v>
      </c>
      <c r="B8" s="30" t="s">
        <v>0</v>
      </c>
      <c r="C8" s="61" t="s">
        <v>5492</v>
      </c>
      <c r="D8" s="51" t="s">
        <v>5009</v>
      </c>
      <c r="E8" s="52" t="s">
        <v>6003</v>
      </c>
      <c r="F8" s="51" t="s">
        <v>692</v>
      </c>
      <c r="G8" s="52" t="s">
        <v>692</v>
      </c>
      <c r="H8" s="73" t="s">
        <v>966</v>
      </c>
      <c r="I8" s="50" t="s">
        <v>1059</v>
      </c>
      <c r="J8" s="73" t="s">
        <v>1112</v>
      </c>
      <c r="K8" s="50" t="str">
        <f t="shared" si="0"/>
        <v>"A"</v>
      </c>
      <c r="L8" s="73" t="s">
        <v>895</v>
      </c>
      <c r="M8" s="50" t="s">
        <v>896</v>
      </c>
      <c r="N8" s="73" t="s">
        <v>3656</v>
      </c>
      <c r="O8" s="50" t="s">
        <v>5391</v>
      </c>
      <c r="P8" s="73" t="s">
        <v>3655</v>
      </c>
      <c r="Q8" s="50" t="s">
        <v>5391</v>
      </c>
      <c r="R8" s="73" t="s">
        <v>4906</v>
      </c>
      <c r="S8" s="50" t="s">
        <v>5391</v>
      </c>
      <c r="T8" s="73" t="s">
        <v>5006</v>
      </c>
      <c r="U8" s="50" t="s">
        <v>896</v>
      </c>
      <c r="V8" s="73" t="s">
        <v>5392</v>
      </c>
      <c r="W8" s="50" t="s">
        <v>5396</v>
      </c>
    </row>
    <row r="9" spans="1:23" s="25" customFormat="1" ht="6.95" customHeight="1" x14ac:dyDescent="0.25">
      <c r="A9" s="26">
        <v>301</v>
      </c>
      <c r="B9" s="30" t="s">
        <v>619</v>
      </c>
      <c r="C9" s="61" t="s">
        <v>5492</v>
      </c>
      <c r="D9" s="51" t="s">
        <v>5009</v>
      </c>
      <c r="E9" s="52" t="s">
        <v>6003</v>
      </c>
      <c r="F9" s="51" t="s">
        <v>692</v>
      </c>
      <c r="G9" s="52" t="s">
        <v>692</v>
      </c>
      <c r="H9" s="73" t="s">
        <v>966</v>
      </c>
      <c r="I9" s="50" t="s">
        <v>1059</v>
      </c>
      <c r="J9" s="73" t="s">
        <v>1112</v>
      </c>
      <c r="K9" s="50" t="str">
        <f t="shared" si="0"/>
        <v>"AB"</v>
      </c>
      <c r="L9" s="73" t="s">
        <v>895</v>
      </c>
      <c r="M9" s="50" t="s">
        <v>5320</v>
      </c>
      <c r="N9" s="73" t="s">
        <v>3656</v>
      </c>
      <c r="O9" s="50" t="s">
        <v>5391</v>
      </c>
      <c r="P9" s="73" t="s">
        <v>3655</v>
      </c>
      <c r="Q9" s="50" t="s">
        <v>5391</v>
      </c>
      <c r="R9" s="73" t="s">
        <v>4906</v>
      </c>
      <c r="S9" s="50" t="s">
        <v>5391</v>
      </c>
      <c r="T9" s="73" t="s">
        <v>5006</v>
      </c>
      <c r="U9" s="50" t="s">
        <v>897</v>
      </c>
      <c r="V9" s="73" t="s">
        <v>5392</v>
      </c>
      <c r="W9" s="50" t="s">
        <v>5398</v>
      </c>
    </row>
    <row r="10" spans="1:23" s="25" customFormat="1" ht="6.95" customHeight="1" x14ac:dyDescent="0.25">
      <c r="A10" s="26">
        <v>302</v>
      </c>
      <c r="B10" s="30" t="s">
        <v>620</v>
      </c>
      <c r="C10" s="61" t="s">
        <v>5492</v>
      </c>
      <c r="D10" s="51" t="s">
        <v>5009</v>
      </c>
      <c r="E10" s="52" t="s">
        <v>6003</v>
      </c>
      <c r="F10" s="51" t="s">
        <v>692</v>
      </c>
      <c r="G10" s="52" t="s">
        <v>692</v>
      </c>
      <c r="H10" s="73" t="s">
        <v>966</v>
      </c>
      <c r="I10" s="50" t="s">
        <v>1059</v>
      </c>
      <c r="J10" s="73" t="s">
        <v>1112</v>
      </c>
      <c r="K10" s="50" t="str">
        <f t="shared" si="0"/>
        <v>"ABC"</v>
      </c>
      <c r="L10" s="73" t="s">
        <v>895</v>
      </c>
      <c r="M10" s="50" t="s">
        <v>5321</v>
      </c>
      <c r="N10" s="73" t="s">
        <v>3656</v>
      </c>
      <c r="O10" s="50" t="s">
        <v>5391</v>
      </c>
      <c r="P10" s="73" t="s">
        <v>3655</v>
      </c>
      <c r="Q10" s="50" t="s">
        <v>5391</v>
      </c>
      <c r="R10" s="73" t="s">
        <v>4906</v>
      </c>
      <c r="S10" s="50" t="s">
        <v>5391</v>
      </c>
      <c r="T10" s="73" t="s">
        <v>5006</v>
      </c>
      <c r="U10" s="50" t="s">
        <v>898</v>
      </c>
      <c r="V10" s="73" t="s">
        <v>5392</v>
      </c>
      <c r="W10" s="50" t="s">
        <v>5397</v>
      </c>
    </row>
    <row r="11" spans="1:23" s="25" customFormat="1" ht="6.95" customHeight="1" x14ac:dyDescent="0.25">
      <c r="A11" s="26">
        <v>303</v>
      </c>
      <c r="B11" s="30" t="s">
        <v>577</v>
      </c>
      <c r="C11" s="61" t="s">
        <v>5492</v>
      </c>
      <c r="D11" s="51" t="s">
        <v>5009</v>
      </c>
      <c r="E11" s="52" t="s">
        <v>6003</v>
      </c>
      <c r="F11" s="51" t="s">
        <v>692</v>
      </c>
      <c r="G11" s="52" t="s">
        <v>692</v>
      </c>
      <c r="H11" s="73" t="s">
        <v>966</v>
      </c>
      <c r="I11" s="50" t="s">
        <v>1059</v>
      </c>
      <c r="J11" s="73" t="s">
        <v>1112</v>
      </c>
      <c r="K11" s="50" t="str">
        <f t="shared" si="0"/>
        <v>"B"</v>
      </c>
      <c r="L11" s="73" t="s">
        <v>895</v>
      </c>
      <c r="M11" s="50" t="s">
        <v>899</v>
      </c>
      <c r="N11" s="73" t="s">
        <v>3656</v>
      </c>
      <c r="O11" s="50" t="s">
        <v>5391</v>
      </c>
      <c r="P11" s="73" t="s">
        <v>3655</v>
      </c>
      <c r="Q11" s="50" t="s">
        <v>5391</v>
      </c>
      <c r="R11" s="73" t="s">
        <v>4906</v>
      </c>
      <c r="S11" s="50" t="s">
        <v>5391</v>
      </c>
      <c r="T11" s="73" t="s">
        <v>5006</v>
      </c>
      <c r="U11" s="50" t="s">
        <v>899</v>
      </c>
      <c r="V11" s="73" t="s">
        <v>5392</v>
      </c>
      <c r="W11" s="50" t="s">
        <v>5399</v>
      </c>
    </row>
    <row r="12" spans="1:23" s="25" customFormat="1" ht="6.95" customHeight="1" x14ac:dyDescent="0.25">
      <c r="A12" s="26">
        <v>304</v>
      </c>
      <c r="B12" s="30" t="s">
        <v>348</v>
      </c>
      <c r="C12" s="61" t="s">
        <v>5492</v>
      </c>
      <c r="D12" s="51" t="s">
        <v>5009</v>
      </c>
      <c r="E12" s="52" t="s">
        <v>6003</v>
      </c>
      <c r="F12" s="51" t="s">
        <v>692</v>
      </c>
      <c r="G12" s="52" t="s">
        <v>692</v>
      </c>
      <c r="H12" s="73" t="s">
        <v>966</v>
      </c>
      <c r="I12" s="50" t="s">
        <v>1059</v>
      </c>
      <c r="J12" s="73" t="s">
        <v>1112</v>
      </c>
      <c r="K12" s="50" t="str">
        <f t="shared" si="0"/>
        <v>"C"</v>
      </c>
      <c r="L12" s="73" t="s">
        <v>895</v>
      </c>
      <c r="M12" s="50" t="s">
        <v>900</v>
      </c>
      <c r="N12" s="73" t="s">
        <v>3656</v>
      </c>
      <c r="O12" s="50" t="s">
        <v>5391</v>
      </c>
      <c r="P12" s="73" t="s">
        <v>3655</v>
      </c>
      <c r="Q12" s="50" t="s">
        <v>5391</v>
      </c>
      <c r="R12" s="73" t="s">
        <v>4906</v>
      </c>
      <c r="S12" s="50" t="s">
        <v>5391</v>
      </c>
      <c r="T12" s="73" t="s">
        <v>5006</v>
      </c>
      <c r="U12" s="50" t="s">
        <v>900</v>
      </c>
      <c r="V12" s="73" t="s">
        <v>5392</v>
      </c>
      <c r="W12" s="50" t="s">
        <v>5400</v>
      </c>
    </row>
    <row r="13" spans="1:23" s="25" customFormat="1" ht="6.95" customHeight="1" x14ac:dyDescent="0.25">
      <c r="A13" s="26">
        <v>305</v>
      </c>
      <c r="B13" s="30" t="s">
        <v>505</v>
      </c>
      <c r="C13" s="61" t="s">
        <v>5492</v>
      </c>
      <c r="D13" s="51" t="s">
        <v>5009</v>
      </c>
      <c r="E13" s="52" t="s">
        <v>6003</v>
      </c>
      <c r="F13" s="51" t="s">
        <v>692</v>
      </c>
      <c r="G13" s="52" t="s">
        <v>692</v>
      </c>
      <c r="H13" s="73" t="s">
        <v>966</v>
      </c>
      <c r="I13" s="50" t="s">
        <v>1059</v>
      </c>
      <c r="J13" s="73" t="s">
        <v>1112</v>
      </c>
      <c r="K13" s="50" t="str">
        <f t="shared" si="0"/>
        <v>"D"</v>
      </c>
      <c r="L13" s="73" t="s">
        <v>895</v>
      </c>
      <c r="M13" s="50" t="s">
        <v>901</v>
      </c>
      <c r="N13" s="73" t="s">
        <v>3656</v>
      </c>
      <c r="O13" s="50" t="s">
        <v>5391</v>
      </c>
      <c r="P13" s="73" t="s">
        <v>3655</v>
      </c>
      <c r="Q13" s="50" t="s">
        <v>5391</v>
      </c>
      <c r="R13" s="73" t="s">
        <v>4906</v>
      </c>
      <c r="S13" s="50" t="s">
        <v>5391</v>
      </c>
      <c r="T13" s="73" t="s">
        <v>5006</v>
      </c>
      <c r="U13" s="50" t="s">
        <v>901</v>
      </c>
      <c r="V13" s="73" t="s">
        <v>5392</v>
      </c>
      <c r="W13" s="50" t="s">
        <v>5401</v>
      </c>
    </row>
    <row r="14" spans="1:23" s="25" customFormat="1" ht="6.95" customHeight="1" x14ac:dyDescent="0.25">
      <c r="A14" s="26">
        <v>306</v>
      </c>
      <c r="B14" s="30" t="s">
        <v>621</v>
      </c>
      <c r="C14" s="61" t="s">
        <v>5492</v>
      </c>
      <c r="D14" s="51" t="s">
        <v>5009</v>
      </c>
      <c r="E14" s="52" t="s">
        <v>6003</v>
      </c>
      <c r="F14" s="51" t="s">
        <v>692</v>
      </c>
      <c r="G14" s="52" t="s">
        <v>692</v>
      </c>
      <c r="H14" s="73" t="s">
        <v>966</v>
      </c>
      <c r="I14" s="50" t="s">
        <v>1059</v>
      </c>
      <c r="J14" s="73" t="s">
        <v>1112</v>
      </c>
      <c r="K14" s="50" t="str">
        <f t="shared" si="0"/>
        <v>"E"</v>
      </c>
      <c r="L14" s="73" t="s">
        <v>895</v>
      </c>
      <c r="M14" s="50" t="s">
        <v>902</v>
      </c>
      <c r="N14" s="73" t="s">
        <v>3656</v>
      </c>
      <c r="O14" s="50" t="s">
        <v>5391</v>
      </c>
      <c r="P14" s="73" t="s">
        <v>3655</v>
      </c>
      <c r="Q14" s="50" t="s">
        <v>5391</v>
      </c>
      <c r="R14" s="73" t="s">
        <v>4906</v>
      </c>
      <c r="S14" s="50" t="s">
        <v>5391</v>
      </c>
      <c r="T14" s="73" t="s">
        <v>5006</v>
      </c>
      <c r="U14" s="50" t="s">
        <v>902</v>
      </c>
      <c r="V14" s="73" t="s">
        <v>5392</v>
      </c>
      <c r="W14" s="50" t="s">
        <v>5402</v>
      </c>
    </row>
    <row r="15" spans="1:23" s="25" customFormat="1" ht="6.95" customHeight="1" x14ac:dyDescent="0.25">
      <c r="A15" s="26">
        <v>307</v>
      </c>
      <c r="B15" s="30" t="s">
        <v>622</v>
      </c>
      <c r="C15" s="61" t="s">
        <v>5492</v>
      </c>
      <c r="D15" s="51" t="s">
        <v>5009</v>
      </c>
      <c r="E15" s="52" t="s">
        <v>6003</v>
      </c>
      <c r="F15" s="51" t="s">
        <v>692</v>
      </c>
      <c r="G15" s="52" t="s">
        <v>692</v>
      </c>
      <c r="H15" s="73" t="s">
        <v>966</v>
      </c>
      <c r="I15" s="50" t="s">
        <v>1059</v>
      </c>
      <c r="J15" s="73" t="s">
        <v>1112</v>
      </c>
      <c r="K15" s="50" t="str">
        <f t="shared" si="0"/>
        <v>"F"</v>
      </c>
      <c r="L15" s="73" t="s">
        <v>895</v>
      </c>
      <c r="M15" s="50" t="s">
        <v>903</v>
      </c>
      <c r="N15" s="73" t="s">
        <v>3656</v>
      </c>
      <c r="O15" s="50" t="s">
        <v>5391</v>
      </c>
      <c r="P15" s="73" t="s">
        <v>3655</v>
      </c>
      <c r="Q15" s="50" t="s">
        <v>5391</v>
      </c>
      <c r="R15" s="73" t="s">
        <v>4906</v>
      </c>
      <c r="S15" s="50" t="s">
        <v>5391</v>
      </c>
      <c r="T15" s="73" t="s">
        <v>5006</v>
      </c>
      <c r="U15" s="50" t="s">
        <v>903</v>
      </c>
      <c r="V15" s="73" t="s">
        <v>5392</v>
      </c>
      <c r="W15" s="50" t="s">
        <v>5403</v>
      </c>
    </row>
    <row r="16" spans="1:23" s="25" customFormat="1" ht="6.95" customHeight="1" x14ac:dyDescent="0.25">
      <c r="A16" s="26">
        <v>308</v>
      </c>
      <c r="B16" s="30" t="s">
        <v>623</v>
      </c>
      <c r="C16" s="61" t="s">
        <v>5492</v>
      </c>
      <c r="D16" s="51" t="s">
        <v>5009</v>
      </c>
      <c r="E16" s="52" t="s">
        <v>6003</v>
      </c>
      <c r="F16" s="51" t="s">
        <v>692</v>
      </c>
      <c r="G16" s="52" t="s">
        <v>692</v>
      </c>
      <c r="H16" s="73" t="s">
        <v>966</v>
      </c>
      <c r="I16" s="50" t="s">
        <v>1059</v>
      </c>
      <c r="J16" s="73" t="s">
        <v>1112</v>
      </c>
      <c r="K16" s="50" t="str">
        <f t="shared" si="0"/>
        <v>"G"</v>
      </c>
      <c r="L16" s="73" t="s">
        <v>895</v>
      </c>
      <c r="M16" s="50" t="s">
        <v>904</v>
      </c>
      <c r="N16" s="73" t="s">
        <v>3656</v>
      </c>
      <c r="O16" s="50" t="s">
        <v>5391</v>
      </c>
      <c r="P16" s="73" t="s">
        <v>3655</v>
      </c>
      <c r="Q16" s="50" t="s">
        <v>5391</v>
      </c>
      <c r="R16" s="73" t="s">
        <v>4906</v>
      </c>
      <c r="S16" s="50" t="s">
        <v>5391</v>
      </c>
      <c r="T16" s="73" t="s">
        <v>5006</v>
      </c>
      <c r="U16" s="50" t="s">
        <v>904</v>
      </c>
      <c r="V16" s="73" t="s">
        <v>5392</v>
      </c>
      <c r="W16" s="50" t="s">
        <v>5404</v>
      </c>
    </row>
    <row r="17" spans="1:23" s="25" customFormat="1" ht="6.95" customHeight="1" x14ac:dyDescent="0.25">
      <c r="A17" s="26">
        <v>309</v>
      </c>
      <c r="B17" s="30" t="s">
        <v>624</v>
      </c>
      <c r="C17" s="61" t="s">
        <v>5492</v>
      </c>
      <c r="D17" s="51" t="s">
        <v>5009</v>
      </c>
      <c r="E17" s="52" t="s">
        <v>6003</v>
      </c>
      <c r="F17" s="51" t="s">
        <v>692</v>
      </c>
      <c r="G17" s="52" t="s">
        <v>692</v>
      </c>
      <c r="H17" s="73" t="s">
        <v>966</v>
      </c>
      <c r="I17" s="50" t="s">
        <v>1059</v>
      </c>
      <c r="J17" s="73" t="s">
        <v>1112</v>
      </c>
      <c r="K17" s="50" t="str">
        <f t="shared" si="0"/>
        <v>"H"</v>
      </c>
      <c r="L17" s="73" t="s">
        <v>895</v>
      </c>
      <c r="M17" s="50" t="s">
        <v>905</v>
      </c>
      <c r="N17" s="73" t="s">
        <v>3656</v>
      </c>
      <c r="O17" s="50" t="s">
        <v>5391</v>
      </c>
      <c r="P17" s="73" t="s">
        <v>3655</v>
      </c>
      <c r="Q17" s="50" t="s">
        <v>5391</v>
      </c>
      <c r="R17" s="73" t="s">
        <v>4906</v>
      </c>
      <c r="S17" s="50" t="s">
        <v>5391</v>
      </c>
      <c r="T17" s="73" t="s">
        <v>5006</v>
      </c>
      <c r="U17" s="50" t="s">
        <v>905</v>
      </c>
      <c r="V17" s="73" t="s">
        <v>5392</v>
      </c>
      <c r="W17" s="50" t="s">
        <v>5405</v>
      </c>
    </row>
    <row r="18" spans="1:23" s="25" customFormat="1" ht="6.95" customHeight="1" x14ac:dyDescent="0.25">
      <c r="A18" s="26">
        <v>310</v>
      </c>
      <c r="B18" s="30" t="s">
        <v>625</v>
      </c>
      <c r="C18" s="61" t="s">
        <v>5492</v>
      </c>
      <c r="D18" s="51" t="s">
        <v>5009</v>
      </c>
      <c r="E18" s="52" t="s">
        <v>6003</v>
      </c>
      <c r="F18" s="51" t="s">
        <v>692</v>
      </c>
      <c r="G18" s="52" t="s">
        <v>692</v>
      </c>
      <c r="H18" s="73" t="s">
        <v>966</v>
      </c>
      <c r="I18" s="50" t="s">
        <v>1059</v>
      </c>
      <c r="J18" s="73" t="s">
        <v>1112</v>
      </c>
      <c r="K18" s="50" t="str">
        <f t="shared" si="0"/>
        <v>"I"</v>
      </c>
      <c r="L18" s="73" t="s">
        <v>895</v>
      </c>
      <c r="M18" s="50" t="s">
        <v>906</v>
      </c>
      <c r="N18" s="73" t="s">
        <v>3656</v>
      </c>
      <c r="O18" s="50" t="s">
        <v>5391</v>
      </c>
      <c r="P18" s="73" t="s">
        <v>3655</v>
      </c>
      <c r="Q18" s="50" t="s">
        <v>5391</v>
      </c>
      <c r="R18" s="73" t="s">
        <v>4906</v>
      </c>
      <c r="S18" s="50" t="s">
        <v>5391</v>
      </c>
      <c r="T18" s="73" t="s">
        <v>5006</v>
      </c>
      <c r="U18" s="50" t="s">
        <v>906</v>
      </c>
      <c r="V18" s="73" t="s">
        <v>5392</v>
      </c>
      <c r="W18" s="50" t="s">
        <v>5406</v>
      </c>
    </row>
    <row r="19" spans="1:23" s="25" customFormat="1" ht="6.95" customHeight="1" x14ac:dyDescent="0.25">
      <c r="A19" s="26">
        <v>311</v>
      </c>
      <c r="B19" s="30" t="s">
        <v>408</v>
      </c>
      <c r="C19" s="61" t="s">
        <v>5492</v>
      </c>
      <c r="D19" s="51" t="s">
        <v>5009</v>
      </c>
      <c r="E19" s="52" t="s">
        <v>6003</v>
      </c>
      <c r="F19" s="51" t="s">
        <v>692</v>
      </c>
      <c r="G19" s="52" t="s">
        <v>692</v>
      </c>
      <c r="H19" s="73" t="s">
        <v>966</v>
      </c>
      <c r="I19" s="50" t="s">
        <v>1059</v>
      </c>
      <c r="J19" s="73" t="s">
        <v>1112</v>
      </c>
      <c r="K19" s="50" t="str">
        <f t="shared" si="0"/>
        <v>"J"</v>
      </c>
      <c r="L19" s="73" t="s">
        <v>895</v>
      </c>
      <c r="M19" s="50" t="s">
        <v>907</v>
      </c>
      <c r="N19" s="73" t="s">
        <v>3656</v>
      </c>
      <c r="O19" s="50" t="s">
        <v>5391</v>
      </c>
      <c r="P19" s="73" t="s">
        <v>3655</v>
      </c>
      <c r="Q19" s="50" t="s">
        <v>5391</v>
      </c>
      <c r="R19" s="73" t="s">
        <v>4906</v>
      </c>
      <c r="S19" s="50" t="s">
        <v>5391</v>
      </c>
      <c r="T19" s="73" t="s">
        <v>5006</v>
      </c>
      <c r="U19" s="50" t="s">
        <v>907</v>
      </c>
      <c r="V19" s="73" t="s">
        <v>5392</v>
      </c>
      <c r="W19" s="50" t="s">
        <v>5407</v>
      </c>
    </row>
    <row r="20" spans="1:23" s="25" customFormat="1" ht="6.95" customHeight="1" x14ac:dyDescent="0.25">
      <c r="A20" s="26">
        <v>312</v>
      </c>
      <c r="B20" s="30" t="s">
        <v>708</v>
      </c>
      <c r="C20" s="61" t="s">
        <v>5492</v>
      </c>
      <c r="D20" s="51" t="s">
        <v>5009</v>
      </c>
      <c r="E20" s="52" t="s">
        <v>6003</v>
      </c>
      <c r="F20" s="51" t="s">
        <v>692</v>
      </c>
      <c r="G20" s="52" t="s">
        <v>692</v>
      </c>
      <c r="H20" s="73" t="s">
        <v>966</v>
      </c>
      <c r="I20" s="50" t="s">
        <v>1059</v>
      </c>
      <c r="J20" s="73" t="s">
        <v>1112</v>
      </c>
      <c r="K20" s="50" t="str">
        <f t="shared" si="0"/>
        <v>"K"</v>
      </c>
      <c r="L20" s="73" t="s">
        <v>895</v>
      </c>
      <c r="M20" s="50" t="s">
        <v>908</v>
      </c>
      <c r="N20" s="73" t="s">
        <v>3656</v>
      </c>
      <c r="O20" s="50" t="s">
        <v>5391</v>
      </c>
      <c r="P20" s="73" t="s">
        <v>3655</v>
      </c>
      <c r="Q20" s="50" t="s">
        <v>5391</v>
      </c>
      <c r="R20" s="73" t="s">
        <v>4906</v>
      </c>
      <c r="S20" s="50" t="s">
        <v>5391</v>
      </c>
      <c r="T20" s="73" t="s">
        <v>5006</v>
      </c>
      <c r="U20" s="50" t="s">
        <v>908</v>
      </c>
      <c r="V20" s="73" t="s">
        <v>5392</v>
      </c>
      <c r="W20" s="50" t="s">
        <v>5408</v>
      </c>
    </row>
    <row r="21" spans="1:23" s="25" customFormat="1" ht="6.95" customHeight="1" x14ac:dyDescent="0.25">
      <c r="A21" s="26">
        <v>313</v>
      </c>
      <c r="B21" s="30" t="s">
        <v>248</v>
      </c>
      <c r="C21" s="61" t="s">
        <v>5492</v>
      </c>
      <c r="D21" s="51" t="s">
        <v>5009</v>
      </c>
      <c r="E21" s="52" t="s">
        <v>6003</v>
      </c>
      <c r="F21" s="51" t="s">
        <v>692</v>
      </c>
      <c r="G21" s="52" t="s">
        <v>692</v>
      </c>
      <c r="H21" s="73" t="s">
        <v>966</v>
      </c>
      <c r="I21" s="50" t="s">
        <v>1059</v>
      </c>
      <c r="J21" s="73" t="s">
        <v>1112</v>
      </c>
      <c r="K21" s="50" t="str">
        <f t="shared" si="0"/>
        <v>"L"</v>
      </c>
      <c r="L21" s="73" t="s">
        <v>895</v>
      </c>
      <c r="M21" s="50" t="s">
        <v>909</v>
      </c>
      <c r="N21" s="73" t="s">
        <v>3656</v>
      </c>
      <c r="O21" s="50" t="s">
        <v>5391</v>
      </c>
      <c r="P21" s="73" t="s">
        <v>3655</v>
      </c>
      <c r="Q21" s="50" t="s">
        <v>5391</v>
      </c>
      <c r="R21" s="73" t="s">
        <v>4906</v>
      </c>
      <c r="S21" s="50" t="s">
        <v>5391</v>
      </c>
      <c r="T21" s="73" t="s">
        <v>5006</v>
      </c>
      <c r="U21" s="50" t="s">
        <v>909</v>
      </c>
      <c r="V21" s="73" t="s">
        <v>5392</v>
      </c>
      <c r="W21" s="50" t="s">
        <v>5409</v>
      </c>
    </row>
    <row r="22" spans="1:23" s="25" customFormat="1" ht="6.95" customHeight="1" x14ac:dyDescent="0.25">
      <c r="A22" s="26">
        <v>314</v>
      </c>
      <c r="B22" s="30" t="s">
        <v>833</v>
      </c>
      <c r="C22" s="61" t="s">
        <v>5492</v>
      </c>
      <c r="D22" s="51" t="s">
        <v>5009</v>
      </c>
      <c r="E22" s="52" t="s">
        <v>6003</v>
      </c>
      <c r="F22" s="51" t="s">
        <v>692</v>
      </c>
      <c r="G22" s="52" t="s">
        <v>692</v>
      </c>
      <c r="H22" s="73" t="s">
        <v>966</v>
      </c>
      <c r="I22" s="50" t="s">
        <v>1059</v>
      </c>
      <c r="J22" s="73" t="s">
        <v>1112</v>
      </c>
      <c r="K22" s="50" t="str">
        <f t="shared" si="0"/>
        <v>"M"</v>
      </c>
      <c r="L22" s="73" t="s">
        <v>895</v>
      </c>
      <c r="M22" s="50" t="s">
        <v>910</v>
      </c>
      <c r="N22" s="73" t="s">
        <v>3656</v>
      </c>
      <c r="O22" s="50" t="s">
        <v>5391</v>
      </c>
      <c r="P22" s="73" t="s">
        <v>3655</v>
      </c>
      <c r="Q22" s="50" t="s">
        <v>5391</v>
      </c>
      <c r="R22" s="73" t="s">
        <v>4906</v>
      </c>
      <c r="S22" s="50" t="s">
        <v>5391</v>
      </c>
      <c r="T22" s="73" t="s">
        <v>5006</v>
      </c>
      <c r="U22" s="50" t="s">
        <v>910</v>
      </c>
      <c r="V22" s="73" t="s">
        <v>5392</v>
      </c>
      <c r="W22" s="50" t="s">
        <v>5410</v>
      </c>
    </row>
    <row r="23" spans="1:23" s="25" customFormat="1" ht="6.95" customHeight="1" x14ac:dyDescent="0.25">
      <c r="A23" s="26">
        <v>315</v>
      </c>
      <c r="B23" s="30" t="s">
        <v>834</v>
      </c>
      <c r="C23" s="61" t="s">
        <v>5492</v>
      </c>
      <c r="D23" s="51" t="s">
        <v>5009</v>
      </c>
      <c r="E23" s="52" t="s">
        <v>6003</v>
      </c>
      <c r="F23" s="51" t="s">
        <v>692</v>
      </c>
      <c r="G23" s="52" t="s">
        <v>692</v>
      </c>
      <c r="H23" s="73" t="s">
        <v>966</v>
      </c>
      <c r="I23" s="50" t="s">
        <v>1059</v>
      </c>
      <c r="J23" s="73" t="s">
        <v>1112</v>
      </c>
      <c r="K23" s="50" t="str">
        <f t="shared" si="0"/>
        <v>"N"</v>
      </c>
      <c r="L23" s="73" t="s">
        <v>895</v>
      </c>
      <c r="M23" s="50" t="s">
        <v>911</v>
      </c>
      <c r="N23" s="73" t="s">
        <v>3656</v>
      </c>
      <c r="O23" s="50" t="s">
        <v>5391</v>
      </c>
      <c r="P23" s="73" t="s">
        <v>3655</v>
      </c>
      <c r="Q23" s="50" t="s">
        <v>5391</v>
      </c>
      <c r="R23" s="73" t="s">
        <v>4906</v>
      </c>
      <c r="S23" s="50" t="s">
        <v>5391</v>
      </c>
      <c r="T23" s="73" t="s">
        <v>5006</v>
      </c>
      <c r="U23" s="50" t="s">
        <v>911</v>
      </c>
      <c r="V23" s="73" t="s">
        <v>5392</v>
      </c>
      <c r="W23" s="50" t="s">
        <v>5411</v>
      </c>
    </row>
    <row r="24" spans="1:23" s="25" customFormat="1" ht="6.95" customHeight="1" x14ac:dyDescent="0.25">
      <c r="A24" s="26">
        <v>316</v>
      </c>
      <c r="B24" s="30" t="s">
        <v>835</v>
      </c>
      <c r="C24" s="61" t="s">
        <v>5492</v>
      </c>
      <c r="D24" s="51" t="s">
        <v>5009</v>
      </c>
      <c r="E24" s="52" t="s">
        <v>6003</v>
      </c>
      <c r="F24" s="51" t="s">
        <v>692</v>
      </c>
      <c r="G24" s="52" t="s">
        <v>692</v>
      </c>
      <c r="H24" s="73" t="s">
        <v>966</v>
      </c>
      <c r="I24" s="50" t="s">
        <v>1059</v>
      </c>
      <c r="J24" s="73" t="s">
        <v>1112</v>
      </c>
      <c r="K24" s="50" t="str">
        <f t="shared" si="0"/>
        <v>"O"</v>
      </c>
      <c r="L24" s="73" t="s">
        <v>895</v>
      </c>
      <c r="M24" s="50" t="s">
        <v>912</v>
      </c>
      <c r="N24" s="73" t="s">
        <v>3656</v>
      </c>
      <c r="O24" s="50" t="s">
        <v>5391</v>
      </c>
      <c r="P24" s="73" t="s">
        <v>3655</v>
      </c>
      <c r="Q24" s="50" t="s">
        <v>5391</v>
      </c>
      <c r="R24" s="73" t="s">
        <v>4906</v>
      </c>
      <c r="S24" s="50" t="s">
        <v>5391</v>
      </c>
      <c r="T24" s="73" t="s">
        <v>5006</v>
      </c>
      <c r="U24" s="50" t="s">
        <v>912</v>
      </c>
      <c r="V24" s="73" t="s">
        <v>5392</v>
      </c>
      <c r="W24" s="50" t="s">
        <v>5412</v>
      </c>
    </row>
    <row r="25" spans="1:23" s="25" customFormat="1" ht="6.95" customHeight="1" x14ac:dyDescent="0.25">
      <c r="A25" s="26">
        <v>317</v>
      </c>
      <c r="B25" s="30" t="s">
        <v>249</v>
      </c>
      <c r="C25" s="61" t="s">
        <v>5492</v>
      </c>
      <c r="D25" s="51" t="s">
        <v>5009</v>
      </c>
      <c r="E25" s="52" t="s">
        <v>6003</v>
      </c>
      <c r="F25" s="51" t="s">
        <v>692</v>
      </c>
      <c r="G25" s="52" t="s">
        <v>692</v>
      </c>
      <c r="H25" s="73" t="s">
        <v>966</v>
      </c>
      <c r="I25" s="50" t="s">
        <v>1059</v>
      </c>
      <c r="J25" s="73" t="s">
        <v>1112</v>
      </c>
      <c r="K25" s="50" t="str">
        <f t="shared" si="0"/>
        <v>"P"</v>
      </c>
      <c r="L25" s="73" t="s">
        <v>895</v>
      </c>
      <c r="M25" s="50" t="s">
        <v>913</v>
      </c>
      <c r="N25" s="73" t="s">
        <v>3656</v>
      </c>
      <c r="O25" s="50" t="s">
        <v>5391</v>
      </c>
      <c r="P25" s="73" t="s">
        <v>3655</v>
      </c>
      <c r="Q25" s="50" t="s">
        <v>5391</v>
      </c>
      <c r="R25" s="73" t="s">
        <v>4906</v>
      </c>
      <c r="S25" s="50" t="s">
        <v>5391</v>
      </c>
      <c r="T25" s="73" t="s">
        <v>5006</v>
      </c>
      <c r="U25" s="50" t="s">
        <v>913</v>
      </c>
      <c r="V25" s="73" t="s">
        <v>5392</v>
      </c>
      <c r="W25" s="50" t="s">
        <v>5413</v>
      </c>
    </row>
    <row r="26" spans="1:23" s="25" customFormat="1" ht="6.95" customHeight="1" x14ac:dyDescent="0.25">
      <c r="A26" s="26">
        <v>318</v>
      </c>
      <c r="B26" s="30" t="s">
        <v>836</v>
      </c>
      <c r="C26" s="61" t="s">
        <v>5492</v>
      </c>
      <c r="D26" s="51" t="s">
        <v>5009</v>
      </c>
      <c r="E26" s="52" t="s">
        <v>6003</v>
      </c>
      <c r="F26" s="51" t="s">
        <v>692</v>
      </c>
      <c r="G26" s="52" t="s">
        <v>692</v>
      </c>
      <c r="H26" s="73" t="s">
        <v>966</v>
      </c>
      <c r="I26" s="50" t="s">
        <v>1059</v>
      </c>
      <c r="J26" s="73" t="s">
        <v>1112</v>
      </c>
      <c r="K26" s="50" t="str">
        <f t="shared" si="0"/>
        <v>"Q"</v>
      </c>
      <c r="L26" s="73" t="s">
        <v>895</v>
      </c>
      <c r="M26" s="50" t="s">
        <v>914</v>
      </c>
      <c r="N26" s="73" t="s">
        <v>3656</v>
      </c>
      <c r="O26" s="50" t="s">
        <v>5391</v>
      </c>
      <c r="P26" s="73" t="s">
        <v>3655</v>
      </c>
      <c r="Q26" s="50" t="s">
        <v>5391</v>
      </c>
      <c r="R26" s="73" t="s">
        <v>4906</v>
      </c>
      <c r="S26" s="50" t="s">
        <v>5391</v>
      </c>
      <c r="T26" s="73" t="s">
        <v>5006</v>
      </c>
      <c r="U26" s="50" t="s">
        <v>914</v>
      </c>
      <c r="V26" s="73" t="s">
        <v>5392</v>
      </c>
      <c r="W26" s="50" t="s">
        <v>5414</v>
      </c>
    </row>
    <row r="27" spans="1:23" s="25" customFormat="1" ht="6.95" customHeight="1" x14ac:dyDescent="0.25">
      <c r="A27" s="26">
        <v>3</v>
      </c>
      <c r="B27" s="30" t="s">
        <v>662</v>
      </c>
      <c r="C27" s="61" t="s">
        <v>5493</v>
      </c>
      <c r="D27" s="51" t="s">
        <v>5009</v>
      </c>
      <c r="E27" s="52" t="s">
        <v>6003</v>
      </c>
      <c r="F27" s="51" t="s">
        <v>692</v>
      </c>
      <c r="G27" s="52" t="s">
        <v>692</v>
      </c>
      <c r="H27" s="73" t="s">
        <v>966</v>
      </c>
      <c r="I27" s="50" t="s">
        <v>967</v>
      </c>
      <c r="J27" s="73" t="s">
        <v>1112</v>
      </c>
      <c r="K27" s="50" t="str">
        <f t="shared" si="0"/>
        <v>"ARQ"</v>
      </c>
      <c r="L27" s="73" t="s">
        <v>895</v>
      </c>
      <c r="M27" s="29" t="s">
        <v>5323</v>
      </c>
      <c r="N27" s="73" t="s">
        <v>3656</v>
      </c>
      <c r="O27" s="50" t="s">
        <v>5391</v>
      </c>
      <c r="P27" s="73" t="s">
        <v>3655</v>
      </c>
      <c r="Q27" s="50" t="s">
        <v>5391</v>
      </c>
      <c r="R27" s="73" t="s">
        <v>4906</v>
      </c>
      <c r="S27" s="50" t="s">
        <v>5042</v>
      </c>
      <c r="T27" s="73" t="s">
        <v>5006</v>
      </c>
      <c r="U27" s="29" t="s">
        <v>5052</v>
      </c>
      <c r="V27" s="73" t="s">
        <v>5392</v>
      </c>
      <c r="W27" s="29" t="s">
        <v>5052</v>
      </c>
    </row>
    <row r="28" spans="1:23" s="25" customFormat="1" ht="6.95" customHeight="1" x14ac:dyDescent="0.25">
      <c r="A28" s="26">
        <v>4</v>
      </c>
      <c r="B28" s="30" t="s">
        <v>665</v>
      </c>
      <c r="C28" s="61" t="s">
        <v>5493</v>
      </c>
      <c r="D28" s="51" t="s">
        <v>5009</v>
      </c>
      <c r="E28" s="52" t="s">
        <v>6003</v>
      </c>
      <c r="F28" s="51" t="s">
        <v>692</v>
      </c>
      <c r="G28" s="52" t="s">
        <v>692</v>
      </c>
      <c r="H28" s="73" t="s">
        <v>966</v>
      </c>
      <c r="I28" s="50" t="s">
        <v>967</v>
      </c>
      <c r="J28" s="73" t="s">
        <v>1112</v>
      </c>
      <c r="K28" s="50" t="str">
        <f t="shared" si="0"/>
        <v>"AVA"</v>
      </c>
      <c r="L28" s="73" t="s">
        <v>895</v>
      </c>
      <c r="M28" s="29" t="s">
        <v>5324</v>
      </c>
      <c r="N28" s="73" t="s">
        <v>3656</v>
      </c>
      <c r="O28" s="50" t="s">
        <v>5391</v>
      </c>
      <c r="P28" s="73" t="s">
        <v>3655</v>
      </c>
      <c r="Q28" s="50" t="s">
        <v>5391</v>
      </c>
      <c r="R28" s="73" t="s">
        <v>4906</v>
      </c>
      <c r="S28" s="50" t="s">
        <v>5044</v>
      </c>
      <c r="T28" s="73" t="s">
        <v>5006</v>
      </c>
      <c r="U28" s="29" t="s">
        <v>5054</v>
      </c>
      <c r="V28" s="73" t="s">
        <v>5392</v>
      </c>
      <c r="W28" s="29" t="s">
        <v>5054</v>
      </c>
    </row>
    <row r="29" spans="1:23" s="25" customFormat="1" ht="6.95" customHeight="1" x14ac:dyDescent="0.25">
      <c r="A29" s="26">
        <v>5</v>
      </c>
      <c r="B29" s="30" t="s">
        <v>32</v>
      </c>
      <c r="C29" s="61" t="s">
        <v>5493</v>
      </c>
      <c r="D29" s="51" t="s">
        <v>5009</v>
      </c>
      <c r="E29" s="52" t="s">
        <v>6003</v>
      </c>
      <c r="F29" s="51" t="s">
        <v>692</v>
      </c>
      <c r="G29" s="52" t="s">
        <v>692</v>
      </c>
      <c r="H29" s="73" t="s">
        <v>966</v>
      </c>
      <c r="I29" s="50" t="s">
        <v>967</v>
      </c>
      <c r="J29" s="73" t="s">
        <v>1112</v>
      </c>
      <c r="K29" s="50" t="str">
        <f t="shared" si="0"/>
        <v>"ELE"</v>
      </c>
      <c r="L29" s="73" t="s">
        <v>895</v>
      </c>
      <c r="M29" s="29" t="s">
        <v>5325</v>
      </c>
      <c r="N29" s="73" t="s">
        <v>3656</v>
      </c>
      <c r="O29" s="50" t="s">
        <v>5391</v>
      </c>
      <c r="P29" s="73" t="s">
        <v>3655</v>
      </c>
      <c r="Q29" s="50" t="s">
        <v>5391</v>
      </c>
      <c r="R29" s="73" t="s">
        <v>4906</v>
      </c>
      <c r="S29" s="50" t="s">
        <v>5045</v>
      </c>
      <c r="T29" s="73" t="s">
        <v>5006</v>
      </c>
      <c r="U29" s="29" t="s">
        <v>5055</v>
      </c>
      <c r="V29" s="73" t="s">
        <v>5392</v>
      </c>
      <c r="W29" s="29" t="s">
        <v>5055</v>
      </c>
    </row>
    <row r="30" spans="1:23" s="25" customFormat="1" ht="6.95" customHeight="1" x14ac:dyDescent="0.25">
      <c r="A30" s="26">
        <v>6</v>
      </c>
      <c r="B30" s="30" t="s">
        <v>40</v>
      </c>
      <c r="C30" s="61" t="s">
        <v>5493</v>
      </c>
      <c r="D30" s="51" t="s">
        <v>5009</v>
      </c>
      <c r="E30" s="52" t="s">
        <v>6003</v>
      </c>
      <c r="F30" s="51" t="s">
        <v>692</v>
      </c>
      <c r="G30" s="52" t="s">
        <v>692</v>
      </c>
      <c r="H30" s="73" t="s">
        <v>966</v>
      </c>
      <c r="I30" s="50" t="s">
        <v>967</v>
      </c>
      <c r="J30" s="73" t="s">
        <v>1112</v>
      </c>
      <c r="K30" s="50" t="str">
        <f t="shared" si="0"/>
        <v>"EST"</v>
      </c>
      <c r="L30" s="73" t="s">
        <v>895</v>
      </c>
      <c r="M30" s="29" t="s">
        <v>5326</v>
      </c>
      <c r="N30" s="73" t="s">
        <v>3656</v>
      </c>
      <c r="O30" s="50" t="s">
        <v>5391</v>
      </c>
      <c r="P30" s="73" t="s">
        <v>3655</v>
      </c>
      <c r="Q30" s="50" t="s">
        <v>5391</v>
      </c>
      <c r="R30" s="73" t="s">
        <v>4906</v>
      </c>
      <c r="S30" s="50" t="s">
        <v>5043</v>
      </c>
      <c r="T30" s="73" t="s">
        <v>5006</v>
      </c>
      <c r="U30" s="29" t="s">
        <v>5056</v>
      </c>
      <c r="V30" s="73" t="s">
        <v>5392</v>
      </c>
      <c r="W30" s="29" t="s">
        <v>5056</v>
      </c>
    </row>
    <row r="31" spans="1:23" s="25" customFormat="1" ht="6.95" customHeight="1" x14ac:dyDescent="0.25">
      <c r="A31" s="26">
        <v>7</v>
      </c>
      <c r="B31" s="30" t="s">
        <v>664</v>
      </c>
      <c r="C31" s="61" t="s">
        <v>5493</v>
      </c>
      <c r="D31" s="51" t="s">
        <v>5009</v>
      </c>
      <c r="E31" s="52" t="s">
        <v>6003</v>
      </c>
      <c r="F31" s="51" t="s">
        <v>692</v>
      </c>
      <c r="G31" s="52" t="s">
        <v>692</v>
      </c>
      <c r="H31" s="73" t="s">
        <v>966</v>
      </c>
      <c r="I31" s="50" t="s">
        <v>967</v>
      </c>
      <c r="J31" s="73" t="s">
        <v>1112</v>
      </c>
      <c r="K31" s="50" t="str">
        <f t="shared" si="0"/>
        <v>"GAS"</v>
      </c>
      <c r="L31" s="73" t="s">
        <v>895</v>
      </c>
      <c r="M31" s="29" t="s">
        <v>5327</v>
      </c>
      <c r="N31" s="73" t="s">
        <v>3656</v>
      </c>
      <c r="O31" s="50" t="s">
        <v>5391</v>
      </c>
      <c r="P31" s="73" t="s">
        <v>3655</v>
      </c>
      <c r="Q31" s="50" t="s">
        <v>5391</v>
      </c>
      <c r="R31" s="73" t="s">
        <v>4906</v>
      </c>
      <c r="S31" s="50" t="s">
        <v>5046</v>
      </c>
      <c r="T31" s="73" t="s">
        <v>5006</v>
      </c>
      <c r="U31" s="29" t="s">
        <v>5057</v>
      </c>
      <c r="V31" s="73" t="s">
        <v>5392</v>
      </c>
      <c r="W31" s="29" t="s">
        <v>5057</v>
      </c>
    </row>
    <row r="32" spans="1:23" s="25" customFormat="1" ht="6.95" customHeight="1" x14ac:dyDescent="0.25">
      <c r="A32" s="26">
        <v>8</v>
      </c>
      <c r="B32" s="30" t="s">
        <v>5064</v>
      </c>
      <c r="C32" s="61" t="s">
        <v>5493</v>
      </c>
      <c r="D32" s="51" t="s">
        <v>5009</v>
      </c>
      <c r="E32" s="52" t="s">
        <v>6003</v>
      </c>
      <c r="F32" s="51" t="s">
        <v>692</v>
      </c>
      <c r="G32" s="52" t="s">
        <v>692</v>
      </c>
      <c r="H32" s="73" t="s">
        <v>966</v>
      </c>
      <c r="I32" s="50" t="s">
        <v>967</v>
      </c>
      <c r="J32" s="73" t="s">
        <v>1112</v>
      </c>
      <c r="K32" s="50" t="str">
        <f t="shared" si="0"/>
        <v>"GEO"</v>
      </c>
      <c r="L32" s="73" t="s">
        <v>895</v>
      </c>
      <c r="M32" s="29" t="s">
        <v>5378</v>
      </c>
      <c r="N32" s="73" t="s">
        <v>3656</v>
      </c>
      <c r="O32" s="50" t="s">
        <v>5391</v>
      </c>
      <c r="P32" s="73" t="s">
        <v>3655</v>
      </c>
      <c r="Q32" s="50" t="s">
        <v>5391</v>
      </c>
      <c r="R32" s="73" t="s">
        <v>4906</v>
      </c>
      <c r="S32" s="50" t="s">
        <v>5047</v>
      </c>
      <c r="T32" s="73" t="s">
        <v>5006</v>
      </c>
      <c r="U32" s="29" t="s">
        <v>5065</v>
      </c>
      <c r="V32" s="73" t="s">
        <v>5392</v>
      </c>
      <c r="W32" s="29" t="s">
        <v>5065</v>
      </c>
    </row>
    <row r="33" spans="1:23" s="25" customFormat="1" ht="6.95" customHeight="1" x14ac:dyDescent="0.25">
      <c r="A33" s="26">
        <v>9</v>
      </c>
      <c r="B33" s="30" t="s">
        <v>596</v>
      </c>
      <c r="C33" s="61" t="s">
        <v>5493</v>
      </c>
      <c r="D33" s="51" t="s">
        <v>5009</v>
      </c>
      <c r="E33" s="52" t="s">
        <v>6003</v>
      </c>
      <c r="F33" s="51" t="s">
        <v>692</v>
      </c>
      <c r="G33" s="52" t="s">
        <v>692</v>
      </c>
      <c r="H33" s="73" t="s">
        <v>966</v>
      </c>
      <c r="I33" s="50" t="s">
        <v>967</v>
      </c>
      <c r="J33" s="73" t="s">
        <v>1112</v>
      </c>
      <c r="K33" s="50" t="str">
        <f t="shared" si="0"/>
        <v>"HID"</v>
      </c>
      <c r="L33" s="73" t="s">
        <v>895</v>
      </c>
      <c r="M33" s="29" t="s">
        <v>5328</v>
      </c>
      <c r="N33" s="73" t="s">
        <v>3656</v>
      </c>
      <c r="O33" s="50" t="s">
        <v>5391</v>
      </c>
      <c r="P33" s="73" t="s">
        <v>3655</v>
      </c>
      <c r="Q33" s="50" t="s">
        <v>5391</v>
      </c>
      <c r="R33" s="73" t="s">
        <v>4906</v>
      </c>
      <c r="S33" s="50" t="s">
        <v>5046</v>
      </c>
      <c r="T33" s="73" t="s">
        <v>5006</v>
      </c>
      <c r="U33" s="29" t="s">
        <v>5058</v>
      </c>
      <c r="V33" s="73" t="s">
        <v>5392</v>
      </c>
      <c r="W33" s="29" t="s">
        <v>5058</v>
      </c>
    </row>
    <row r="34" spans="1:23" s="25" customFormat="1" ht="6.95" customHeight="1" x14ac:dyDescent="0.25">
      <c r="A34" s="26">
        <v>10</v>
      </c>
      <c r="B34" s="30" t="s">
        <v>599</v>
      </c>
      <c r="C34" s="61" t="s">
        <v>5493</v>
      </c>
      <c r="D34" s="51" t="s">
        <v>5009</v>
      </c>
      <c r="E34" s="52" t="s">
        <v>6003</v>
      </c>
      <c r="F34" s="51" t="s">
        <v>692</v>
      </c>
      <c r="G34" s="52" t="s">
        <v>692</v>
      </c>
      <c r="H34" s="73" t="s">
        <v>966</v>
      </c>
      <c r="I34" s="50" t="s">
        <v>967</v>
      </c>
      <c r="J34" s="73" t="s">
        <v>1112</v>
      </c>
      <c r="K34" s="50" t="str">
        <f t="shared" si="0"/>
        <v>"ILU"</v>
      </c>
      <c r="L34" s="73" t="s">
        <v>895</v>
      </c>
      <c r="M34" s="29" t="s">
        <v>5329</v>
      </c>
      <c r="N34" s="73" t="s">
        <v>3656</v>
      </c>
      <c r="O34" s="50" t="s">
        <v>5391</v>
      </c>
      <c r="P34" s="73" t="s">
        <v>3655</v>
      </c>
      <c r="Q34" s="50" t="s">
        <v>5391</v>
      </c>
      <c r="R34" s="73" t="s">
        <v>4906</v>
      </c>
      <c r="S34" s="50" t="s">
        <v>5066</v>
      </c>
      <c r="T34" s="73" t="s">
        <v>5006</v>
      </c>
      <c r="U34" s="29" t="s">
        <v>5059</v>
      </c>
      <c r="V34" s="73" t="s">
        <v>5392</v>
      </c>
      <c r="W34" s="29" t="s">
        <v>5059</v>
      </c>
    </row>
    <row r="35" spans="1:23" s="25" customFormat="1" ht="6.95" customHeight="1" x14ac:dyDescent="0.25">
      <c r="A35" s="26">
        <v>11</v>
      </c>
      <c r="B35" s="30" t="s">
        <v>597</v>
      </c>
      <c r="C35" s="61" t="s">
        <v>5493</v>
      </c>
      <c r="D35" s="51" t="s">
        <v>5009</v>
      </c>
      <c r="E35" s="52" t="s">
        <v>6003</v>
      </c>
      <c r="F35" s="51" t="s">
        <v>692</v>
      </c>
      <c r="G35" s="52" t="s">
        <v>692</v>
      </c>
      <c r="H35" s="73" t="s">
        <v>966</v>
      </c>
      <c r="I35" s="50" t="s">
        <v>967</v>
      </c>
      <c r="J35" s="73" t="s">
        <v>1112</v>
      </c>
      <c r="K35" s="50" t="str">
        <f t="shared" si="0"/>
        <v>"INC"</v>
      </c>
      <c r="L35" s="73" t="s">
        <v>895</v>
      </c>
      <c r="M35" s="29" t="s">
        <v>5330</v>
      </c>
      <c r="N35" s="73" t="s">
        <v>3656</v>
      </c>
      <c r="O35" s="50" t="s">
        <v>5391</v>
      </c>
      <c r="P35" s="73" t="s">
        <v>3655</v>
      </c>
      <c r="Q35" s="50" t="s">
        <v>5391</v>
      </c>
      <c r="R35" s="73" t="s">
        <v>4906</v>
      </c>
      <c r="S35" s="50" t="s">
        <v>5048</v>
      </c>
      <c r="T35" s="73" t="s">
        <v>5006</v>
      </c>
      <c r="U35" s="29" t="s">
        <v>5060</v>
      </c>
      <c r="V35" s="73" t="s">
        <v>5392</v>
      </c>
      <c r="W35" s="29" t="s">
        <v>5060</v>
      </c>
    </row>
    <row r="36" spans="1:23" s="25" customFormat="1" ht="6.95" customHeight="1" x14ac:dyDescent="0.25">
      <c r="A36" s="26">
        <v>12</v>
      </c>
      <c r="B36" s="30" t="s">
        <v>666</v>
      </c>
      <c r="C36" s="61" t="s">
        <v>5493</v>
      </c>
      <c r="D36" s="51" t="s">
        <v>5009</v>
      </c>
      <c r="E36" s="52" t="s">
        <v>6003</v>
      </c>
      <c r="F36" s="51" t="s">
        <v>692</v>
      </c>
      <c r="G36" s="52" t="s">
        <v>692</v>
      </c>
      <c r="H36" s="73" t="s">
        <v>966</v>
      </c>
      <c r="I36" s="50" t="s">
        <v>967</v>
      </c>
      <c r="J36" s="73" t="s">
        <v>1112</v>
      </c>
      <c r="K36" s="50" t="str">
        <f t="shared" si="0"/>
        <v>"MEC"</v>
      </c>
      <c r="L36" s="73" t="s">
        <v>895</v>
      </c>
      <c r="M36" s="29" t="s">
        <v>5331</v>
      </c>
      <c r="N36" s="73" t="s">
        <v>3656</v>
      </c>
      <c r="O36" s="50" t="s">
        <v>5391</v>
      </c>
      <c r="P36" s="73" t="s">
        <v>3655</v>
      </c>
      <c r="Q36" s="50" t="s">
        <v>5391</v>
      </c>
      <c r="R36" s="73" t="s">
        <v>4906</v>
      </c>
      <c r="S36" s="50" t="s">
        <v>5044</v>
      </c>
      <c r="T36" s="73" t="s">
        <v>5006</v>
      </c>
      <c r="U36" s="29" t="s">
        <v>5061</v>
      </c>
      <c r="V36" s="73" t="s">
        <v>5392</v>
      </c>
      <c r="W36" s="29" t="s">
        <v>5061</v>
      </c>
    </row>
    <row r="37" spans="1:23" s="25" customFormat="1" ht="6.95" customHeight="1" x14ac:dyDescent="0.25">
      <c r="A37" s="26">
        <v>13</v>
      </c>
      <c r="B37" s="30" t="s">
        <v>663</v>
      </c>
      <c r="C37" s="61" t="s">
        <v>5493</v>
      </c>
      <c r="D37" s="51" t="s">
        <v>5009</v>
      </c>
      <c r="E37" s="52" t="s">
        <v>6003</v>
      </c>
      <c r="F37" s="51" t="s">
        <v>692</v>
      </c>
      <c r="G37" s="52" t="s">
        <v>692</v>
      </c>
      <c r="H37" s="73" t="s">
        <v>966</v>
      </c>
      <c r="I37" s="50" t="s">
        <v>967</v>
      </c>
      <c r="J37" s="73" t="s">
        <v>1112</v>
      </c>
      <c r="K37" s="50" t="str">
        <f t="shared" si="0"/>
        <v>"PAI"</v>
      </c>
      <c r="L37" s="73" t="s">
        <v>895</v>
      </c>
      <c r="M37" s="29" t="s">
        <v>5332</v>
      </c>
      <c r="N37" s="73" t="s">
        <v>3656</v>
      </c>
      <c r="O37" s="50" t="s">
        <v>5391</v>
      </c>
      <c r="P37" s="73" t="s">
        <v>3655</v>
      </c>
      <c r="Q37" s="50" t="s">
        <v>5391</v>
      </c>
      <c r="R37" s="73" t="s">
        <v>4906</v>
      </c>
      <c r="S37" s="50" t="s">
        <v>5049</v>
      </c>
      <c r="T37" s="73" t="s">
        <v>5006</v>
      </c>
      <c r="U37" s="29" t="s">
        <v>5062</v>
      </c>
      <c r="V37" s="73" t="s">
        <v>5392</v>
      </c>
      <c r="W37" s="29" t="s">
        <v>5062</v>
      </c>
    </row>
    <row r="38" spans="1:23" s="25" customFormat="1" ht="6.95" customHeight="1" x14ac:dyDescent="0.25">
      <c r="A38" s="26">
        <v>14</v>
      </c>
      <c r="B38" s="30" t="s">
        <v>617</v>
      </c>
      <c r="C38" s="61" t="s">
        <v>5493</v>
      </c>
      <c r="D38" s="51" t="s">
        <v>5009</v>
      </c>
      <c r="E38" s="52" t="s">
        <v>6003</v>
      </c>
      <c r="F38" s="51" t="s">
        <v>692</v>
      </c>
      <c r="G38" s="52" t="s">
        <v>692</v>
      </c>
      <c r="H38" s="73" t="s">
        <v>966</v>
      </c>
      <c r="I38" s="50" t="s">
        <v>967</v>
      </c>
      <c r="J38" s="73" t="s">
        <v>1112</v>
      </c>
      <c r="K38" s="50" t="str">
        <f t="shared" si="0"/>
        <v>"PLU"</v>
      </c>
      <c r="L38" s="73" t="s">
        <v>895</v>
      </c>
      <c r="M38" s="29" t="s">
        <v>5333</v>
      </c>
      <c r="N38" s="73" t="s">
        <v>3656</v>
      </c>
      <c r="O38" s="50" t="s">
        <v>5391</v>
      </c>
      <c r="P38" s="73" t="s">
        <v>3655</v>
      </c>
      <c r="Q38" s="50" t="s">
        <v>5391</v>
      </c>
      <c r="R38" s="73" t="s">
        <v>4906</v>
      </c>
      <c r="S38" s="50" t="s">
        <v>5046</v>
      </c>
      <c r="T38" s="73" t="s">
        <v>5006</v>
      </c>
      <c r="U38" s="29" t="s">
        <v>5063</v>
      </c>
      <c r="V38" s="73" t="s">
        <v>5392</v>
      </c>
      <c r="W38" s="29" t="s">
        <v>5063</v>
      </c>
    </row>
    <row r="39" spans="1:23" s="25" customFormat="1" ht="6.95" customHeight="1" x14ac:dyDescent="0.25">
      <c r="A39" s="26">
        <v>15</v>
      </c>
      <c r="B39" s="30" t="s">
        <v>5050</v>
      </c>
      <c r="C39" s="61" t="s">
        <v>5493</v>
      </c>
      <c r="D39" s="51" t="s">
        <v>5009</v>
      </c>
      <c r="E39" s="52" t="s">
        <v>6003</v>
      </c>
      <c r="F39" s="51" t="s">
        <v>692</v>
      </c>
      <c r="G39" s="52" t="s">
        <v>692</v>
      </c>
      <c r="H39" s="73" t="s">
        <v>966</v>
      </c>
      <c r="I39" s="50" t="s">
        <v>967</v>
      </c>
      <c r="J39" s="73" t="s">
        <v>1112</v>
      </c>
      <c r="K39" s="50" t="str">
        <f t="shared" si="0"/>
        <v>"SOM"</v>
      </c>
      <c r="L39" s="73" t="s">
        <v>895</v>
      </c>
      <c r="M39" s="29" t="s">
        <v>5379</v>
      </c>
      <c r="N39" s="73" t="s">
        <v>3656</v>
      </c>
      <c r="O39" s="50" t="s">
        <v>5391</v>
      </c>
      <c r="P39" s="73" t="s">
        <v>3655</v>
      </c>
      <c r="Q39" s="50" t="s">
        <v>5391</v>
      </c>
      <c r="R39" s="73" t="s">
        <v>4906</v>
      </c>
      <c r="S39" s="50" t="s">
        <v>5051</v>
      </c>
      <c r="T39" s="73" t="s">
        <v>5006</v>
      </c>
      <c r="U39" s="29" t="s">
        <v>5053</v>
      </c>
      <c r="V39" s="73" t="s">
        <v>5392</v>
      </c>
      <c r="W39" s="29" t="s">
        <v>5053</v>
      </c>
    </row>
    <row r="40" spans="1:23" s="25" customFormat="1" ht="6.95" customHeight="1" x14ac:dyDescent="0.25">
      <c r="A40" s="26">
        <v>16</v>
      </c>
      <c r="B40" s="30" t="s">
        <v>5080</v>
      </c>
      <c r="C40" s="61" t="s">
        <v>5493</v>
      </c>
      <c r="D40" s="51" t="s">
        <v>5009</v>
      </c>
      <c r="E40" s="52" t="s">
        <v>6003</v>
      </c>
      <c r="F40" s="51" t="s">
        <v>692</v>
      </c>
      <c r="G40" s="52" t="s">
        <v>692</v>
      </c>
      <c r="H40" s="73" t="s">
        <v>966</v>
      </c>
      <c r="I40" s="50" t="s">
        <v>968</v>
      </c>
      <c r="J40" s="73" t="s">
        <v>1112</v>
      </c>
      <c r="K40" s="50" t="str">
        <f t="shared" si="0"/>
        <v>"DVS"</v>
      </c>
      <c r="L40" s="73" t="s">
        <v>895</v>
      </c>
      <c r="M40" s="29" t="s">
        <v>5382</v>
      </c>
      <c r="N40" s="73" t="s">
        <v>3656</v>
      </c>
      <c r="O40" s="71" t="s">
        <v>4844</v>
      </c>
      <c r="P40" s="73" t="s">
        <v>3655</v>
      </c>
      <c r="Q40" s="71" t="s">
        <v>4845</v>
      </c>
      <c r="R40" s="73" t="s">
        <v>4906</v>
      </c>
      <c r="S40" s="50" t="s">
        <v>5391</v>
      </c>
      <c r="T40" s="73" t="s">
        <v>692</v>
      </c>
      <c r="U40" s="50" t="s">
        <v>692</v>
      </c>
      <c r="V40" s="73" t="s">
        <v>5392</v>
      </c>
      <c r="W40" s="29" t="s">
        <v>5382</v>
      </c>
    </row>
    <row r="41" spans="1:23" s="25" customFormat="1" ht="6.95" customHeight="1" x14ac:dyDescent="0.25">
      <c r="A41" s="26">
        <v>17</v>
      </c>
      <c r="B41" s="30" t="s">
        <v>396</v>
      </c>
      <c r="C41" s="61" t="s">
        <v>5493</v>
      </c>
      <c r="D41" s="51" t="s">
        <v>5009</v>
      </c>
      <c r="E41" s="52" t="s">
        <v>6003</v>
      </c>
      <c r="F41" s="51" t="s">
        <v>692</v>
      </c>
      <c r="G41" s="52" t="s">
        <v>692</v>
      </c>
      <c r="H41" s="73" t="s">
        <v>966</v>
      </c>
      <c r="I41" s="50" t="s">
        <v>968</v>
      </c>
      <c r="J41" s="73" t="s">
        <v>1112</v>
      </c>
      <c r="K41" s="50" t="str">
        <f t="shared" si="0"/>
        <v>"EIX"</v>
      </c>
      <c r="L41" s="73" t="s">
        <v>895</v>
      </c>
      <c r="M41" s="29" t="s">
        <v>5097</v>
      </c>
      <c r="N41" s="73" t="s">
        <v>3656</v>
      </c>
      <c r="O41" s="50" t="s">
        <v>3697</v>
      </c>
      <c r="P41" s="73" t="s">
        <v>3655</v>
      </c>
      <c r="Q41" s="50" t="s">
        <v>3698</v>
      </c>
      <c r="R41" s="73" t="s">
        <v>4906</v>
      </c>
      <c r="S41" s="50" t="s">
        <v>5391</v>
      </c>
      <c r="T41" s="73" t="s">
        <v>692</v>
      </c>
      <c r="U41" s="50" t="s">
        <v>692</v>
      </c>
      <c r="V41" s="73" t="s">
        <v>5392</v>
      </c>
      <c r="W41" s="29" t="s">
        <v>5097</v>
      </c>
    </row>
    <row r="42" spans="1:23" s="25" customFormat="1" ht="6.95" customHeight="1" x14ac:dyDescent="0.25">
      <c r="A42" s="26">
        <v>18</v>
      </c>
      <c r="B42" s="30" t="s">
        <v>3653</v>
      </c>
      <c r="C42" s="61" t="s">
        <v>5493</v>
      </c>
      <c r="D42" s="51" t="s">
        <v>5009</v>
      </c>
      <c r="E42" s="52" t="s">
        <v>6003</v>
      </c>
      <c r="F42" s="51" t="s">
        <v>692</v>
      </c>
      <c r="G42" s="52" t="s">
        <v>692</v>
      </c>
      <c r="H42" s="73" t="s">
        <v>966</v>
      </c>
      <c r="I42" s="50" t="s">
        <v>968</v>
      </c>
      <c r="J42" s="73" t="s">
        <v>1112</v>
      </c>
      <c r="K42" s="50" t="str">
        <f t="shared" si="0"/>
        <v>"PAV"</v>
      </c>
      <c r="L42" s="73" t="s">
        <v>895</v>
      </c>
      <c r="M42" s="29" t="s">
        <v>5098</v>
      </c>
      <c r="N42" s="73" t="s">
        <v>3656</v>
      </c>
      <c r="O42" s="50" t="s">
        <v>3685</v>
      </c>
      <c r="P42" s="73" t="s">
        <v>3655</v>
      </c>
      <c r="Q42" s="50" t="s">
        <v>4870</v>
      </c>
      <c r="R42" s="73" t="s">
        <v>4906</v>
      </c>
      <c r="S42" s="50" t="s">
        <v>5391</v>
      </c>
      <c r="T42" s="73" t="s">
        <v>692</v>
      </c>
      <c r="U42" s="50" t="s">
        <v>692</v>
      </c>
      <c r="V42" s="73" t="s">
        <v>5392</v>
      </c>
      <c r="W42" s="29" t="s">
        <v>5098</v>
      </c>
    </row>
    <row r="43" spans="1:23" s="25" customFormat="1" ht="6.95" customHeight="1" x14ac:dyDescent="0.25">
      <c r="A43" s="26">
        <v>19</v>
      </c>
      <c r="B43" s="27" t="s">
        <v>1144</v>
      </c>
      <c r="C43" s="61" t="s">
        <v>5493</v>
      </c>
      <c r="D43" s="51" t="s">
        <v>5009</v>
      </c>
      <c r="E43" s="52" t="s">
        <v>6003</v>
      </c>
      <c r="F43" s="51" t="s">
        <v>692</v>
      </c>
      <c r="G43" s="52" t="s">
        <v>692</v>
      </c>
      <c r="H43" s="73" t="s">
        <v>966</v>
      </c>
      <c r="I43" s="50" t="s">
        <v>1143</v>
      </c>
      <c r="J43" s="73" t="s">
        <v>1112</v>
      </c>
      <c r="K43" s="50" t="str">
        <f t="shared" si="0"/>
        <v>"ACO"</v>
      </c>
      <c r="L43" s="73" t="s">
        <v>895</v>
      </c>
      <c r="M43" s="50" t="s">
        <v>5334</v>
      </c>
      <c r="N43" s="73" t="s">
        <v>3656</v>
      </c>
      <c r="O43" s="50" t="s">
        <v>3685</v>
      </c>
      <c r="P43" s="73" t="s">
        <v>3655</v>
      </c>
      <c r="Q43" s="50" t="s">
        <v>4870</v>
      </c>
      <c r="R43" s="73" t="s">
        <v>4906</v>
      </c>
      <c r="S43" s="50" t="s">
        <v>5391</v>
      </c>
      <c r="T43" s="73" t="s">
        <v>692</v>
      </c>
      <c r="U43" s="50" t="s">
        <v>692</v>
      </c>
      <c r="V43" s="73" t="s">
        <v>5392</v>
      </c>
      <c r="W43" s="50" t="s">
        <v>5334</v>
      </c>
    </row>
    <row r="44" spans="1:23" s="25" customFormat="1" ht="6.95" customHeight="1" x14ac:dyDescent="0.25">
      <c r="A44" s="26">
        <v>20</v>
      </c>
      <c r="B44" s="27" t="s">
        <v>1146</v>
      </c>
      <c r="C44" s="61" t="s">
        <v>5493</v>
      </c>
      <c r="D44" s="51" t="s">
        <v>5009</v>
      </c>
      <c r="E44" s="52" t="s">
        <v>6003</v>
      </c>
      <c r="F44" s="51" t="s">
        <v>692</v>
      </c>
      <c r="G44" s="52" t="s">
        <v>692</v>
      </c>
      <c r="H44" s="73" t="s">
        <v>966</v>
      </c>
      <c r="I44" s="50" t="s">
        <v>1143</v>
      </c>
      <c r="J44" s="73" t="s">
        <v>1112</v>
      </c>
      <c r="K44" s="50" t="str">
        <f t="shared" si="0"/>
        <v>"AMZ"</v>
      </c>
      <c r="L44" s="73" t="s">
        <v>895</v>
      </c>
      <c r="M44" s="50" t="s">
        <v>5099</v>
      </c>
      <c r="N44" s="73" t="s">
        <v>3656</v>
      </c>
      <c r="O44" s="50" t="s">
        <v>3685</v>
      </c>
      <c r="P44" s="73" t="s">
        <v>3655</v>
      </c>
      <c r="Q44" s="50" t="s">
        <v>4870</v>
      </c>
      <c r="R44" s="73" t="s">
        <v>4906</v>
      </c>
      <c r="S44" s="50" t="s">
        <v>5391</v>
      </c>
      <c r="T44" s="73" t="s">
        <v>692</v>
      </c>
      <c r="U44" s="50" t="s">
        <v>692</v>
      </c>
      <c r="V44" s="73" t="s">
        <v>5392</v>
      </c>
      <c r="W44" s="50" t="s">
        <v>5099</v>
      </c>
    </row>
    <row r="45" spans="1:23" s="25" customFormat="1" ht="6.95" customHeight="1" x14ac:dyDescent="0.25">
      <c r="A45" s="26">
        <v>21</v>
      </c>
      <c r="B45" s="27" t="s">
        <v>333</v>
      </c>
      <c r="C45" s="61" t="s">
        <v>5493</v>
      </c>
      <c r="D45" s="51" t="s">
        <v>5009</v>
      </c>
      <c r="E45" s="52" t="s">
        <v>6003</v>
      </c>
      <c r="F45" s="51" t="s">
        <v>692</v>
      </c>
      <c r="G45" s="52" t="s">
        <v>692</v>
      </c>
      <c r="H45" s="73" t="s">
        <v>966</v>
      </c>
      <c r="I45" s="50" t="s">
        <v>1143</v>
      </c>
      <c r="J45" s="73" t="s">
        <v>1112</v>
      </c>
      <c r="K45" s="50" t="str">
        <f t="shared" si="0"/>
        <v>"PLT"</v>
      </c>
      <c r="L45" s="73" t="s">
        <v>895</v>
      </c>
      <c r="M45" s="50" t="s">
        <v>5383</v>
      </c>
      <c r="N45" s="73" t="s">
        <v>3656</v>
      </c>
      <c r="O45" s="50" t="s">
        <v>3685</v>
      </c>
      <c r="P45" s="73" t="s">
        <v>3655</v>
      </c>
      <c r="Q45" s="50" t="s">
        <v>4870</v>
      </c>
      <c r="R45" s="73" t="s">
        <v>4906</v>
      </c>
      <c r="S45" s="50" t="s">
        <v>5391</v>
      </c>
      <c r="T45" s="73" t="s">
        <v>692</v>
      </c>
      <c r="U45" s="50" t="s">
        <v>692</v>
      </c>
      <c r="V45" s="73" t="s">
        <v>5392</v>
      </c>
      <c r="W45" s="50" t="s">
        <v>5383</v>
      </c>
    </row>
    <row r="46" spans="1:23" s="25" customFormat="1" ht="6.95" customHeight="1" x14ac:dyDescent="0.25">
      <c r="A46" s="26">
        <v>22</v>
      </c>
      <c r="B46" s="27" t="s">
        <v>376</v>
      </c>
      <c r="C46" s="61" t="s">
        <v>5493</v>
      </c>
      <c r="D46" s="51" t="s">
        <v>5009</v>
      </c>
      <c r="E46" s="52" t="s">
        <v>6003</v>
      </c>
      <c r="F46" s="51" t="s">
        <v>692</v>
      </c>
      <c r="G46" s="52" t="s">
        <v>692</v>
      </c>
      <c r="H46" s="73" t="s">
        <v>966</v>
      </c>
      <c r="I46" s="50" t="s">
        <v>1143</v>
      </c>
      <c r="J46" s="73" t="s">
        <v>1112</v>
      </c>
      <c r="K46" s="50" t="str">
        <f t="shared" si="0"/>
        <v>"SSO"</v>
      </c>
      <c r="L46" s="73" t="s">
        <v>895</v>
      </c>
      <c r="M46" s="50" t="s">
        <v>5100</v>
      </c>
      <c r="N46" s="73" t="s">
        <v>3656</v>
      </c>
      <c r="O46" s="50" t="s">
        <v>3685</v>
      </c>
      <c r="P46" s="73" t="s">
        <v>3655</v>
      </c>
      <c r="Q46" s="50" t="s">
        <v>4870</v>
      </c>
      <c r="R46" s="73" t="s">
        <v>4906</v>
      </c>
      <c r="S46" s="50" t="s">
        <v>5391</v>
      </c>
      <c r="T46" s="73" t="s">
        <v>692</v>
      </c>
      <c r="U46" s="50" t="s">
        <v>692</v>
      </c>
      <c r="V46" s="73" t="s">
        <v>5392</v>
      </c>
      <c r="W46" s="50" t="s">
        <v>5100</v>
      </c>
    </row>
    <row r="47" spans="1:23" s="25" customFormat="1" ht="6.95" customHeight="1" x14ac:dyDescent="0.25">
      <c r="A47" s="26">
        <v>23</v>
      </c>
      <c r="B47" s="27" t="s">
        <v>293</v>
      </c>
      <c r="C47" s="61" t="s">
        <v>5493</v>
      </c>
      <c r="D47" s="51" t="s">
        <v>5009</v>
      </c>
      <c r="E47" s="52" t="s">
        <v>6003</v>
      </c>
      <c r="F47" s="51" t="s">
        <v>692</v>
      </c>
      <c r="G47" s="52" t="s">
        <v>692</v>
      </c>
      <c r="H47" s="73" t="s">
        <v>966</v>
      </c>
      <c r="I47" s="50" t="s">
        <v>1143</v>
      </c>
      <c r="J47" s="73" t="s">
        <v>1112</v>
      </c>
      <c r="K47" s="50" t="str">
        <f t="shared" si="0"/>
        <v>"TER"</v>
      </c>
      <c r="L47" s="73" t="s">
        <v>895</v>
      </c>
      <c r="M47" s="50" t="s">
        <v>5101</v>
      </c>
      <c r="N47" s="73" t="s">
        <v>3656</v>
      </c>
      <c r="O47" s="50" t="s">
        <v>3685</v>
      </c>
      <c r="P47" s="73" t="s">
        <v>3655</v>
      </c>
      <c r="Q47" s="50" t="s">
        <v>4870</v>
      </c>
      <c r="R47" s="73" t="s">
        <v>4906</v>
      </c>
      <c r="S47" s="50" t="s">
        <v>5391</v>
      </c>
      <c r="T47" s="73" t="s">
        <v>692</v>
      </c>
      <c r="U47" s="50" t="s">
        <v>692</v>
      </c>
      <c r="V47" s="73" t="s">
        <v>5392</v>
      </c>
      <c r="W47" s="50" t="s">
        <v>5101</v>
      </c>
    </row>
    <row r="48" spans="1:23" s="25" customFormat="1" ht="6.95" customHeight="1" x14ac:dyDescent="0.25">
      <c r="A48" s="26">
        <v>24</v>
      </c>
      <c r="B48" s="27" t="s">
        <v>779</v>
      </c>
      <c r="C48" s="61" t="s">
        <v>5493</v>
      </c>
      <c r="D48" s="51" t="s">
        <v>5009</v>
      </c>
      <c r="E48" s="52" t="s">
        <v>6003</v>
      </c>
      <c r="F48" s="51" t="s">
        <v>692</v>
      </c>
      <c r="G48" s="52" t="s">
        <v>692</v>
      </c>
      <c r="H48" s="73" t="s">
        <v>966</v>
      </c>
      <c r="I48" s="50" t="s">
        <v>1143</v>
      </c>
      <c r="J48" s="73" t="s">
        <v>1112</v>
      </c>
      <c r="K48" s="50" t="str">
        <f t="shared" si="0"/>
        <v>"TIP"</v>
      </c>
      <c r="L48" s="73" t="s">
        <v>895</v>
      </c>
      <c r="M48" s="50" t="s">
        <v>5102</v>
      </c>
      <c r="N48" s="73" t="s">
        <v>3656</v>
      </c>
      <c r="O48" s="50" t="s">
        <v>3685</v>
      </c>
      <c r="P48" s="73" t="s">
        <v>3655</v>
      </c>
      <c r="Q48" s="50" t="s">
        <v>4870</v>
      </c>
      <c r="R48" s="73" t="s">
        <v>4906</v>
      </c>
      <c r="S48" s="50" t="s">
        <v>5391</v>
      </c>
      <c r="T48" s="73" t="s">
        <v>692</v>
      </c>
      <c r="U48" s="50" t="s">
        <v>692</v>
      </c>
      <c r="V48" s="73" t="s">
        <v>5392</v>
      </c>
      <c r="W48" s="50" t="s">
        <v>5102</v>
      </c>
    </row>
    <row r="49" spans="1:23" s="25" customFormat="1" ht="6.95" customHeight="1" x14ac:dyDescent="0.25">
      <c r="A49" s="26">
        <v>25</v>
      </c>
      <c r="B49" s="27" t="s">
        <v>1113</v>
      </c>
      <c r="C49" s="61" t="s">
        <v>5493</v>
      </c>
      <c r="D49" s="51" t="s">
        <v>5009</v>
      </c>
      <c r="E49" s="52" t="s">
        <v>6003</v>
      </c>
      <c r="F49" s="51" t="s">
        <v>692</v>
      </c>
      <c r="G49" s="52" t="s">
        <v>692</v>
      </c>
      <c r="H49" s="73" t="s">
        <v>966</v>
      </c>
      <c r="I49" s="50" t="s">
        <v>1143</v>
      </c>
      <c r="J49" s="73" t="s">
        <v>1112</v>
      </c>
      <c r="K49" s="50" t="str">
        <f t="shared" si="0"/>
        <v>"TEC"</v>
      </c>
      <c r="L49" s="73" t="s">
        <v>895</v>
      </c>
      <c r="M49" s="50" t="s">
        <v>5103</v>
      </c>
      <c r="N49" s="73" t="s">
        <v>3656</v>
      </c>
      <c r="O49" s="50" t="s">
        <v>3685</v>
      </c>
      <c r="P49" s="73" t="s">
        <v>3655</v>
      </c>
      <c r="Q49" s="50" t="s">
        <v>4870</v>
      </c>
      <c r="R49" s="73" t="s">
        <v>4906</v>
      </c>
      <c r="S49" s="50" t="s">
        <v>5391</v>
      </c>
      <c r="T49" s="73" t="s">
        <v>692</v>
      </c>
      <c r="U49" s="50" t="s">
        <v>692</v>
      </c>
      <c r="V49" s="73" t="s">
        <v>5392</v>
      </c>
      <c r="W49" s="50" t="s">
        <v>5103</v>
      </c>
    </row>
    <row r="50" spans="1:23" s="25" customFormat="1" ht="6.95" customHeight="1" x14ac:dyDescent="0.25">
      <c r="A50" s="26">
        <v>26</v>
      </c>
      <c r="B50" s="27" t="s">
        <v>1115</v>
      </c>
      <c r="C50" s="61" t="s">
        <v>5493</v>
      </c>
      <c r="D50" s="51" t="s">
        <v>5009</v>
      </c>
      <c r="E50" s="52" t="s">
        <v>6003</v>
      </c>
      <c r="F50" s="51" t="s">
        <v>692</v>
      </c>
      <c r="G50" s="52" t="s">
        <v>692</v>
      </c>
      <c r="H50" s="73" t="s">
        <v>966</v>
      </c>
      <c r="I50" s="50" t="s">
        <v>1143</v>
      </c>
      <c r="J50" s="73" t="s">
        <v>1112</v>
      </c>
      <c r="K50" s="50" t="str">
        <f t="shared" si="0"/>
        <v>"1AN"</v>
      </c>
      <c r="L50" s="73" t="s">
        <v>895</v>
      </c>
      <c r="M50" s="50" t="s">
        <v>5104</v>
      </c>
      <c r="N50" s="73" t="s">
        <v>3656</v>
      </c>
      <c r="O50" s="50" t="s">
        <v>3685</v>
      </c>
      <c r="P50" s="73" t="s">
        <v>3655</v>
      </c>
      <c r="Q50" s="50" t="s">
        <v>4870</v>
      </c>
      <c r="R50" s="73" t="s">
        <v>4906</v>
      </c>
      <c r="S50" s="50" t="s">
        <v>5391</v>
      </c>
      <c r="T50" s="73" t="s">
        <v>692</v>
      </c>
      <c r="U50" s="50" t="s">
        <v>692</v>
      </c>
      <c r="V50" s="73" t="s">
        <v>5392</v>
      </c>
      <c r="W50" s="50" t="s">
        <v>5104</v>
      </c>
    </row>
    <row r="51" spans="1:23" s="25" customFormat="1" ht="6.95" customHeight="1" x14ac:dyDescent="0.25">
      <c r="A51" s="26">
        <v>27</v>
      </c>
      <c r="B51" s="27" t="s">
        <v>1116</v>
      </c>
      <c r="C51" s="61" t="s">
        <v>5493</v>
      </c>
      <c r="D51" s="51" t="s">
        <v>5009</v>
      </c>
      <c r="E51" s="52" t="s">
        <v>6003</v>
      </c>
      <c r="F51" s="51" t="s">
        <v>692</v>
      </c>
      <c r="G51" s="52" t="s">
        <v>692</v>
      </c>
      <c r="H51" s="73" t="s">
        <v>966</v>
      </c>
      <c r="I51" s="50" t="s">
        <v>1143</v>
      </c>
      <c r="J51" s="73" t="s">
        <v>1112</v>
      </c>
      <c r="K51" s="50" t="str">
        <f t="shared" si="0"/>
        <v>"2AN"</v>
      </c>
      <c r="L51" s="73" t="s">
        <v>895</v>
      </c>
      <c r="M51" s="50" t="s">
        <v>5105</v>
      </c>
      <c r="N51" s="73" t="s">
        <v>3656</v>
      </c>
      <c r="O51" s="50" t="s">
        <v>3685</v>
      </c>
      <c r="P51" s="73" t="s">
        <v>3655</v>
      </c>
      <c r="Q51" s="50" t="s">
        <v>4870</v>
      </c>
      <c r="R51" s="73" t="s">
        <v>4906</v>
      </c>
      <c r="S51" s="50" t="s">
        <v>5391</v>
      </c>
      <c r="T51" s="73" t="s">
        <v>692</v>
      </c>
      <c r="U51" s="50" t="s">
        <v>692</v>
      </c>
      <c r="V51" s="73" t="s">
        <v>5392</v>
      </c>
      <c r="W51" s="50" t="s">
        <v>5105</v>
      </c>
    </row>
    <row r="52" spans="1:23" s="25" customFormat="1" ht="6.95" customHeight="1" x14ac:dyDescent="0.25">
      <c r="A52" s="26">
        <v>28</v>
      </c>
      <c r="B52" s="27" t="s">
        <v>1117</v>
      </c>
      <c r="C52" s="61" t="s">
        <v>5493</v>
      </c>
      <c r="D52" s="51" t="s">
        <v>5009</v>
      </c>
      <c r="E52" s="52" t="s">
        <v>6003</v>
      </c>
      <c r="F52" s="51" t="s">
        <v>692</v>
      </c>
      <c r="G52" s="52" t="s">
        <v>692</v>
      </c>
      <c r="H52" s="73" t="s">
        <v>966</v>
      </c>
      <c r="I52" s="50" t="s">
        <v>1143</v>
      </c>
      <c r="J52" s="73" t="s">
        <v>1112</v>
      </c>
      <c r="K52" s="50" t="str">
        <f t="shared" si="0"/>
        <v>"3AN"</v>
      </c>
      <c r="L52" s="73" t="s">
        <v>895</v>
      </c>
      <c r="M52" s="50" t="s">
        <v>5106</v>
      </c>
      <c r="N52" s="73" t="s">
        <v>3656</v>
      </c>
      <c r="O52" s="50" t="s">
        <v>3685</v>
      </c>
      <c r="P52" s="73" t="s">
        <v>3655</v>
      </c>
      <c r="Q52" s="50" t="s">
        <v>4870</v>
      </c>
      <c r="R52" s="73" t="s">
        <v>4906</v>
      </c>
      <c r="S52" s="50" t="s">
        <v>5391</v>
      </c>
      <c r="T52" s="73" t="s">
        <v>692</v>
      </c>
      <c r="U52" s="50" t="s">
        <v>692</v>
      </c>
      <c r="V52" s="73" t="s">
        <v>5392</v>
      </c>
      <c r="W52" s="50" t="s">
        <v>5106</v>
      </c>
    </row>
    <row r="53" spans="1:23" s="25" customFormat="1" ht="6.95" customHeight="1" x14ac:dyDescent="0.25">
      <c r="A53" s="26">
        <v>29</v>
      </c>
      <c r="B53" s="27" t="s">
        <v>1118</v>
      </c>
      <c r="C53" s="61" t="s">
        <v>5493</v>
      </c>
      <c r="D53" s="51" t="s">
        <v>5009</v>
      </c>
      <c r="E53" s="52" t="s">
        <v>6003</v>
      </c>
      <c r="F53" s="51" t="s">
        <v>692</v>
      </c>
      <c r="G53" s="52" t="s">
        <v>692</v>
      </c>
      <c r="H53" s="73" t="s">
        <v>966</v>
      </c>
      <c r="I53" s="50" t="s">
        <v>1143</v>
      </c>
      <c r="J53" s="73" t="s">
        <v>1112</v>
      </c>
      <c r="K53" s="50" t="str">
        <f t="shared" si="0"/>
        <v>"4AN"</v>
      </c>
      <c r="L53" s="73" t="s">
        <v>895</v>
      </c>
      <c r="M53" s="50" t="s">
        <v>5107</v>
      </c>
      <c r="N53" s="73" t="s">
        <v>3656</v>
      </c>
      <c r="O53" s="50" t="s">
        <v>3685</v>
      </c>
      <c r="P53" s="73" t="s">
        <v>3655</v>
      </c>
      <c r="Q53" s="50" t="s">
        <v>4870</v>
      </c>
      <c r="R53" s="73" t="s">
        <v>4906</v>
      </c>
      <c r="S53" s="50" t="s">
        <v>5391</v>
      </c>
      <c r="T53" s="73" t="s">
        <v>692</v>
      </c>
      <c r="U53" s="50" t="s">
        <v>692</v>
      </c>
      <c r="V53" s="73" t="s">
        <v>5392</v>
      </c>
      <c r="W53" s="50" t="s">
        <v>5107</v>
      </c>
    </row>
    <row r="54" spans="1:23" s="25" customFormat="1" ht="6.95" customHeight="1" x14ac:dyDescent="0.25">
      <c r="A54" s="26">
        <v>30</v>
      </c>
      <c r="B54" s="27" t="s">
        <v>1119</v>
      </c>
      <c r="C54" s="61" t="s">
        <v>5493</v>
      </c>
      <c r="D54" s="51" t="s">
        <v>5009</v>
      </c>
      <c r="E54" s="52" t="s">
        <v>6003</v>
      </c>
      <c r="F54" s="51" t="s">
        <v>692</v>
      </c>
      <c r="G54" s="52" t="s">
        <v>692</v>
      </c>
      <c r="H54" s="73" t="s">
        <v>966</v>
      </c>
      <c r="I54" s="50" t="s">
        <v>1143</v>
      </c>
      <c r="J54" s="73" t="s">
        <v>1112</v>
      </c>
      <c r="K54" s="50" t="str">
        <f t="shared" si="0"/>
        <v>"5AN"</v>
      </c>
      <c r="L54" s="73" t="s">
        <v>895</v>
      </c>
      <c r="M54" s="50" t="s">
        <v>5108</v>
      </c>
      <c r="N54" s="73" t="s">
        <v>3656</v>
      </c>
      <c r="O54" s="50" t="s">
        <v>3685</v>
      </c>
      <c r="P54" s="73" t="s">
        <v>3655</v>
      </c>
      <c r="Q54" s="50" t="s">
        <v>4870</v>
      </c>
      <c r="R54" s="73" t="s">
        <v>4906</v>
      </c>
      <c r="S54" s="50" t="s">
        <v>5391</v>
      </c>
      <c r="T54" s="73" t="s">
        <v>692</v>
      </c>
      <c r="U54" s="50" t="s">
        <v>692</v>
      </c>
      <c r="V54" s="73" t="s">
        <v>5392</v>
      </c>
      <c r="W54" s="50" t="s">
        <v>5108</v>
      </c>
    </row>
    <row r="55" spans="1:23" s="25" customFormat="1" ht="6.95" customHeight="1" x14ac:dyDescent="0.25">
      <c r="A55" s="26">
        <v>31</v>
      </c>
      <c r="B55" s="27" t="s">
        <v>1120</v>
      </c>
      <c r="C55" s="61" t="s">
        <v>5493</v>
      </c>
      <c r="D55" s="51" t="s">
        <v>5009</v>
      </c>
      <c r="E55" s="52" t="s">
        <v>6003</v>
      </c>
      <c r="F55" s="51" t="s">
        <v>692</v>
      </c>
      <c r="G55" s="52" t="s">
        <v>692</v>
      </c>
      <c r="H55" s="73" t="s">
        <v>966</v>
      </c>
      <c r="I55" s="50" t="s">
        <v>1143</v>
      </c>
      <c r="J55" s="73" t="s">
        <v>1112</v>
      </c>
      <c r="K55" s="50" t="str">
        <f t="shared" si="0"/>
        <v>"6AN"</v>
      </c>
      <c r="L55" s="73" t="s">
        <v>895</v>
      </c>
      <c r="M55" s="50" t="s">
        <v>5109</v>
      </c>
      <c r="N55" s="73" t="s">
        <v>3656</v>
      </c>
      <c r="O55" s="50" t="s">
        <v>3685</v>
      </c>
      <c r="P55" s="73" t="s">
        <v>3655</v>
      </c>
      <c r="Q55" s="50" t="s">
        <v>4870</v>
      </c>
      <c r="R55" s="73" t="s">
        <v>4906</v>
      </c>
      <c r="S55" s="50" t="s">
        <v>5391</v>
      </c>
      <c r="T55" s="73" t="s">
        <v>692</v>
      </c>
      <c r="U55" s="50" t="s">
        <v>692</v>
      </c>
      <c r="V55" s="73" t="s">
        <v>5392</v>
      </c>
      <c r="W55" s="50" t="s">
        <v>5109</v>
      </c>
    </row>
    <row r="56" spans="1:23" s="25" customFormat="1" ht="6.95" customHeight="1" x14ac:dyDescent="0.25">
      <c r="A56" s="26">
        <v>32</v>
      </c>
      <c r="B56" s="27" t="s">
        <v>1127</v>
      </c>
      <c r="C56" s="61" t="s">
        <v>5493</v>
      </c>
      <c r="D56" s="51" t="s">
        <v>5009</v>
      </c>
      <c r="E56" s="52" t="s">
        <v>6003</v>
      </c>
      <c r="F56" s="51" t="s">
        <v>692</v>
      </c>
      <c r="G56" s="52" t="s">
        <v>692</v>
      </c>
      <c r="H56" s="73" t="s">
        <v>966</v>
      </c>
      <c r="I56" s="50" t="s">
        <v>1143</v>
      </c>
      <c r="J56" s="73" t="s">
        <v>1112</v>
      </c>
      <c r="K56" s="50" t="str">
        <f t="shared" si="0"/>
        <v>"7AN"</v>
      </c>
      <c r="L56" s="73" t="s">
        <v>895</v>
      </c>
      <c r="M56" s="50" t="s">
        <v>5110</v>
      </c>
      <c r="N56" s="73" t="s">
        <v>3656</v>
      </c>
      <c r="O56" s="50" t="s">
        <v>3685</v>
      </c>
      <c r="P56" s="73" t="s">
        <v>3655</v>
      </c>
      <c r="Q56" s="50" t="s">
        <v>4870</v>
      </c>
      <c r="R56" s="73" t="s">
        <v>4906</v>
      </c>
      <c r="S56" s="50" t="s">
        <v>5391</v>
      </c>
      <c r="T56" s="73" t="s">
        <v>692</v>
      </c>
      <c r="U56" s="50" t="s">
        <v>692</v>
      </c>
      <c r="V56" s="73" t="s">
        <v>5392</v>
      </c>
      <c r="W56" s="50" t="s">
        <v>5110</v>
      </c>
    </row>
    <row r="57" spans="1:23" s="25" customFormat="1" ht="6.95" customHeight="1" x14ac:dyDescent="0.25">
      <c r="A57" s="26">
        <v>33</v>
      </c>
      <c r="B57" s="27" t="s">
        <v>1129</v>
      </c>
      <c r="C57" s="61" t="s">
        <v>5493</v>
      </c>
      <c r="D57" s="51" t="s">
        <v>5009</v>
      </c>
      <c r="E57" s="52" t="s">
        <v>6003</v>
      </c>
      <c r="F57" s="51" t="s">
        <v>692</v>
      </c>
      <c r="G57" s="52" t="s">
        <v>692</v>
      </c>
      <c r="H57" s="73" t="s">
        <v>966</v>
      </c>
      <c r="I57" s="50" t="s">
        <v>1143</v>
      </c>
      <c r="J57" s="73" t="s">
        <v>1112</v>
      </c>
      <c r="K57" s="50" t="str">
        <f t="shared" si="0"/>
        <v>"1TE"</v>
      </c>
      <c r="L57" s="73" t="s">
        <v>895</v>
      </c>
      <c r="M57" s="50" t="s">
        <v>5111</v>
      </c>
      <c r="N57" s="73" t="s">
        <v>3656</v>
      </c>
      <c r="O57" s="50" t="s">
        <v>3685</v>
      </c>
      <c r="P57" s="73" t="s">
        <v>3655</v>
      </c>
      <c r="Q57" s="50" t="s">
        <v>4870</v>
      </c>
      <c r="R57" s="73" t="s">
        <v>4906</v>
      </c>
      <c r="S57" s="50" t="s">
        <v>5391</v>
      </c>
      <c r="T57" s="73" t="s">
        <v>692</v>
      </c>
      <c r="U57" s="50" t="s">
        <v>692</v>
      </c>
      <c r="V57" s="73" t="s">
        <v>5392</v>
      </c>
      <c r="W57" s="50" t="s">
        <v>5111</v>
      </c>
    </row>
    <row r="58" spans="1:23" s="25" customFormat="1" ht="6.95" customHeight="1" x14ac:dyDescent="0.25">
      <c r="A58" s="26">
        <v>34</v>
      </c>
      <c r="B58" s="27" t="s">
        <v>1130</v>
      </c>
      <c r="C58" s="61" t="s">
        <v>5493</v>
      </c>
      <c r="D58" s="51" t="s">
        <v>5009</v>
      </c>
      <c r="E58" s="52" t="s">
        <v>6003</v>
      </c>
      <c r="F58" s="51" t="s">
        <v>692</v>
      </c>
      <c r="G58" s="52" t="s">
        <v>692</v>
      </c>
      <c r="H58" s="73" t="s">
        <v>966</v>
      </c>
      <c r="I58" s="50" t="s">
        <v>1143</v>
      </c>
      <c r="J58" s="73" t="s">
        <v>1112</v>
      </c>
      <c r="K58" s="50" t="str">
        <f t="shared" si="0"/>
        <v>"2TE"</v>
      </c>
      <c r="L58" s="73" t="s">
        <v>895</v>
      </c>
      <c r="M58" s="50" t="s">
        <v>5112</v>
      </c>
      <c r="N58" s="73" t="s">
        <v>3656</v>
      </c>
      <c r="O58" s="50" t="s">
        <v>3685</v>
      </c>
      <c r="P58" s="73" t="s">
        <v>3655</v>
      </c>
      <c r="Q58" s="50" t="s">
        <v>4870</v>
      </c>
      <c r="R58" s="73" t="s">
        <v>4906</v>
      </c>
      <c r="S58" s="50" t="s">
        <v>5391</v>
      </c>
      <c r="T58" s="73" t="s">
        <v>692</v>
      </c>
      <c r="U58" s="50" t="s">
        <v>692</v>
      </c>
      <c r="V58" s="73" t="s">
        <v>5392</v>
      </c>
      <c r="W58" s="50" t="s">
        <v>5112</v>
      </c>
    </row>
    <row r="59" spans="1:23" s="25" customFormat="1" ht="6.95" customHeight="1" x14ac:dyDescent="0.25">
      <c r="A59" s="26">
        <v>35</v>
      </c>
      <c r="B59" s="27" t="s">
        <v>1131</v>
      </c>
      <c r="C59" s="61" t="s">
        <v>5493</v>
      </c>
      <c r="D59" s="51" t="s">
        <v>5009</v>
      </c>
      <c r="E59" s="52" t="s">
        <v>6003</v>
      </c>
      <c r="F59" s="51" t="s">
        <v>692</v>
      </c>
      <c r="G59" s="52" t="s">
        <v>692</v>
      </c>
      <c r="H59" s="73" t="s">
        <v>966</v>
      </c>
      <c r="I59" s="50" t="s">
        <v>1143</v>
      </c>
      <c r="J59" s="73" t="s">
        <v>1112</v>
      </c>
      <c r="K59" s="50" t="str">
        <f t="shared" si="0"/>
        <v>"3TE"</v>
      </c>
      <c r="L59" s="73" t="s">
        <v>895</v>
      </c>
      <c r="M59" s="50" t="s">
        <v>5113</v>
      </c>
      <c r="N59" s="73" t="s">
        <v>3656</v>
      </c>
      <c r="O59" s="50" t="s">
        <v>3685</v>
      </c>
      <c r="P59" s="73" t="s">
        <v>3655</v>
      </c>
      <c r="Q59" s="50" t="s">
        <v>4870</v>
      </c>
      <c r="R59" s="73" t="s">
        <v>4906</v>
      </c>
      <c r="S59" s="50" t="s">
        <v>5391</v>
      </c>
      <c r="T59" s="73" t="s">
        <v>692</v>
      </c>
      <c r="U59" s="50" t="s">
        <v>692</v>
      </c>
      <c r="V59" s="73" t="s">
        <v>5392</v>
      </c>
      <c r="W59" s="50" t="s">
        <v>5113</v>
      </c>
    </row>
    <row r="60" spans="1:23" s="25" customFormat="1" ht="6.95" customHeight="1" x14ac:dyDescent="0.25">
      <c r="A60" s="26">
        <v>36</v>
      </c>
      <c r="B60" s="27" t="s">
        <v>1132</v>
      </c>
      <c r="C60" s="61" t="s">
        <v>5493</v>
      </c>
      <c r="D60" s="51" t="s">
        <v>5009</v>
      </c>
      <c r="E60" s="52" t="s">
        <v>6003</v>
      </c>
      <c r="F60" s="51" t="s">
        <v>692</v>
      </c>
      <c r="G60" s="52" t="s">
        <v>692</v>
      </c>
      <c r="H60" s="73" t="s">
        <v>966</v>
      </c>
      <c r="I60" s="50" t="s">
        <v>1143</v>
      </c>
      <c r="J60" s="73" t="s">
        <v>1112</v>
      </c>
      <c r="K60" s="50" t="str">
        <f t="shared" si="0"/>
        <v>"4TE"</v>
      </c>
      <c r="L60" s="73" t="s">
        <v>895</v>
      </c>
      <c r="M60" s="50" t="s">
        <v>5114</v>
      </c>
      <c r="N60" s="73" t="s">
        <v>3656</v>
      </c>
      <c r="O60" s="50" t="s">
        <v>3685</v>
      </c>
      <c r="P60" s="73" t="s">
        <v>3655</v>
      </c>
      <c r="Q60" s="50" t="s">
        <v>4870</v>
      </c>
      <c r="R60" s="73" t="s">
        <v>4906</v>
      </c>
      <c r="S60" s="50" t="s">
        <v>5391</v>
      </c>
      <c r="T60" s="73" t="s">
        <v>692</v>
      </c>
      <c r="U60" s="50" t="s">
        <v>692</v>
      </c>
      <c r="V60" s="73" t="s">
        <v>5392</v>
      </c>
      <c r="W60" s="50" t="s">
        <v>5114</v>
      </c>
    </row>
    <row r="61" spans="1:23" s="25" customFormat="1" ht="6.95" customHeight="1" x14ac:dyDescent="0.25">
      <c r="A61" s="26">
        <v>37</v>
      </c>
      <c r="B61" s="27" t="s">
        <v>1133</v>
      </c>
      <c r="C61" s="61" t="s">
        <v>5493</v>
      </c>
      <c r="D61" s="51" t="s">
        <v>5009</v>
      </c>
      <c r="E61" s="52" t="s">
        <v>6003</v>
      </c>
      <c r="F61" s="51" t="s">
        <v>692</v>
      </c>
      <c r="G61" s="52" t="s">
        <v>692</v>
      </c>
      <c r="H61" s="73" t="s">
        <v>966</v>
      </c>
      <c r="I61" s="50" t="s">
        <v>1143</v>
      </c>
      <c r="J61" s="73" t="s">
        <v>1112</v>
      </c>
      <c r="K61" s="50" t="str">
        <f t="shared" si="0"/>
        <v>"5TE"</v>
      </c>
      <c r="L61" s="73" t="s">
        <v>895</v>
      </c>
      <c r="M61" s="50" t="s">
        <v>5115</v>
      </c>
      <c r="N61" s="73" t="s">
        <v>3656</v>
      </c>
      <c r="O61" s="50" t="s">
        <v>3685</v>
      </c>
      <c r="P61" s="73" t="s">
        <v>3655</v>
      </c>
      <c r="Q61" s="50" t="s">
        <v>4870</v>
      </c>
      <c r="R61" s="73" t="s">
        <v>4906</v>
      </c>
      <c r="S61" s="50" t="s">
        <v>5391</v>
      </c>
      <c r="T61" s="73" t="s">
        <v>692</v>
      </c>
      <c r="U61" s="50" t="s">
        <v>692</v>
      </c>
      <c r="V61" s="73" t="s">
        <v>5392</v>
      </c>
      <c r="W61" s="50" t="s">
        <v>5115</v>
      </c>
    </row>
    <row r="62" spans="1:23" s="25" customFormat="1" ht="6.95" customHeight="1" x14ac:dyDescent="0.25">
      <c r="A62" s="26">
        <v>38</v>
      </c>
      <c r="B62" s="27" t="s">
        <v>1134</v>
      </c>
      <c r="C62" s="61" t="s">
        <v>5493</v>
      </c>
      <c r="D62" s="51" t="s">
        <v>5009</v>
      </c>
      <c r="E62" s="52" t="s">
        <v>6003</v>
      </c>
      <c r="F62" s="51" t="s">
        <v>692</v>
      </c>
      <c r="G62" s="52" t="s">
        <v>692</v>
      </c>
      <c r="H62" s="73" t="s">
        <v>966</v>
      </c>
      <c r="I62" s="50" t="s">
        <v>1143</v>
      </c>
      <c r="J62" s="73" t="s">
        <v>1112</v>
      </c>
      <c r="K62" s="50" t="str">
        <f t="shared" si="0"/>
        <v>"6TE"</v>
      </c>
      <c r="L62" s="73" t="s">
        <v>895</v>
      </c>
      <c r="M62" s="50" t="s">
        <v>5116</v>
      </c>
      <c r="N62" s="73" t="s">
        <v>3656</v>
      </c>
      <c r="O62" s="50" t="s">
        <v>3685</v>
      </c>
      <c r="P62" s="73" t="s">
        <v>3655</v>
      </c>
      <c r="Q62" s="50" t="s">
        <v>4870</v>
      </c>
      <c r="R62" s="73" t="s">
        <v>4906</v>
      </c>
      <c r="S62" s="50" t="s">
        <v>5391</v>
      </c>
      <c r="T62" s="73" t="s">
        <v>692</v>
      </c>
      <c r="U62" s="50" t="s">
        <v>692</v>
      </c>
      <c r="V62" s="73" t="s">
        <v>5392</v>
      </c>
      <c r="W62" s="50" t="s">
        <v>5116</v>
      </c>
    </row>
    <row r="63" spans="1:23" s="25" customFormat="1" ht="6.95" customHeight="1" x14ac:dyDescent="0.25">
      <c r="A63" s="26">
        <v>39</v>
      </c>
      <c r="B63" s="27" t="s">
        <v>1135</v>
      </c>
      <c r="C63" s="61" t="s">
        <v>5493</v>
      </c>
      <c r="D63" s="51" t="s">
        <v>5009</v>
      </c>
      <c r="E63" s="52" t="s">
        <v>6003</v>
      </c>
      <c r="F63" s="51" t="s">
        <v>692</v>
      </c>
      <c r="G63" s="52" t="s">
        <v>692</v>
      </c>
      <c r="H63" s="73" t="s">
        <v>966</v>
      </c>
      <c r="I63" s="50" t="s">
        <v>1143</v>
      </c>
      <c r="J63" s="73" t="s">
        <v>1112</v>
      </c>
      <c r="K63" s="50" t="str">
        <f t="shared" si="0"/>
        <v>"7TE"</v>
      </c>
      <c r="L63" s="73" t="s">
        <v>895</v>
      </c>
      <c r="M63" s="50" t="s">
        <v>5117</v>
      </c>
      <c r="N63" s="73" t="s">
        <v>3656</v>
      </c>
      <c r="O63" s="50" t="s">
        <v>3685</v>
      </c>
      <c r="P63" s="73" t="s">
        <v>3655</v>
      </c>
      <c r="Q63" s="50" t="s">
        <v>4870</v>
      </c>
      <c r="R63" s="73" t="s">
        <v>4906</v>
      </c>
      <c r="S63" s="50" t="s">
        <v>5391</v>
      </c>
      <c r="T63" s="73" t="s">
        <v>692</v>
      </c>
      <c r="U63" s="50" t="s">
        <v>692</v>
      </c>
      <c r="V63" s="73" t="s">
        <v>5392</v>
      </c>
      <c r="W63" s="50" t="s">
        <v>5117</v>
      </c>
    </row>
    <row r="64" spans="1:23" s="25" customFormat="1" ht="6.95" customHeight="1" x14ac:dyDescent="0.25">
      <c r="A64" s="26">
        <v>40</v>
      </c>
      <c r="B64" s="30" t="s">
        <v>634</v>
      </c>
      <c r="C64" s="61" t="s">
        <v>5493</v>
      </c>
      <c r="D64" s="51" t="s">
        <v>5009</v>
      </c>
      <c r="E64" s="52" t="s">
        <v>6003</v>
      </c>
      <c r="F64" s="51" t="s">
        <v>692</v>
      </c>
      <c r="G64" s="52" t="s">
        <v>692</v>
      </c>
      <c r="H64" s="73" t="s">
        <v>966</v>
      </c>
      <c r="I64" s="50" t="s">
        <v>1030</v>
      </c>
      <c r="J64" s="73" t="s">
        <v>1112</v>
      </c>
      <c r="K64" s="50" t="str">
        <f t="shared" si="0"/>
        <v>"AMB"</v>
      </c>
      <c r="L64" s="73" t="s">
        <v>895</v>
      </c>
      <c r="M64" s="50" t="s">
        <v>5118</v>
      </c>
      <c r="N64" s="73" t="s">
        <v>3656</v>
      </c>
      <c r="O64" s="50" t="s">
        <v>3683</v>
      </c>
      <c r="P64" s="73" t="s">
        <v>3655</v>
      </c>
      <c r="Q64" s="50" t="s">
        <v>3684</v>
      </c>
      <c r="R64" s="73" t="s">
        <v>4906</v>
      </c>
      <c r="S64" s="50" t="s">
        <v>5391</v>
      </c>
      <c r="T64" s="73" t="s">
        <v>692</v>
      </c>
      <c r="U64" s="50" t="s">
        <v>692</v>
      </c>
      <c r="V64" s="73" t="s">
        <v>5392</v>
      </c>
      <c r="W64" s="50" t="s">
        <v>5118</v>
      </c>
    </row>
    <row r="65" spans="1:23" s="25" customFormat="1" ht="6.95" customHeight="1" x14ac:dyDescent="0.25">
      <c r="A65" s="26">
        <v>41</v>
      </c>
      <c r="B65" s="30" t="s">
        <v>788</v>
      </c>
      <c r="C65" s="61" t="s">
        <v>5493</v>
      </c>
      <c r="D65" s="51" t="s">
        <v>5009</v>
      </c>
      <c r="E65" s="52" t="s">
        <v>6003</v>
      </c>
      <c r="F65" s="51" t="s">
        <v>692</v>
      </c>
      <c r="G65" s="52" t="s">
        <v>692</v>
      </c>
      <c r="H65" s="73" t="s">
        <v>966</v>
      </c>
      <c r="I65" s="50" t="s">
        <v>1030</v>
      </c>
      <c r="J65" s="73" t="s">
        <v>1112</v>
      </c>
      <c r="K65" s="50" t="str">
        <f t="shared" si="0"/>
        <v>"ARE"</v>
      </c>
      <c r="L65" s="73" t="s">
        <v>895</v>
      </c>
      <c r="M65" s="50" t="s">
        <v>5119</v>
      </c>
      <c r="N65" s="73" t="s">
        <v>3656</v>
      </c>
      <c r="O65" s="50" t="s">
        <v>3686</v>
      </c>
      <c r="P65" s="73" t="s">
        <v>3655</v>
      </c>
      <c r="Q65" s="50" t="s">
        <v>3684</v>
      </c>
      <c r="R65" s="73" t="s">
        <v>4906</v>
      </c>
      <c r="S65" s="50" t="s">
        <v>5391</v>
      </c>
      <c r="T65" s="73" t="s">
        <v>692</v>
      </c>
      <c r="U65" s="50" t="s">
        <v>692</v>
      </c>
      <c r="V65" s="73" t="s">
        <v>5392</v>
      </c>
      <c r="W65" s="50" t="s">
        <v>5119</v>
      </c>
    </row>
    <row r="66" spans="1:23" s="25" customFormat="1" ht="6.95" customHeight="1" x14ac:dyDescent="0.25">
      <c r="A66" s="26">
        <v>42</v>
      </c>
      <c r="B66" s="30" t="s">
        <v>247</v>
      </c>
      <c r="C66" s="61" t="s">
        <v>5493</v>
      </c>
      <c r="D66" s="51" t="s">
        <v>5009</v>
      </c>
      <c r="E66" s="52" t="s">
        <v>6003</v>
      </c>
      <c r="F66" s="51" t="s">
        <v>692</v>
      </c>
      <c r="G66" s="52" t="s">
        <v>692</v>
      </c>
      <c r="H66" s="73" t="s">
        <v>966</v>
      </c>
      <c r="I66" s="50" t="s">
        <v>1030</v>
      </c>
      <c r="J66" s="73" t="s">
        <v>1112</v>
      </c>
      <c r="K66" s="50" t="str">
        <f t="shared" ref="K66:K129" si="1">_xlfn.CONCAT("""",B66,"""")</f>
        <v>"ESP"</v>
      </c>
      <c r="L66" s="73" t="s">
        <v>895</v>
      </c>
      <c r="M66" s="50" t="s">
        <v>5120</v>
      </c>
      <c r="N66" s="73" t="s">
        <v>3656</v>
      </c>
      <c r="O66" s="50" t="s">
        <v>3688</v>
      </c>
      <c r="P66" s="73" t="s">
        <v>3655</v>
      </c>
      <c r="Q66" s="50" t="s">
        <v>3684</v>
      </c>
      <c r="R66" s="73" t="s">
        <v>4906</v>
      </c>
      <c r="S66" s="50" t="s">
        <v>5391</v>
      </c>
      <c r="T66" s="73" t="s">
        <v>692</v>
      </c>
      <c r="U66" s="50" t="s">
        <v>692</v>
      </c>
      <c r="V66" s="73" t="s">
        <v>5392</v>
      </c>
      <c r="W66" s="50" t="s">
        <v>5120</v>
      </c>
    </row>
    <row r="67" spans="1:23" s="25" customFormat="1" ht="6.95" customHeight="1" x14ac:dyDescent="0.25">
      <c r="A67" s="26">
        <v>43</v>
      </c>
      <c r="B67" s="30" t="s">
        <v>4997</v>
      </c>
      <c r="C67" s="61" t="s">
        <v>5493</v>
      </c>
      <c r="D67" s="51" t="s">
        <v>5009</v>
      </c>
      <c r="E67" s="52" t="s">
        <v>6003</v>
      </c>
      <c r="F67" s="51" t="s">
        <v>692</v>
      </c>
      <c r="G67" s="52" t="s">
        <v>692</v>
      </c>
      <c r="H67" s="73" t="s">
        <v>966</v>
      </c>
      <c r="I67" s="50" t="s">
        <v>1030</v>
      </c>
      <c r="J67" s="73" t="s">
        <v>1112</v>
      </c>
      <c r="K67" s="50" t="str">
        <f t="shared" si="1"/>
        <v>"ZOA"</v>
      </c>
      <c r="L67" s="73" t="s">
        <v>895</v>
      </c>
      <c r="M67" s="50" t="s">
        <v>5121</v>
      </c>
      <c r="N67" s="73" t="s">
        <v>3656</v>
      </c>
      <c r="O67" s="50" t="s">
        <v>5001</v>
      </c>
      <c r="P67" s="73" t="s">
        <v>3655</v>
      </c>
      <c r="Q67" s="50" t="s">
        <v>3687</v>
      </c>
      <c r="R67" s="73" t="s">
        <v>4906</v>
      </c>
      <c r="S67" s="50" t="s">
        <v>5391</v>
      </c>
      <c r="T67" s="73" t="s">
        <v>692</v>
      </c>
      <c r="U67" s="50" t="s">
        <v>692</v>
      </c>
      <c r="V67" s="73" t="s">
        <v>5392</v>
      </c>
      <c r="W67" s="50" t="s">
        <v>5121</v>
      </c>
    </row>
    <row r="68" spans="1:23" s="25" customFormat="1" ht="6.95" customHeight="1" x14ac:dyDescent="0.25">
      <c r="A68" s="26">
        <v>44</v>
      </c>
      <c r="B68" s="30" t="s">
        <v>4998</v>
      </c>
      <c r="C68" s="61" t="s">
        <v>5493</v>
      </c>
      <c r="D68" s="51" t="s">
        <v>5009</v>
      </c>
      <c r="E68" s="52" t="s">
        <v>6003</v>
      </c>
      <c r="F68" s="51" t="s">
        <v>692</v>
      </c>
      <c r="G68" s="52" t="s">
        <v>692</v>
      </c>
      <c r="H68" s="73" t="s">
        <v>966</v>
      </c>
      <c r="I68" s="50" t="s">
        <v>1030</v>
      </c>
      <c r="J68" s="73" t="s">
        <v>1112</v>
      </c>
      <c r="K68" s="50" t="str">
        <f t="shared" si="1"/>
        <v>"ZOE"</v>
      </c>
      <c r="L68" s="73" t="s">
        <v>895</v>
      </c>
      <c r="M68" s="50" t="s">
        <v>5335</v>
      </c>
      <c r="N68" s="73" t="s">
        <v>3656</v>
      </c>
      <c r="O68" s="50" t="s">
        <v>4999</v>
      </c>
      <c r="P68" s="73" t="s">
        <v>3655</v>
      </c>
      <c r="Q68" s="50" t="s">
        <v>3687</v>
      </c>
      <c r="R68" s="73" t="s">
        <v>4906</v>
      </c>
      <c r="S68" s="50" t="s">
        <v>5391</v>
      </c>
      <c r="T68" s="73" t="s">
        <v>692</v>
      </c>
      <c r="U68" s="50" t="s">
        <v>692</v>
      </c>
      <c r="V68" s="73" t="s">
        <v>5392</v>
      </c>
      <c r="W68" s="50" t="s">
        <v>5335</v>
      </c>
    </row>
    <row r="69" spans="1:23" s="25" customFormat="1" ht="6.95" customHeight="1" x14ac:dyDescent="0.25">
      <c r="A69" s="26">
        <v>45</v>
      </c>
      <c r="B69" s="30" t="s">
        <v>5002</v>
      </c>
      <c r="C69" s="61" t="s">
        <v>5493</v>
      </c>
      <c r="D69" s="51" t="s">
        <v>5009</v>
      </c>
      <c r="E69" s="52" t="s">
        <v>6003</v>
      </c>
      <c r="F69" s="51" t="s">
        <v>692</v>
      </c>
      <c r="G69" s="52" t="s">
        <v>692</v>
      </c>
      <c r="H69" s="73" t="s">
        <v>966</v>
      </c>
      <c r="I69" s="50" t="s">
        <v>1030</v>
      </c>
      <c r="J69" s="73" t="s">
        <v>1112</v>
      </c>
      <c r="K69" s="50" t="str">
        <f t="shared" si="1"/>
        <v>"ZOS"</v>
      </c>
      <c r="L69" s="73" t="s">
        <v>895</v>
      </c>
      <c r="M69" s="50" t="s">
        <v>5336</v>
      </c>
      <c r="N69" s="73" t="s">
        <v>3656</v>
      </c>
      <c r="O69" s="50" t="s">
        <v>5000</v>
      </c>
      <c r="P69" s="73" t="s">
        <v>3655</v>
      </c>
      <c r="Q69" s="50" t="s">
        <v>3687</v>
      </c>
      <c r="R69" s="73" t="s">
        <v>4906</v>
      </c>
      <c r="S69" s="50" t="s">
        <v>5391</v>
      </c>
      <c r="T69" s="73" t="s">
        <v>692</v>
      </c>
      <c r="U69" s="50" t="s">
        <v>692</v>
      </c>
      <c r="V69" s="73" t="s">
        <v>5392</v>
      </c>
      <c r="W69" s="50" t="s">
        <v>5336</v>
      </c>
    </row>
    <row r="70" spans="1:23" s="25" customFormat="1" ht="6.95" customHeight="1" x14ac:dyDescent="0.25">
      <c r="A70" s="26">
        <v>46</v>
      </c>
      <c r="B70" s="30" t="s">
        <v>1008</v>
      </c>
      <c r="C70" s="61" t="s">
        <v>5493</v>
      </c>
      <c r="D70" s="51" t="s">
        <v>5009</v>
      </c>
      <c r="E70" s="52" t="s">
        <v>6003</v>
      </c>
      <c r="F70" s="51" t="s">
        <v>692</v>
      </c>
      <c r="G70" s="52" t="s">
        <v>692</v>
      </c>
      <c r="H70" s="73" t="s">
        <v>966</v>
      </c>
      <c r="I70" s="50" t="s">
        <v>1031</v>
      </c>
      <c r="J70" s="73" t="s">
        <v>1112</v>
      </c>
      <c r="K70" s="50" t="str">
        <f t="shared" si="1"/>
        <v>"AES"</v>
      </c>
      <c r="L70" s="73" t="s">
        <v>895</v>
      </c>
      <c r="M70" s="50" t="s">
        <v>5122</v>
      </c>
      <c r="N70" s="73" t="s">
        <v>3656</v>
      </c>
      <c r="O70" s="50" t="s">
        <v>4846</v>
      </c>
      <c r="P70" s="73" t="s">
        <v>3655</v>
      </c>
      <c r="Q70" s="50" t="s">
        <v>4869</v>
      </c>
      <c r="R70" s="73" t="s">
        <v>4906</v>
      </c>
      <c r="S70" s="50" t="s">
        <v>5391</v>
      </c>
      <c r="T70" s="73" t="s">
        <v>692</v>
      </c>
      <c r="U70" s="50" t="s">
        <v>692</v>
      </c>
      <c r="V70" s="73" t="s">
        <v>5392</v>
      </c>
      <c r="W70" s="50" t="s">
        <v>5122</v>
      </c>
    </row>
    <row r="71" spans="1:23" s="25" customFormat="1" ht="6.95" customHeight="1" x14ac:dyDescent="0.25">
      <c r="A71" s="26">
        <v>47</v>
      </c>
      <c r="B71" s="30" t="s">
        <v>331</v>
      </c>
      <c r="C71" s="61" t="s">
        <v>5493</v>
      </c>
      <c r="D71" s="51" t="s">
        <v>5009</v>
      </c>
      <c r="E71" s="52" t="s">
        <v>6003</v>
      </c>
      <c r="F71" s="51" t="s">
        <v>692</v>
      </c>
      <c r="G71" s="52" t="s">
        <v>692</v>
      </c>
      <c r="H71" s="73" t="s">
        <v>966</v>
      </c>
      <c r="I71" s="50" t="s">
        <v>1031</v>
      </c>
      <c r="J71" s="73" t="s">
        <v>1112</v>
      </c>
      <c r="K71" s="50" t="str">
        <f t="shared" si="1"/>
        <v>"CIN"</v>
      </c>
      <c r="L71" s="73" t="s">
        <v>895</v>
      </c>
      <c r="M71" s="50" t="s">
        <v>5123</v>
      </c>
      <c r="N71" s="73" t="s">
        <v>3656</v>
      </c>
      <c r="O71" s="50" t="s">
        <v>4871</v>
      </c>
      <c r="P71" s="73" t="s">
        <v>3655</v>
      </c>
      <c r="Q71" s="50" t="s">
        <v>4874</v>
      </c>
      <c r="R71" s="73" t="s">
        <v>4906</v>
      </c>
      <c r="S71" s="50" t="s">
        <v>5391</v>
      </c>
      <c r="T71" s="73" t="s">
        <v>692</v>
      </c>
      <c r="U71" s="50" t="s">
        <v>692</v>
      </c>
      <c r="V71" s="73" t="s">
        <v>5392</v>
      </c>
      <c r="W71" s="50" t="s">
        <v>5123</v>
      </c>
    </row>
    <row r="72" spans="1:23" s="25" customFormat="1" ht="6.95" customHeight="1" x14ac:dyDescent="0.25">
      <c r="A72" s="26">
        <v>48</v>
      </c>
      <c r="B72" s="30" t="s">
        <v>12</v>
      </c>
      <c r="C72" s="61" t="s">
        <v>5493</v>
      </c>
      <c r="D72" s="51" t="s">
        <v>5009</v>
      </c>
      <c r="E72" s="52" t="s">
        <v>6003</v>
      </c>
      <c r="F72" s="51" t="s">
        <v>692</v>
      </c>
      <c r="G72" s="52" t="s">
        <v>692</v>
      </c>
      <c r="H72" s="73" t="s">
        <v>966</v>
      </c>
      <c r="I72" s="50" t="s">
        <v>1031</v>
      </c>
      <c r="J72" s="73" t="s">
        <v>1112</v>
      </c>
      <c r="K72" s="50" t="str">
        <f t="shared" si="1"/>
        <v>"COL"</v>
      </c>
      <c r="L72" s="73" t="s">
        <v>895</v>
      </c>
      <c r="M72" s="50" t="s">
        <v>5124</v>
      </c>
      <c r="N72" s="73" t="s">
        <v>3656</v>
      </c>
      <c r="O72" s="71" t="s">
        <v>5005</v>
      </c>
      <c r="P72" s="73" t="s">
        <v>3655</v>
      </c>
      <c r="Q72" s="71" t="s">
        <v>4898</v>
      </c>
      <c r="R72" s="73" t="s">
        <v>4906</v>
      </c>
      <c r="S72" s="50" t="s">
        <v>5391</v>
      </c>
      <c r="T72" s="73" t="s">
        <v>692</v>
      </c>
      <c r="U72" s="50" t="s">
        <v>692</v>
      </c>
      <c r="V72" s="73" t="s">
        <v>5392</v>
      </c>
      <c r="W72" s="50" t="s">
        <v>5124</v>
      </c>
    </row>
    <row r="73" spans="1:23" s="25" customFormat="1" ht="6.95" customHeight="1" x14ac:dyDescent="0.25">
      <c r="A73" s="26">
        <v>49</v>
      </c>
      <c r="B73" s="30" t="s">
        <v>593</v>
      </c>
      <c r="C73" s="61" t="s">
        <v>5493</v>
      </c>
      <c r="D73" s="51" t="s">
        <v>5009</v>
      </c>
      <c r="E73" s="52" t="s">
        <v>6003</v>
      </c>
      <c r="F73" s="51" t="s">
        <v>692</v>
      </c>
      <c r="G73" s="52" t="s">
        <v>692</v>
      </c>
      <c r="H73" s="73" t="s">
        <v>966</v>
      </c>
      <c r="I73" s="50" t="s">
        <v>1031</v>
      </c>
      <c r="J73" s="73" t="s">
        <v>1112</v>
      </c>
      <c r="K73" s="50" t="str">
        <f t="shared" si="1"/>
        <v>"ETC"</v>
      </c>
      <c r="L73" s="73" t="s">
        <v>895</v>
      </c>
      <c r="M73" s="50" t="s">
        <v>5126</v>
      </c>
      <c r="N73" s="73" t="s">
        <v>3656</v>
      </c>
      <c r="O73" s="50" t="s">
        <v>4904</v>
      </c>
      <c r="P73" s="73" t="s">
        <v>3655</v>
      </c>
      <c r="Q73" s="50" t="s">
        <v>5003</v>
      </c>
      <c r="R73" s="73" t="s">
        <v>4906</v>
      </c>
      <c r="S73" s="50" t="s">
        <v>5391</v>
      </c>
      <c r="T73" s="73" t="s">
        <v>692</v>
      </c>
      <c r="U73" s="50" t="s">
        <v>692</v>
      </c>
      <c r="V73" s="73" t="s">
        <v>5392</v>
      </c>
      <c r="W73" s="50" t="s">
        <v>5126</v>
      </c>
    </row>
    <row r="74" spans="1:23" s="25" customFormat="1" ht="6.95" customHeight="1" x14ac:dyDescent="0.25">
      <c r="A74" s="26">
        <v>50</v>
      </c>
      <c r="B74" s="30" t="s">
        <v>323</v>
      </c>
      <c r="C74" s="61" t="s">
        <v>5493</v>
      </c>
      <c r="D74" s="51" t="s">
        <v>5009</v>
      </c>
      <c r="E74" s="52" t="s">
        <v>6003</v>
      </c>
      <c r="F74" s="51" t="s">
        <v>692</v>
      </c>
      <c r="G74" s="52" t="s">
        <v>692</v>
      </c>
      <c r="H74" s="73" t="s">
        <v>966</v>
      </c>
      <c r="I74" s="50" t="s">
        <v>1031</v>
      </c>
      <c r="J74" s="73" t="s">
        <v>1112</v>
      </c>
      <c r="K74" s="50" t="str">
        <f t="shared" si="1"/>
        <v>"FUN"</v>
      </c>
      <c r="L74" s="73" t="s">
        <v>895</v>
      </c>
      <c r="M74" s="50" t="s">
        <v>5127</v>
      </c>
      <c r="N74" s="73" t="s">
        <v>3656</v>
      </c>
      <c r="O74" s="50" t="s">
        <v>4904</v>
      </c>
      <c r="P74" s="73" t="s">
        <v>3655</v>
      </c>
      <c r="Q74" s="50" t="s">
        <v>5004</v>
      </c>
      <c r="R74" s="73" t="s">
        <v>4906</v>
      </c>
      <c r="S74" s="50" t="s">
        <v>5391</v>
      </c>
      <c r="T74" s="73" t="s">
        <v>692</v>
      </c>
      <c r="U74" s="50" t="s">
        <v>692</v>
      </c>
      <c r="V74" s="73" t="s">
        <v>5392</v>
      </c>
      <c r="W74" s="50" t="s">
        <v>5127</v>
      </c>
    </row>
    <row r="75" spans="1:23" s="25" customFormat="1" ht="6.95" customHeight="1" x14ac:dyDescent="0.25">
      <c r="A75" s="26">
        <v>51</v>
      </c>
      <c r="B75" s="30" t="s">
        <v>324</v>
      </c>
      <c r="C75" s="61" t="s">
        <v>5493</v>
      </c>
      <c r="D75" s="51" t="s">
        <v>5009</v>
      </c>
      <c r="E75" s="52" t="s">
        <v>6003</v>
      </c>
      <c r="F75" s="51" t="s">
        <v>692</v>
      </c>
      <c r="G75" s="52" t="s">
        <v>692</v>
      </c>
      <c r="H75" s="73" t="s">
        <v>966</v>
      </c>
      <c r="I75" s="50" t="s">
        <v>1031</v>
      </c>
      <c r="J75" s="73" t="s">
        <v>1112</v>
      </c>
      <c r="K75" s="50" t="str">
        <f t="shared" si="1"/>
        <v>"JDI"</v>
      </c>
      <c r="L75" s="73" t="s">
        <v>895</v>
      </c>
      <c r="M75" s="50" t="s">
        <v>5337</v>
      </c>
      <c r="N75" s="73" t="s">
        <v>3656</v>
      </c>
      <c r="O75" s="50" t="s">
        <v>5391</v>
      </c>
      <c r="P75" s="73" t="s">
        <v>3655</v>
      </c>
      <c r="Q75" s="50" t="s">
        <v>5391</v>
      </c>
      <c r="R75" s="73" t="s">
        <v>4906</v>
      </c>
      <c r="S75" s="50" t="s">
        <v>5391</v>
      </c>
      <c r="T75" s="73" t="s">
        <v>692</v>
      </c>
      <c r="U75" s="50" t="s">
        <v>692</v>
      </c>
      <c r="V75" s="73" t="s">
        <v>5392</v>
      </c>
      <c r="W75" s="50" t="s">
        <v>5337</v>
      </c>
    </row>
    <row r="76" spans="1:23" s="25" customFormat="1" ht="6.95" customHeight="1" x14ac:dyDescent="0.25">
      <c r="A76" s="26">
        <v>52</v>
      </c>
      <c r="B76" s="30" t="s">
        <v>232</v>
      </c>
      <c r="C76" s="61" t="s">
        <v>5493</v>
      </c>
      <c r="D76" s="51" t="s">
        <v>5009</v>
      </c>
      <c r="E76" s="52" t="s">
        <v>6003</v>
      </c>
      <c r="F76" s="51" t="s">
        <v>692</v>
      </c>
      <c r="G76" s="52" t="s">
        <v>692</v>
      </c>
      <c r="H76" s="73" t="s">
        <v>966</v>
      </c>
      <c r="I76" s="50" t="s">
        <v>1031</v>
      </c>
      <c r="J76" s="73" t="s">
        <v>1112</v>
      </c>
      <c r="K76" s="50" t="str">
        <f t="shared" si="1"/>
        <v>"JUN"</v>
      </c>
      <c r="L76" s="73" t="s">
        <v>895</v>
      </c>
      <c r="M76" s="50" t="s">
        <v>5128</v>
      </c>
      <c r="N76" s="73" t="s">
        <v>3656</v>
      </c>
      <c r="O76" s="50" t="s">
        <v>5391</v>
      </c>
      <c r="P76" s="73" t="s">
        <v>3655</v>
      </c>
      <c r="Q76" s="50" t="s">
        <v>5391</v>
      </c>
      <c r="R76" s="73" t="s">
        <v>4906</v>
      </c>
      <c r="S76" s="50" t="s">
        <v>5391</v>
      </c>
      <c r="T76" s="73" t="s">
        <v>692</v>
      </c>
      <c r="U76" s="50" t="s">
        <v>692</v>
      </c>
      <c r="V76" s="73" t="s">
        <v>5392</v>
      </c>
      <c r="W76" s="50" t="s">
        <v>5128</v>
      </c>
    </row>
    <row r="77" spans="1:23" s="25" customFormat="1" ht="6.95" customHeight="1" x14ac:dyDescent="0.25">
      <c r="A77" s="26">
        <v>53</v>
      </c>
      <c r="B77" s="30" t="s">
        <v>337</v>
      </c>
      <c r="C77" s="61" t="s">
        <v>5493</v>
      </c>
      <c r="D77" s="51" t="s">
        <v>5009</v>
      </c>
      <c r="E77" s="52" t="s">
        <v>6003</v>
      </c>
      <c r="F77" s="51" t="s">
        <v>692</v>
      </c>
      <c r="G77" s="52" t="s">
        <v>692</v>
      </c>
      <c r="H77" s="73" t="s">
        <v>966</v>
      </c>
      <c r="I77" s="50" t="s">
        <v>1031</v>
      </c>
      <c r="J77" s="73" t="s">
        <v>1112</v>
      </c>
      <c r="K77" s="50" t="str">
        <f t="shared" si="1"/>
        <v>"LAJ"</v>
      </c>
      <c r="L77" s="73" t="s">
        <v>895</v>
      </c>
      <c r="M77" s="50" t="s">
        <v>5129</v>
      </c>
      <c r="N77" s="73" t="s">
        <v>3656</v>
      </c>
      <c r="O77" s="50" t="s">
        <v>3689</v>
      </c>
      <c r="P77" s="73" t="s">
        <v>3655</v>
      </c>
      <c r="Q77" s="50" t="s">
        <v>3690</v>
      </c>
      <c r="R77" s="73" t="s">
        <v>4906</v>
      </c>
      <c r="S77" s="50" t="s">
        <v>5391</v>
      </c>
      <c r="T77" s="73" t="s">
        <v>692</v>
      </c>
      <c r="U77" s="50" t="s">
        <v>692</v>
      </c>
      <c r="V77" s="73" t="s">
        <v>5392</v>
      </c>
      <c r="W77" s="50" t="s">
        <v>5129</v>
      </c>
    </row>
    <row r="78" spans="1:23" s="25" customFormat="1" ht="6.95" customHeight="1" x14ac:dyDescent="0.25">
      <c r="A78" s="26">
        <v>54</v>
      </c>
      <c r="B78" s="30" t="s">
        <v>303</v>
      </c>
      <c r="C78" s="61" t="s">
        <v>5493</v>
      </c>
      <c r="D78" s="51" t="s">
        <v>5009</v>
      </c>
      <c r="E78" s="52" t="s">
        <v>6003</v>
      </c>
      <c r="F78" s="51" t="s">
        <v>692</v>
      </c>
      <c r="G78" s="52" t="s">
        <v>692</v>
      </c>
      <c r="H78" s="73" t="s">
        <v>966</v>
      </c>
      <c r="I78" s="50" t="s">
        <v>1031</v>
      </c>
      <c r="J78" s="73" t="s">
        <v>1112</v>
      </c>
      <c r="K78" s="50" t="str">
        <f t="shared" si="1"/>
        <v>"PIL"</v>
      </c>
      <c r="L78" s="73" t="s">
        <v>895</v>
      </c>
      <c r="M78" s="50" t="s">
        <v>5130</v>
      </c>
      <c r="N78" s="73" t="s">
        <v>3656</v>
      </c>
      <c r="O78" s="71" t="s">
        <v>5005</v>
      </c>
      <c r="P78" s="73" t="s">
        <v>3655</v>
      </c>
      <c r="Q78" s="50" t="s">
        <v>4898</v>
      </c>
      <c r="R78" s="73" t="s">
        <v>4906</v>
      </c>
      <c r="S78" s="50" t="s">
        <v>5391</v>
      </c>
      <c r="T78" s="73" t="s">
        <v>692</v>
      </c>
      <c r="U78" s="50" t="s">
        <v>692</v>
      </c>
      <c r="V78" s="73" t="s">
        <v>5392</v>
      </c>
      <c r="W78" s="50" t="s">
        <v>5130</v>
      </c>
    </row>
    <row r="79" spans="1:23" s="25" customFormat="1" ht="6.95" customHeight="1" x14ac:dyDescent="0.25">
      <c r="A79" s="26">
        <v>55</v>
      </c>
      <c r="B79" s="30" t="s">
        <v>750</v>
      </c>
      <c r="C79" s="61" t="s">
        <v>5493</v>
      </c>
      <c r="D79" s="51" t="s">
        <v>5009</v>
      </c>
      <c r="E79" s="52" t="s">
        <v>6003</v>
      </c>
      <c r="F79" s="51" t="s">
        <v>692</v>
      </c>
      <c r="G79" s="52" t="s">
        <v>692</v>
      </c>
      <c r="H79" s="73" t="s">
        <v>966</v>
      </c>
      <c r="I79" s="50" t="s">
        <v>1031</v>
      </c>
      <c r="J79" s="73" t="s">
        <v>1112</v>
      </c>
      <c r="K79" s="50" t="str">
        <f t="shared" si="1"/>
        <v>"PTE"</v>
      </c>
      <c r="L79" s="73" t="s">
        <v>895</v>
      </c>
      <c r="M79" s="50" t="s">
        <v>5131</v>
      </c>
      <c r="N79" s="73" t="s">
        <v>3656</v>
      </c>
      <c r="O79" s="71" t="s">
        <v>4872</v>
      </c>
      <c r="P79" s="73" t="s">
        <v>3655</v>
      </c>
      <c r="Q79" s="71" t="s">
        <v>4873</v>
      </c>
      <c r="R79" s="73" t="s">
        <v>4906</v>
      </c>
      <c r="S79" s="50" t="s">
        <v>5391</v>
      </c>
      <c r="T79" s="73" t="s">
        <v>692</v>
      </c>
      <c r="U79" s="50" t="s">
        <v>692</v>
      </c>
      <c r="V79" s="73" t="s">
        <v>5392</v>
      </c>
      <c r="W79" s="50" t="s">
        <v>5131</v>
      </c>
    </row>
    <row r="80" spans="1:23" s="25" customFormat="1" ht="6.95" customHeight="1" x14ac:dyDescent="0.25">
      <c r="A80" s="26">
        <v>56</v>
      </c>
      <c r="B80" s="30" t="s">
        <v>1011</v>
      </c>
      <c r="C80" s="61" t="s">
        <v>5493</v>
      </c>
      <c r="D80" s="51" t="s">
        <v>5009</v>
      </c>
      <c r="E80" s="52" t="s">
        <v>6003</v>
      </c>
      <c r="F80" s="51" t="s">
        <v>692</v>
      </c>
      <c r="G80" s="52" t="s">
        <v>692</v>
      </c>
      <c r="H80" s="73" t="s">
        <v>966</v>
      </c>
      <c r="I80" s="50" t="s">
        <v>1031</v>
      </c>
      <c r="J80" s="73" t="s">
        <v>1112</v>
      </c>
      <c r="K80" s="50" t="str">
        <f t="shared" si="1"/>
        <v>"TBZ"</v>
      </c>
      <c r="L80" s="73" t="s">
        <v>895</v>
      </c>
      <c r="M80" s="50" t="s">
        <v>5338</v>
      </c>
      <c r="N80" s="73" t="s">
        <v>3656</v>
      </c>
      <c r="O80" s="71" t="s">
        <v>4902</v>
      </c>
      <c r="P80" s="73" t="s">
        <v>3655</v>
      </c>
      <c r="Q80" s="50" t="s">
        <v>4903</v>
      </c>
      <c r="R80" s="73" t="s">
        <v>4906</v>
      </c>
      <c r="S80" s="50" t="s">
        <v>5391</v>
      </c>
      <c r="T80" s="73" t="s">
        <v>692</v>
      </c>
      <c r="U80" s="50" t="s">
        <v>692</v>
      </c>
      <c r="V80" s="73" t="s">
        <v>5392</v>
      </c>
      <c r="W80" s="50" t="s">
        <v>5338</v>
      </c>
    </row>
    <row r="81" spans="1:23" s="25" customFormat="1" ht="6.95" customHeight="1" x14ac:dyDescent="0.25">
      <c r="A81" s="26">
        <v>57</v>
      </c>
      <c r="B81" s="30" t="s">
        <v>1009</v>
      </c>
      <c r="C81" s="61" t="s">
        <v>5493</v>
      </c>
      <c r="D81" s="51" t="s">
        <v>5009</v>
      </c>
      <c r="E81" s="52" t="s">
        <v>6003</v>
      </c>
      <c r="F81" s="51" t="s">
        <v>692</v>
      </c>
      <c r="G81" s="52" t="s">
        <v>692</v>
      </c>
      <c r="H81" s="73" t="s">
        <v>966</v>
      </c>
      <c r="I81" s="50" t="s">
        <v>1031</v>
      </c>
      <c r="J81" s="73" t="s">
        <v>1112</v>
      </c>
      <c r="K81" s="50" t="str">
        <f t="shared" si="1"/>
        <v>"TDI"</v>
      </c>
      <c r="L81" s="73" t="s">
        <v>895</v>
      </c>
      <c r="M81" s="50" t="s">
        <v>5339</v>
      </c>
      <c r="N81" s="73" t="s">
        <v>3656</v>
      </c>
      <c r="O81" s="71" t="s">
        <v>4902</v>
      </c>
      <c r="P81" s="73" t="s">
        <v>3655</v>
      </c>
      <c r="Q81" s="50" t="s">
        <v>4903</v>
      </c>
      <c r="R81" s="73" t="s">
        <v>4906</v>
      </c>
      <c r="S81" s="50" t="s">
        <v>5391</v>
      </c>
      <c r="T81" s="73" t="s">
        <v>692</v>
      </c>
      <c r="U81" s="50" t="s">
        <v>692</v>
      </c>
      <c r="V81" s="73" t="s">
        <v>5392</v>
      </c>
      <c r="W81" s="50" t="s">
        <v>5339</v>
      </c>
    </row>
    <row r="82" spans="1:23" s="25" customFormat="1" ht="6.95" customHeight="1" x14ac:dyDescent="0.25">
      <c r="A82" s="26">
        <v>58</v>
      </c>
      <c r="B82" s="30" t="s">
        <v>1010</v>
      </c>
      <c r="C82" s="61" t="s">
        <v>5493</v>
      </c>
      <c r="D82" s="51" t="s">
        <v>5009</v>
      </c>
      <c r="E82" s="52" t="s">
        <v>6003</v>
      </c>
      <c r="F82" s="51" t="s">
        <v>692</v>
      </c>
      <c r="G82" s="52" t="s">
        <v>692</v>
      </c>
      <c r="H82" s="73" t="s">
        <v>966</v>
      </c>
      <c r="I82" s="50" t="s">
        <v>1031</v>
      </c>
      <c r="J82" s="73" t="s">
        <v>1112</v>
      </c>
      <c r="K82" s="50" t="str">
        <f t="shared" si="1"/>
        <v>"TMO"</v>
      </c>
      <c r="L82" s="73" t="s">
        <v>895</v>
      </c>
      <c r="M82" s="50" t="s">
        <v>5340</v>
      </c>
      <c r="N82" s="73" t="s">
        <v>3656</v>
      </c>
      <c r="O82" s="71" t="s">
        <v>4902</v>
      </c>
      <c r="P82" s="73" t="s">
        <v>3655</v>
      </c>
      <c r="Q82" s="50" t="s">
        <v>4903</v>
      </c>
      <c r="R82" s="73" t="s">
        <v>4906</v>
      </c>
      <c r="S82" s="50" t="s">
        <v>5391</v>
      </c>
      <c r="T82" s="73" t="s">
        <v>692</v>
      </c>
      <c r="U82" s="50" t="s">
        <v>692</v>
      </c>
      <c r="V82" s="73" t="s">
        <v>5392</v>
      </c>
      <c r="W82" s="50" t="s">
        <v>5340</v>
      </c>
    </row>
    <row r="83" spans="1:23" s="25" customFormat="1" ht="6.95" customHeight="1" x14ac:dyDescent="0.25">
      <c r="A83" s="26">
        <v>59</v>
      </c>
      <c r="B83" s="30" t="s">
        <v>346</v>
      </c>
      <c r="C83" s="61" t="s">
        <v>5493</v>
      </c>
      <c r="D83" s="51" t="s">
        <v>5009</v>
      </c>
      <c r="E83" s="52" t="s">
        <v>6003</v>
      </c>
      <c r="F83" s="51" t="s">
        <v>692</v>
      </c>
      <c r="G83" s="52" t="s">
        <v>692</v>
      </c>
      <c r="H83" s="73" t="s">
        <v>966</v>
      </c>
      <c r="I83" s="50" t="s">
        <v>1031</v>
      </c>
      <c r="J83" s="73" t="s">
        <v>1112</v>
      </c>
      <c r="K83" s="50" t="str">
        <f t="shared" si="1"/>
        <v>"TRE"</v>
      </c>
      <c r="L83" s="73" t="s">
        <v>895</v>
      </c>
      <c r="M83" s="50" t="s">
        <v>5132</v>
      </c>
      <c r="N83" s="73" t="s">
        <v>3656</v>
      </c>
      <c r="O83" s="71" t="s">
        <v>4902</v>
      </c>
      <c r="P83" s="73" t="s">
        <v>3655</v>
      </c>
      <c r="Q83" s="50" t="s">
        <v>4903</v>
      </c>
      <c r="R83" s="73" t="s">
        <v>4906</v>
      </c>
      <c r="S83" s="50" t="s">
        <v>5391</v>
      </c>
      <c r="T83" s="73" t="s">
        <v>692</v>
      </c>
      <c r="U83" s="50" t="s">
        <v>692</v>
      </c>
      <c r="V83" s="73" t="s">
        <v>5392</v>
      </c>
      <c r="W83" s="50" t="s">
        <v>5132</v>
      </c>
    </row>
    <row r="84" spans="1:23" s="25" customFormat="1" ht="6.95" customHeight="1" x14ac:dyDescent="0.25">
      <c r="A84" s="26">
        <v>60</v>
      </c>
      <c r="B84" s="30" t="s">
        <v>1002</v>
      </c>
      <c r="C84" s="61" t="s">
        <v>5493</v>
      </c>
      <c r="D84" s="51" t="s">
        <v>5009</v>
      </c>
      <c r="E84" s="52" t="s">
        <v>6003</v>
      </c>
      <c r="F84" s="51" t="s">
        <v>692</v>
      </c>
      <c r="G84" s="52" t="s">
        <v>692</v>
      </c>
      <c r="H84" s="73" t="s">
        <v>966</v>
      </c>
      <c r="I84" s="50" t="s">
        <v>1031</v>
      </c>
      <c r="J84" s="73" t="s">
        <v>1112</v>
      </c>
      <c r="K84" s="50" t="str">
        <f t="shared" si="1"/>
        <v>"TRP"</v>
      </c>
      <c r="L84" s="73" t="s">
        <v>895</v>
      </c>
      <c r="M84" s="50" t="s">
        <v>5133</v>
      </c>
      <c r="N84" s="73" t="s">
        <v>3656</v>
      </c>
      <c r="O84" s="71" t="s">
        <v>4902</v>
      </c>
      <c r="P84" s="73" t="s">
        <v>3655</v>
      </c>
      <c r="Q84" s="50" t="s">
        <v>4903</v>
      </c>
      <c r="R84" s="73" t="s">
        <v>4906</v>
      </c>
      <c r="S84" s="50" t="s">
        <v>5391</v>
      </c>
      <c r="T84" s="73" t="s">
        <v>692</v>
      </c>
      <c r="U84" s="50" t="s">
        <v>692</v>
      </c>
      <c r="V84" s="73" t="s">
        <v>5392</v>
      </c>
      <c r="W84" s="50" t="s">
        <v>5133</v>
      </c>
    </row>
    <row r="85" spans="1:23" s="25" customFormat="1" ht="6.95" customHeight="1" x14ac:dyDescent="0.25">
      <c r="A85" s="26">
        <v>61</v>
      </c>
      <c r="B85" s="30" t="s">
        <v>125</v>
      </c>
      <c r="C85" s="61" t="s">
        <v>5493</v>
      </c>
      <c r="D85" s="51" t="s">
        <v>5009</v>
      </c>
      <c r="E85" s="52" t="s">
        <v>6003</v>
      </c>
      <c r="F85" s="51" t="s">
        <v>692</v>
      </c>
      <c r="G85" s="52" t="s">
        <v>692</v>
      </c>
      <c r="H85" s="73" t="s">
        <v>966</v>
      </c>
      <c r="I85" s="50" t="s">
        <v>1031</v>
      </c>
      <c r="J85" s="73" t="s">
        <v>1112</v>
      </c>
      <c r="K85" s="50" t="str">
        <f t="shared" si="1"/>
        <v>"VIG"</v>
      </c>
      <c r="L85" s="73" t="s">
        <v>895</v>
      </c>
      <c r="M85" s="50" t="s">
        <v>5134</v>
      </c>
      <c r="N85" s="73" t="s">
        <v>3656</v>
      </c>
      <c r="O85" s="50" t="s">
        <v>4871</v>
      </c>
      <c r="P85" s="73" t="s">
        <v>3655</v>
      </c>
      <c r="Q85" s="50" t="s">
        <v>4874</v>
      </c>
      <c r="R85" s="73" t="s">
        <v>4906</v>
      </c>
      <c r="S85" s="50" t="s">
        <v>5391</v>
      </c>
      <c r="T85" s="73" t="s">
        <v>692</v>
      </c>
      <c r="U85" s="50" t="s">
        <v>692</v>
      </c>
      <c r="V85" s="73" t="s">
        <v>5392</v>
      </c>
      <c r="W85" s="50" t="s">
        <v>5134</v>
      </c>
    </row>
    <row r="86" spans="1:23" s="25" customFormat="1" ht="6.95" customHeight="1" x14ac:dyDescent="0.25">
      <c r="A86" s="26">
        <v>62</v>
      </c>
      <c r="B86" s="30" t="s">
        <v>1004</v>
      </c>
      <c r="C86" s="61" t="s">
        <v>5493</v>
      </c>
      <c r="D86" s="51" t="s">
        <v>5009</v>
      </c>
      <c r="E86" s="52" t="s">
        <v>6003</v>
      </c>
      <c r="F86" s="51" t="s">
        <v>692</v>
      </c>
      <c r="G86" s="52" t="s">
        <v>692</v>
      </c>
      <c r="H86" s="73" t="s">
        <v>966</v>
      </c>
      <c r="I86" s="50" t="s">
        <v>5091</v>
      </c>
      <c r="J86" s="73" t="s">
        <v>1112</v>
      </c>
      <c r="K86" s="50" t="str">
        <f t="shared" si="1"/>
        <v>"BAE"</v>
      </c>
      <c r="L86" s="73" t="s">
        <v>895</v>
      </c>
      <c r="M86" s="50" t="s">
        <v>5341</v>
      </c>
      <c r="N86" s="73" t="s">
        <v>3656</v>
      </c>
      <c r="O86" s="71" t="s">
        <v>4899</v>
      </c>
      <c r="P86" s="73" t="s">
        <v>3655</v>
      </c>
      <c r="Q86" s="50" t="s">
        <v>4900</v>
      </c>
      <c r="R86" s="73" t="s">
        <v>4906</v>
      </c>
      <c r="S86" s="50" t="s">
        <v>5391</v>
      </c>
      <c r="T86" s="73" t="s">
        <v>692</v>
      </c>
      <c r="U86" s="50" t="s">
        <v>692</v>
      </c>
      <c r="V86" s="73" t="s">
        <v>5392</v>
      </c>
      <c r="W86" s="50" t="s">
        <v>5341</v>
      </c>
    </row>
    <row r="87" spans="1:23" s="25" customFormat="1" ht="6.95" customHeight="1" x14ac:dyDescent="0.25">
      <c r="A87" s="26">
        <v>63</v>
      </c>
      <c r="B87" s="30" t="s">
        <v>1005</v>
      </c>
      <c r="C87" s="61" t="s">
        <v>5493</v>
      </c>
      <c r="D87" s="51" t="s">
        <v>5009</v>
      </c>
      <c r="E87" s="52" t="s">
        <v>6003</v>
      </c>
      <c r="F87" s="51" t="s">
        <v>692</v>
      </c>
      <c r="G87" s="52" t="s">
        <v>692</v>
      </c>
      <c r="H87" s="73" t="s">
        <v>966</v>
      </c>
      <c r="I87" s="50" t="s">
        <v>5091</v>
      </c>
      <c r="J87" s="73" t="s">
        <v>1112</v>
      </c>
      <c r="K87" s="50" t="str">
        <f t="shared" si="1"/>
        <v>"BAV"</v>
      </c>
      <c r="L87" s="73" t="s">
        <v>895</v>
      </c>
      <c r="M87" s="50" t="s">
        <v>5342</v>
      </c>
      <c r="N87" s="73" t="s">
        <v>3656</v>
      </c>
      <c r="O87" s="71" t="s">
        <v>4899</v>
      </c>
      <c r="P87" s="73" t="s">
        <v>3655</v>
      </c>
      <c r="Q87" s="50" t="s">
        <v>4900</v>
      </c>
      <c r="R87" s="73" t="s">
        <v>4906</v>
      </c>
      <c r="S87" s="50" t="s">
        <v>5391</v>
      </c>
      <c r="T87" s="73" t="s">
        <v>692</v>
      </c>
      <c r="U87" s="50" t="s">
        <v>692</v>
      </c>
      <c r="V87" s="73" t="s">
        <v>5392</v>
      </c>
      <c r="W87" s="50" t="s">
        <v>5342</v>
      </c>
    </row>
    <row r="88" spans="1:23" s="25" customFormat="1" ht="6.95" customHeight="1" x14ac:dyDescent="0.25">
      <c r="A88" s="26">
        <v>64</v>
      </c>
      <c r="B88" s="30" t="s">
        <v>975</v>
      </c>
      <c r="C88" s="61" t="s">
        <v>5493</v>
      </c>
      <c r="D88" s="51" t="s">
        <v>5009</v>
      </c>
      <c r="E88" s="52" t="s">
        <v>6003</v>
      </c>
      <c r="F88" s="51" t="s">
        <v>692</v>
      </c>
      <c r="G88" s="52" t="s">
        <v>692</v>
      </c>
      <c r="H88" s="73" t="s">
        <v>966</v>
      </c>
      <c r="I88" s="50" t="s">
        <v>1032</v>
      </c>
      <c r="J88" s="73" t="s">
        <v>1112</v>
      </c>
      <c r="K88" s="50" t="str">
        <f t="shared" si="1"/>
        <v>"ALV"</v>
      </c>
      <c r="L88" s="73" t="s">
        <v>895</v>
      </c>
      <c r="M88" s="50" t="s">
        <v>5135</v>
      </c>
      <c r="N88" s="73" t="s">
        <v>3656</v>
      </c>
      <c r="O88" s="50" t="s">
        <v>4846</v>
      </c>
      <c r="P88" s="73" t="s">
        <v>3655</v>
      </c>
      <c r="Q88" s="50" t="s">
        <v>4869</v>
      </c>
      <c r="R88" s="73" t="s">
        <v>4906</v>
      </c>
      <c r="S88" s="50" t="s">
        <v>5391</v>
      </c>
      <c r="T88" s="73" t="s">
        <v>692</v>
      </c>
      <c r="U88" s="50" t="s">
        <v>692</v>
      </c>
      <c r="V88" s="73" t="s">
        <v>5392</v>
      </c>
      <c r="W88" s="50" t="s">
        <v>5135</v>
      </c>
    </row>
    <row r="89" spans="1:23" s="25" customFormat="1" ht="6.95" customHeight="1" x14ac:dyDescent="0.25">
      <c r="A89" s="26">
        <v>65</v>
      </c>
      <c r="B89" s="30" t="s">
        <v>158</v>
      </c>
      <c r="C89" s="61" t="s">
        <v>5493</v>
      </c>
      <c r="D89" s="51" t="s">
        <v>5009</v>
      </c>
      <c r="E89" s="52" t="s">
        <v>6003</v>
      </c>
      <c r="F89" s="51" t="s">
        <v>692</v>
      </c>
      <c r="G89" s="52" t="s">
        <v>692</v>
      </c>
      <c r="H89" s="73" t="s">
        <v>966</v>
      </c>
      <c r="I89" s="50" t="s">
        <v>1032</v>
      </c>
      <c r="J89" s="73" t="s">
        <v>1112</v>
      </c>
      <c r="K89" s="50" t="str">
        <f t="shared" si="1"/>
        <v>"BOX"</v>
      </c>
      <c r="L89" s="73" t="s">
        <v>895</v>
      </c>
      <c r="M89" s="50" t="s">
        <v>5136</v>
      </c>
      <c r="N89" s="73" t="s">
        <v>3656</v>
      </c>
      <c r="O89" s="50" t="s">
        <v>4846</v>
      </c>
      <c r="P89" s="73" t="s">
        <v>3655</v>
      </c>
      <c r="Q89" s="50" t="s">
        <v>4869</v>
      </c>
      <c r="R89" s="73" t="s">
        <v>4906</v>
      </c>
      <c r="S89" s="50" t="s">
        <v>5391</v>
      </c>
      <c r="T89" s="73" t="s">
        <v>692</v>
      </c>
      <c r="U89" s="50" t="s">
        <v>692</v>
      </c>
      <c r="V89" s="73" t="s">
        <v>5392</v>
      </c>
      <c r="W89" s="50" t="s">
        <v>5136</v>
      </c>
    </row>
    <row r="90" spans="1:23" s="25" customFormat="1" ht="6.95" customHeight="1" x14ac:dyDescent="0.25">
      <c r="A90" s="26">
        <v>66</v>
      </c>
      <c r="B90" s="30" t="s">
        <v>263</v>
      </c>
      <c r="C90" s="61" t="s">
        <v>5493</v>
      </c>
      <c r="D90" s="51" t="s">
        <v>5009</v>
      </c>
      <c r="E90" s="52" t="s">
        <v>6003</v>
      </c>
      <c r="F90" s="51" t="s">
        <v>692</v>
      </c>
      <c r="G90" s="52" t="s">
        <v>692</v>
      </c>
      <c r="H90" s="73" t="s">
        <v>966</v>
      </c>
      <c r="I90" s="50" t="s">
        <v>1032</v>
      </c>
      <c r="J90" s="73" t="s">
        <v>1112</v>
      </c>
      <c r="K90" s="50" t="str">
        <f t="shared" si="1"/>
        <v>"BRI"</v>
      </c>
      <c r="L90" s="73" t="s">
        <v>895</v>
      </c>
      <c r="M90" s="50" t="s">
        <v>5137</v>
      </c>
      <c r="N90" s="73" t="s">
        <v>3656</v>
      </c>
      <c r="O90" s="71" t="s">
        <v>4875</v>
      </c>
      <c r="P90" s="73" t="s">
        <v>3655</v>
      </c>
      <c r="Q90" s="72" t="s">
        <v>4876</v>
      </c>
      <c r="R90" s="73" t="s">
        <v>4906</v>
      </c>
      <c r="S90" s="50" t="s">
        <v>5391</v>
      </c>
      <c r="T90" s="73" t="s">
        <v>692</v>
      </c>
      <c r="U90" s="50" t="s">
        <v>692</v>
      </c>
      <c r="V90" s="73" t="s">
        <v>5392</v>
      </c>
      <c r="W90" s="50" t="s">
        <v>5137</v>
      </c>
    </row>
    <row r="91" spans="1:23" s="25" customFormat="1" ht="6.95" customHeight="1" x14ac:dyDescent="0.25">
      <c r="A91" s="26">
        <v>67</v>
      </c>
      <c r="B91" s="30" t="s">
        <v>372</v>
      </c>
      <c r="C91" s="61" t="s">
        <v>5493</v>
      </c>
      <c r="D91" s="51" t="s">
        <v>5009</v>
      </c>
      <c r="E91" s="52" t="s">
        <v>6003</v>
      </c>
      <c r="F91" s="51" t="s">
        <v>692</v>
      </c>
      <c r="G91" s="52" t="s">
        <v>692</v>
      </c>
      <c r="H91" s="73" t="s">
        <v>966</v>
      </c>
      <c r="I91" s="50" t="s">
        <v>1032</v>
      </c>
      <c r="J91" s="73" t="s">
        <v>1112</v>
      </c>
      <c r="K91" s="50" t="str">
        <f t="shared" si="1"/>
        <v>"CBO"</v>
      </c>
      <c r="L91" s="73" t="s">
        <v>895</v>
      </c>
      <c r="M91" s="50" t="s">
        <v>5138</v>
      </c>
      <c r="N91" s="73" t="s">
        <v>3656</v>
      </c>
      <c r="O91" s="50" t="s">
        <v>4846</v>
      </c>
      <c r="P91" s="73" t="s">
        <v>3655</v>
      </c>
      <c r="Q91" s="50" t="s">
        <v>4869</v>
      </c>
      <c r="R91" s="73" t="s">
        <v>4906</v>
      </c>
      <c r="S91" s="50" t="s">
        <v>5391</v>
      </c>
      <c r="T91" s="73" t="s">
        <v>692</v>
      </c>
      <c r="U91" s="50" t="s">
        <v>692</v>
      </c>
      <c r="V91" s="73" t="s">
        <v>5392</v>
      </c>
      <c r="W91" s="50" t="s">
        <v>5138</v>
      </c>
    </row>
    <row r="92" spans="1:23" s="25" customFormat="1" ht="6.95" customHeight="1" x14ac:dyDescent="0.25">
      <c r="A92" s="26">
        <v>68</v>
      </c>
      <c r="B92" s="30" t="s">
        <v>341</v>
      </c>
      <c r="C92" s="61" t="s">
        <v>5493</v>
      </c>
      <c r="D92" s="51" t="s">
        <v>5009</v>
      </c>
      <c r="E92" s="52" t="s">
        <v>6003</v>
      </c>
      <c r="F92" s="51" t="s">
        <v>692</v>
      </c>
      <c r="G92" s="52" t="s">
        <v>692</v>
      </c>
      <c r="H92" s="73" t="s">
        <v>966</v>
      </c>
      <c r="I92" s="50" t="s">
        <v>1032</v>
      </c>
      <c r="J92" s="73" t="s">
        <v>1112</v>
      </c>
      <c r="K92" s="50" t="str">
        <f t="shared" si="1"/>
        <v>"COB"</v>
      </c>
      <c r="L92" s="73" t="s">
        <v>895</v>
      </c>
      <c r="M92" s="50" t="s">
        <v>5139</v>
      </c>
      <c r="N92" s="73" t="s">
        <v>3656</v>
      </c>
      <c r="O92" s="50" t="s">
        <v>4878</v>
      </c>
      <c r="P92" s="73" t="s">
        <v>3655</v>
      </c>
      <c r="Q92" s="50" t="s">
        <v>3694</v>
      </c>
      <c r="R92" s="73" t="s">
        <v>4906</v>
      </c>
      <c r="S92" s="50" t="s">
        <v>5391</v>
      </c>
      <c r="T92" s="73" t="s">
        <v>692</v>
      </c>
      <c r="U92" s="50" t="s">
        <v>692</v>
      </c>
      <c r="V92" s="73" t="s">
        <v>5392</v>
      </c>
      <c r="W92" s="50" t="s">
        <v>5139</v>
      </c>
    </row>
    <row r="93" spans="1:23" s="25" customFormat="1" ht="6.95" customHeight="1" x14ac:dyDescent="0.25">
      <c r="A93" s="26">
        <v>69</v>
      </c>
      <c r="B93" s="30" t="s">
        <v>977</v>
      </c>
      <c r="C93" s="61" t="s">
        <v>5493</v>
      </c>
      <c r="D93" s="51" t="s">
        <v>5009</v>
      </c>
      <c r="E93" s="52" t="s">
        <v>6003</v>
      </c>
      <c r="F93" s="51" t="s">
        <v>692</v>
      </c>
      <c r="G93" s="52" t="s">
        <v>692</v>
      </c>
      <c r="H93" s="73" t="s">
        <v>966</v>
      </c>
      <c r="I93" s="50" t="s">
        <v>1032</v>
      </c>
      <c r="J93" s="73" t="s">
        <v>1112</v>
      </c>
      <c r="K93" s="50" t="str">
        <f t="shared" si="1"/>
        <v>"CPI"</v>
      </c>
      <c r="L93" s="73" t="s">
        <v>895</v>
      </c>
      <c r="M93" s="50" t="s">
        <v>5140</v>
      </c>
      <c r="N93" s="73" t="s">
        <v>3656</v>
      </c>
      <c r="O93" s="71" t="s">
        <v>4879</v>
      </c>
      <c r="P93" s="73" t="s">
        <v>3655</v>
      </c>
      <c r="Q93" s="50" t="s">
        <v>3694</v>
      </c>
      <c r="R93" s="73" t="s">
        <v>4906</v>
      </c>
      <c r="S93" s="50" t="s">
        <v>5391</v>
      </c>
      <c r="T93" s="73" t="s">
        <v>692</v>
      </c>
      <c r="U93" s="50" t="s">
        <v>692</v>
      </c>
      <c r="V93" s="73" t="s">
        <v>5392</v>
      </c>
      <c r="W93" s="50" t="s">
        <v>5140</v>
      </c>
    </row>
    <row r="94" spans="1:23" s="25" customFormat="1" ht="6.95" customHeight="1" x14ac:dyDescent="0.25">
      <c r="A94" s="26">
        <v>70</v>
      </c>
      <c r="B94" s="30" t="s">
        <v>151</v>
      </c>
      <c r="C94" s="61" t="s">
        <v>5493</v>
      </c>
      <c r="D94" s="51" t="s">
        <v>5009</v>
      </c>
      <c r="E94" s="52" t="s">
        <v>6003</v>
      </c>
      <c r="F94" s="51" t="s">
        <v>692</v>
      </c>
      <c r="G94" s="52" t="s">
        <v>692</v>
      </c>
      <c r="H94" s="73" t="s">
        <v>966</v>
      </c>
      <c r="I94" s="50" t="s">
        <v>1032</v>
      </c>
      <c r="J94" s="73" t="s">
        <v>1112</v>
      </c>
      <c r="K94" s="50" t="str">
        <f t="shared" si="1"/>
        <v>"DIV"</v>
      </c>
      <c r="L94" s="73" t="s">
        <v>895</v>
      </c>
      <c r="M94" s="50" t="s">
        <v>5141</v>
      </c>
      <c r="N94" s="73" t="s">
        <v>3656</v>
      </c>
      <c r="O94" s="50" t="s">
        <v>4846</v>
      </c>
      <c r="P94" s="73" t="s">
        <v>3655</v>
      </c>
      <c r="Q94" s="50" t="s">
        <v>4869</v>
      </c>
      <c r="R94" s="73" t="s">
        <v>4906</v>
      </c>
      <c r="S94" s="50" t="s">
        <v>5391</v>
      </c>
      <c r="T94" s="73" t="s">
        <v>692</v>
      </c>
      <c r="U94" s="50" t="s">
        <v>692</v>
      </c>
      <c r="V94" s="73" t="s">
        <v>5392</v>
      </c>
      <c r="W94" s="50" t="s">
        <v>5141</v>
      </c>
    </row>
    <row r="95" spans="1:23" s="25" customFormat="1" ht="6.95" customHeight="1" x14ac:dyDescent="0.25">
      <c r="A95" s="26">
        <v>71</v>
      </c>
      <c r="B95" s="30" t="s">
        <v>5085</v>
      </c>
      <c r="C95" s="61" t="s">
        <v>5493</v>
      </c>
      <c r="D95" s="51" t="s">
        <v>5009</v>
      </c>
      <c r="E95" s="52" t="s">
        <v>6003</v>
      </c>
      <c r="F95" s="51" t="s">
        <v>692</v>
      </c>
      <c r="G95" s="52" t="s">
        <v>692</v>
      </c>
      <c r="H95" s="73" t="s">
        <v>966</v>
      </c>
      <c r="I95" s="50" t="s">
        <v>1032</v>
      </c>
      <c r="J95" s="73" t="s">
        <v>1112</v>
      </c>
      <c r="K95" s="50" t="str">
        <f t="shared" si="1"/>
        <v>"EBO"</v>
      </c>
      <c r="L95" s="73" t="s">
        <v>895</v>
      </c>
      <c r="M95" s="74" t="s">
        <v>5142</v>
      </c>
      <c r="N95" s="73" t="s">
        <v>3656</v>
      </c>
      <c r="O95" s="50" t="s">
        <v>5088</v>
      </c>
      <c r="P95" s="73" t="s">
        <v>3655</v>
      </c>
      <c r="Q95" s="50" t="s">
        <v>5089</v>
      </c>
      <c r="R95" s="73" t="s">
        <v>4906</v>
      </c>
      <c r="S95" s="50" t="s">
        <v>5391</v>
      </c>
      <c r="T95" s="73" t="s">
        <v>692</v>
      </c>
      <c r="U95" s="50" t="s">
        <v>692</v>
      </c>
      <c r="V95" s="73" t="s">
        <v>5392</v>
      </c>
      <c r="W95" s="74" t="s">
        <v>5142</v>
      </c>
    </row>
    <row r="96" spans="1:23" s="25" customFormat="1" ht="6.95" customHeight="1" x14ac:dyDescent="0.25">
      <c r="A96" s="26">
        <v>72</v>
      </c>
      <c r="B96" s="30" t="s">
        <v>38</v>
      </c>
      <c r="C96" s="61" t="s">
        <v>5493</v>
      </c>
      <c r="D96" s="51" t="s">
        <v>5009</v>
      </c>
      <c r="E96" s="52" t="s">
        <v>6003</v>
      </c>
      <c r="F96" s="51" t="s">
        <v>692</v>
      </c>
      <c r="G96" s="52" t="s">
        <v>692</v>
      </c>
      <c r="H96" s="73" t="s">
        <v>966</v>
      </c>
      <c r="I96" s="50" t="s">
        <v>1032</v>
      </c>
      <c r="J96" s="73" t="s">
        <v>1112</v>
      </c>
      <c r="K96" s="50" t="str">
        <f t="shared" si="1"/>
        <v>"FAC"</v>
      </c>
      <c r="L96" s="73" t="s">
        <v>895</v>
      </c>
      <c r="M96" s="50" t="s">
        <v>5143</v>
      </c>
      <c r="N96" s="73" t="s">
        <v>3656</v>
      </c>
      <c r="O96" s="50" t="s">
        <v>4846</v>
      </c>
      <c r="P96" s="73" t="s">
        <v>3655</v>
      </c>
      <c r="Q96" s="50" t="s">
        <v>4869</v>
      </c>
      <c r="R96" s="73" t="s">
        <v>4906</v>
      </c>
      <c r="S96" s="50" t="s">
        <v>5391</v>
      </c>
      <c r="T96" s="73" t="s">
        <v>692</v>
      </c>
      <c r="U96" s="50" t="s">
        <v>692</v>
      </c>
      <c r="V96" s="73" t="s">
        <v>5392</v>
      </c>
      <c r="W96" s="50" t="s">
        <v>5143</v>
      </c>
    </row>
    <row r="97" spans="1:23" s="25" customFormat="1" ht="6.95" customHeight="1" x14ac:dyDescent="0.25">
      <c r="A97" s="26">
        <v>73</v>
      </c>
      <c r="B97" s="30" t="s">
        <v>642</v>
      </c>
      <c r="C97" s="61" t="s">
        <v>5493</v>
      </c>
      <c r="D97" s="51" t="s">
        <v>5009</v>
      </c>
      <c r="E97" s="52" t="s">
        <v>6003</v>
      </c>
      <c r="F97" s="51" t="s">
        <v>692</v>
      </c>
      <c r="G97" s="52" t="s">
        <v>692</v>
      </c>
      <c r="H97" s="73" t="s">
        <v>966</v>
      </c>
      <c r="I97" s="50" t="s">
        <v>1032</v>
      </c>
      <c r="J97" s="73" t="s">
        <v>1112</v>
      </c>
      <c r="K97" s="50" t="str">
        <f t="shared" si="1"/>
        <v>"FOR"</v>
      </c>
      <c r="L97" s="73" t="s">
        <v>895</v>
      </c>
      <c r="M97" s="50" t="s">
        <v>5144</v>
      </c>
      <c r="N97" s="73" t="s">
        <v>3656</v>
      </c>
      <c r="O97" s="71" t="s">
        <v>4897</v>
      </c>
      <c r="P97" s="73" t="s">
        <v>3655</v>
      </c>
      <c r="Q97" s="71" t="s">
        <v>4877</v>
      </c>
      <c r="R97" s="73" t="s">
        <v>4906</v>
      </c>
      <c r="S97" s="50" t="s">
        <v>5391</v>
      </c>
      <c r="T97" s="73" t="s">
        <v>692</v>
      </c>
      <c r="U97" s="50" t="s">
        <v>692</v>
      </c>
      <c r="V97" s="73" t="s">
        <v>5392</v>
      </c>
      <c r="W97" s="50" t="s">
        <v>5144</v>
      </c>
    </row>
    <row r="98" spans="1:23" s="25" customFormat="1" ht="6.95" customHeight="1" x14ac:dyDescent="0.25">
      <c r="A98" s="26">
        <v>74</v>
      </c>
      <c r="B98" s="30" t="s">
        <v>626</v>
      </c>
      <c r="C98" s="61" t="s">
        <v>5493</v>
      </c>
      <c r="D98" s="51" t="s">
        <v>5009</v>
      </c>
      <c r="E98" s="52" t="s">
        <v>6003</v>
      </c>
      <c r="F98" s="51" t="s">
        <v>692</v>
      </c>
      <c r="G98" s="52" t="s">
        <v>692</v>
      </c>
      <c r="H98" s="73" t="s">
        <v>966</v>
      </c>
      <c r="I98" s="50" t="s">
        <v>1032</v>
      </c>
      <c r="J98" s="73" t="s">
        <v>1112</v>
      </c>
      <c r="K98" s="50" t="str">
        <f t="shared" si="1"/>
        <v>"GRD"</v>
      </c>
      <c r="L98" s="73" t="s">
        <v>895</v>
      </c>
      <c r="M98" s="50" t="s">
        <v>5145</v>
      </c>
      <c r="N98" s="73" t="s">
        <v>3656</v>
      </c>
      <c r="O98" s="71" t="s">
        <v>4875</v>
      </c>
      <c r="P98" s="73" t="s">
        <v>3655</v>
      </c>
      <c r="Q98" s="50" t="s">
        <v>5391</v>
      </c>
      <c r="R98" s="73" t="s">
        <v>4906</v>
      </c>
      <c r="S98" s="50" t="s">
        <v>5391</v>
      </c>
      <c r="T98" s="73" t="s">
        <v>692</v>
      </c>
      <c r="U98" s="50" t="s">
        <v>692</v>
      </c>
      <c r="V98" s="73" t="s">
        <v>5392</v>
      </c>
      <c r="W98" s="50" t="s">
        <v>5145</v>
      </c>
    </row>
    <row r="99" spans="1:23" s="25" customFormat="1" ht="6.95" customHeight="1" x14ac:dyDescent="0.25">
      <c r="A99" s="26">
        <v>75</v>
      </c>
      <c r="B99" s="30" t="s">
        <v>29</v>
      </c>
      <c r="C99" s="61" t="s">
        <v>5493</v>
      </c>
      <c r="D99" s="51" t="s">
        <v>5009</v>
      </c>
      <c r="E99" s="52" t="s">
        <v>6003</v>
      </c>
      <c r="F99" s="51" t="s">
        <v>692</v>
      </c>
      <c r="G99" s="52" t="s">
        <v>692</v>
      </c>
      <c r="H99" s="73" t="s">
        <v>966</v>
      </c>
      <c r="I99" s="50" t="s">
        <v>1032</v>
      </c>
      <c r="J99" s="73" t="s">
        <v>1112</v>
      </c>
      <c r="K99" s="50" t="str">
        <f t="shared" si="1"/>
        <v>"JAN"</v>
      </c>
      <c r="L99" s="73" t="s">
        <v>895</v>
      </c>
      <c r="M99" s="50" t="s">
        <v>5146</v>
      </c>
      <c r="N99" s="73" t="s">
        <v>3656</v>
      </c>
      <c r="O99" s="50" t="s">
        <v>3681</v>
      </c>
      <c r="P99" s="73" t="s">
        <v>3655</v>
      </c>
      <c r="Q99" s="50" t="s">
        <v>3682</v>
      </c>
      <c r="R99" s="73" t="s">
        <v>4906</v>
      </c>
      <c r="S99" s="50" t="s">
        <v>5391</v>
      </c>
      <c r="T99" s="73" t="s">
        <v>692</v>
      </c>
      <c r="U99" s="50" t="s">
        <v>692</v>
      </c>
      <c r="V99" s="73" t="s">
        <v>5392</v>
      </c>
      <c r="W99" s="50" t="s">
        <v>5146</v>
      </c>
    </row>
    <row r="100" spans="1:23" s="25" customFormat="1" ht="6.95" customHeight="1" x14ac:dyDescent="0.25">
      <c r="A100" s="26">
        <v>76</v>
      </c>
      <c r="B100" s="30" t="s">
        <v>5086</v>
      </c>
      <c r="C100" s="61" t="s">
        <v>5493</v>
      </c>
      <c r="D100" s="51" t="s">
        <v>5009</v>
      </c>
      <c r="E100" s="52" t="s">
        <v>6003</v>
      </c>
      <c r="F100" s="51" t="s">
        <v>692</v>
      </c>
      <c r="G100" s="52" t="s">
        <v>692</v>
      </c>
      <c r="H100" s="73" t="s">
        <v>966</v>
      </c>
      <c r="I100" s="50" t="s">
        <v>1032</v>
      </c>
      <c r="J100" s="73" t="s">
        <v>1112</v>
      </c>
      <c r="K100" s="50" t="str">
        <f t="shared" si="1"/>
        <v>"NCL"</v>
      </c>
      <c r="L100" s="73" t="s">
        <v>895</v>
      </c>
      <c r="M100" s="50" t="s">
        <v>5147</v>
      </c>
      <c r="N100" s="73" t="s">
        <v>3656</v>
      </c>
      <c r="O100" s="50" t="s">
        <v>5087</v>
      </c>
      <c r="P100" s="73" t="s">
        <v>3655</v>
      </c>
      <c r="Q100" s="50" t="s">
        <v>4869</v>
      </c>
      <c r="R100" s="73" t="s">
        <v>4906</v>
      </c>
      <c r="S100" s="50" t="s">
        <v>5391</v>
      </c>
      <c r="T100" s="73" t="s">
        <v>692</v>
      </c>
      <c r="U100" s="50" t="s">
        <v>692</v>
      </c>
      <c r="V100" s="73" t="s">
        <v>5392</v>
      </c>
      <c r="W100" s="50" t="s">
        <v>5147</v>
      </c>
    </row>
    <row r="101" spans="1:23" s="25" customFormat="1" ht="6.95" customHeight="1" x14ac:dyDescent="0.25">
      <c r="A101" s="26">
        <v>77</v>
      </c>
      <c r="B101" s="30" t="s">
        <v>1014</v>
      </c>
      <c r="C101" s="61" t="s">
        <v>5493</v>
      </c>
      <c r="D101" s="51" t="s">
        <v>5009</v>
      </c>
      <c r="E101" s="52" t="s">
        <v>6003</v>
      </c>
      <c r="F101" s="51" t="s">
        <v>692</v>
      </c>
      <c r="G101" s="52" t="s">
        <v>692</v>
      </c>
      <c r="H101" s="73" t="s">
        <v>966</v>
      </c>
      <c r="I101" s="50" t="s">
        <v>1032</v>
      </c>
      <c r="J101" s="73" t="s">
        <v>1112</v>
      </c>
      <c r="K101" s="50" t="str">
        <f t="shared" si="1"/>
        <v>"PCA"</v>
      </c>
      <c r="L101" s="73" t="s">
        <v>895</v>
      </c>
      <c r="M101" s="50" t="s">
        <v>5343</v>
      </c>
      <c r="N101" s="73" t="s">
        <v>3656</v>
      </c>
      <c r="O101" s="50" t="s">
        <v>3689</v>
      </c>
      <c r="P101" s="73" t="s">
        <v>3655</v>
      </c>
      <c r="Q101" s="50" t="s">
        <v>3690</v>
      </c>
      <c r="R101" s="73" t="s">
        <v>4906</v>
      </c>
      <c r="S101" s="50" t="s">
        <v>5391</v>
      </c>
      <c r="T101" s="73" t="s">
        <v>692</v>
      </c>
      <c r="U101" s="50" t="s">
        <v>692</v>
      </c>
      <c r="V101" s="73" t="s">
        <v>5392</v>
      </c>
      <c r="W101" s="50" t="s">
        <v>5343</v>
      </c>
    </row>
    <row r="102" spans="1:23" s="25" customFormat="1" ht="6.95" customHeight="1" x14ac:dyDescent="0.25">
      <c r="A102" s="26">
        <v>78</v>
      </c>
      <c r="B102" s="30" t="s">
        <v>90</v>
      </c>
      <c r="C102" s="61" t="s">
        <v>5493</v>
      </c>
      <c r="D102" s="51" t="s">
        <v>5009</v>
      </c>
      <c r="E102" s="52" t="s">
        <v>6003</v>
      </c>
      <c r="F102" s="51" t="s">
        <v>692</v>
      </c>
      <c r="G102" s="52" t="s">
        <v>692</v>
      </c>
      <c r="H102" s="73" t="s">
        <v>966</v>
      </c>
      <c r="I102" s="50" t="s">
        <v>1032</v>
      </c>
      <c r="J102" s="73" t="s">
        <v>1112</v>
      </c>
      <c r="K102" s="50" t="str">
        <f t="shared" si="1"/>
        <v>"PIS"</v>
      </c>
      <c r="L102" s="73" t="s">
        <v>895</v>
      </c>
      <c r="M102" s="50" t="s">
        <v>5148</v>
      </c>
      <c r="N102" s="73" t="s">
        <v>3656</v>
      </c>
      <c r="O102" s="50" t="s">
        <v>3693</v>
      </c>
      <c r="P102" s="73" t="s">
        <v>3655</v>
      </c>
      <c r="Q102" s="50" t="s">
        <v>3694</v>
      </c>
      <c r="R102" s="73" t="s">
        <v>4906</v>
      </c>
      <c r="S102" s="50" t="s">
        <v>5391</v>
      </c>
      <c r="T102" s="73" t="s">
        <v>692</v>
      </c>
      <c r="U102" s="50" t="s">
        <v>692</v>
      </c>
      <c r="V102" s="73" t="s">
        <v>5392</v>
      </c>
      <c r="W102" s="50" t="s">
        <v>5148</v>
      </c>
    </row>
    <row r="103" spans="1:23" s="25" customFormat="1" ht="6.95" customHeight="1" x14ac:dyDescent="0.25">
      <c r="A103" s="26">
        <v>79</v>
      </c>
      <c r="B103" s="30" t="s">
        <v>235</v>
      </c>
      <c r="C103" s="61" t="s">
        <v>5493</v>
      </c>
      <c r="D103" s="51" t="s">
        <v>5009</v>
      </c>
      <c r="E103" s="52" t="s">
        <v>6003</v>
      </c>
      <c r="F103" s="51" t="s">
        <v>692</v>
      </c>
      <c r="G103" s="52" t="s">
        <v>692</v>
      </c>
      <c r="H103" s="73" t="s">
        <v>966</v>
      </c>
      <c r="I103" s="50" t="s">
        <v>1032</v>
      </c>
      <c r="J103" s="73" t="s">
        <v>1112</v>
      </c>
      <c r="K103" s="50" t="str">
        <f t="shared" si="1"/>
        <v>"PLA"</v>
      </c>
      <c r="L103" s="73" t="s">
        <v>895</v>
      </c>
      <c r="M103" s="50" t="s">
        <v>5149</v>
      </c>
      <c r="N103" s="73" t="s">
        <v>3656</v>
      </c>
      <c r="O103" s="71" t="s">
        <v>4875</v>
      </c>
      <c r="P103" s="73" t="s">
        <v>3655</v>
      </c>
      <c r="Q103" s="50" t="s">
        <v>5391</v>
      </c>
      <c r="R103" s="73" t="s">
        <v>4906</v>
      </c>
      <c r="S103" s="50" t="s">
        <v>5391</v>
      </c>
      <c r="T103" s="73" t="s">
        <v>692</v>
      </c>
      <c r="U103" s="50" t="s">
        <v>692</v>
      </c>
      <c r="V103" s="73" t="s">
        <v>5392</v>
      </c>
      <c r="W103" s="50" t="s">
        <v>5149</v>
      </c>
    </row>
    <row r="104" spans="1:23" s="25" customFormat="1" ht="6.95" customHeight="1" x14ac:dyDescent="0.25">
      <c r="A104" s="26">
        <v>80</v>
      </c>
      <c r="B104" s="30" t="s">
        <v>66</v>
      </c>
      <c r="C104" s="61" t="s">
        <v>5493</v>
      </c>
      <c r="D104" s="51" t="s">
        <v>5009</v>
      </c>
      <c r="E104" s="52" t="s">
        <v>6003</v>
      </c>
      <c r="F104" s="51" t="s">
        <v>692</v>
      </c>
      <c r="G104" s="52" t="s">
        <v>692</v>
      </c>
      <c r="H104" s="73" t="s">
        <v>966</v>
      </c>
      <c r="I104" s="50" t="s">
        <v>1032</v>
      </c>
      <c r="J104" s="73" t="s">
        <v>1112</v>
      </c>
      <c r="K104" s="50" t="str">
        <f t="shared" si="1"/>
        <v>"POR"</v>
      </c>
      <c r="L104" s="73" t="s">
        <v>895</v>
      </c>
      <c r="M104" s="50" t="s">
        <v>5150</v>
      </c>
      <c r="N104" s="73" t="s">
        <v>3656</v>
      </c>
      <c r="O104" s="50" t="s">
        <v>3695</v>
      </c>
      <c r="P104" s="73" t="s">
        <v>3655</v>
      </c>
      <c r="Q104" s="50" t="s">
        <v>3696</v>
      </c>
      <c r="R104" s="73" t="s">
        <v>4906</v>
      </c>
      <c r="S104" s="50" t="s">
        <v>5391</v>
      </c>
      <c r="T104" s="73" t="s">
        <v>692</v>
      </c>
      <c r="U104" s="50" t="s">
        <v>692</v>
      </c>
      <c r="V104" s="73" t="s">
        <v>5392</v>
      </c>
      <c r="W104" s="50" t="s">
        <v>5150</v>
      </c>
    </row>
    <row r="105" spans="1:23" s="25" customFormat="1" ht="6.95" customHeight="1" x14ac:dyDescent="0.25">
      <c r="A105" s="26">
        <v>81</v>
      </c>
      <c r="B105" s="30" t="s">
        <v>5084</v>
      </c>
      <c r="C105" s="61" t="s">
        <v>5493</v>
      </c>
      <c r="D105" s="51" t="s">
        <v>5009</v>
      </c>
      <c r="E105" s="52" t="s">
        <v>6003</v>
      </c>
      <c r="F105" s="51" t="s">
        <v>692</v>
      </c>
      <c r="G105" s="52" t="s">
        <v>692</v>
      </c>
      <c r="H105" s="73" t="s">
        <v>966</v>
      </c>
      <c r="I105" s="50" t="s">
        <v>1032</v>
      </c>
      <c r="J105" s="73" t="s">
        <v>1112</v>
      </c>
      <c r="K105" s="50" t="str">
        <f t="shared" si="1"/>
        <v>"REB"</v>
      </c>
      <c r="L105" s="73" t="s">
        <v>895</v>
      </c>
      <c r="M105" s="50" t="s">
        <v>5151</v>
      </c>
      <c r="N105" s="73" t="s">
        <v>3656</v>
      </c>
      <c r="O105" s="50" t="s">
        <v>5088</v>
      </c>
      <c r="P105" s="73" t="s">
        <v>3655</v>
      </c>
      <c r="Q105" s="50" t="s">
        <v>5089</v>
      </c>
      <c r="R105" s="73" t="s">
        <v>4906</v>
      </c>
      <c r="S105" s="50" t="s">
        <v>5391</v>
      </c>
      <c r="T105" s="73" t="s">
        <v>692</v>
      </c>
      <c r="U105" s="50" t="s">
        <v>692</v>
      </c>
      <c r="V105" s="73" t="s">
        <v>5392</v>
      </c>
      <c r="W105" s="50" t="s">
        <v>5151</v>
      </c>
    </row>
    <row r="106" spans="1:23" s="25" customFormat="1" ht="6.95" customHeight="1" x14ac:dyDescent="0.25">
      <c r="A106" s="26">
        <v>82</v>
      </c>
      <c r="B106" s="30" t="s">
        <v>636</v>
      </c>
      <c r="C106" s="61" t="s">
        <v>5493</v>
      </c>
      <c r="D106" s="51" t="s">
        <v>5009</v>
      </c>
      <c r="E106" s="52" t="s">
        <v>6003</v>
      </c>
      <c r="F106" s="51" t="s">
        <v>692</v>
      </c>
      <c r="G106" s="52" t="s">
        <v>692</v>
      </c>
      <c r="H106" s="73" t="s">
        <v>966</v>
      </c>
      <c r="I106" s="50" t="s">
        <v>1032</v>
      </c>
      <c r="J106" s="73" t="s">
        <v>1112</v>
      </c>
      <c r="K106" s="50" t="str">
        <f t="shared" si="1"/>
        <v>"ROD"</v>
      </c>
      <c r="L106" s="73" t="s">
        <v>895</v>
      </c>
      <c r="M106" s="50" t="s">
        <v>5152</v>
      </c>
      <c r="N106" s="73" t="s">
        <v>3656</v>
      </c>
      <c r="O106" s="50" t="s">
        <v>5391</v>
      </c>
      <c r="P106" s="73" t="s">
        <v>3655</v>
      </c>
      <c r="Q106" s="50" t="s">
        <v>3694</v>
      </c>
      <c r="R106" s="73" t="s">
        <v>4906</v>
      </c>
      <c r="S106" s="50" t="s">
        <v>5391</v>
      </c>
      <c r="T106" s="73" t="s">
        <v>692</v>
      </c>
      <c r="U106" s="50" t="s">
        <v>692</v>
      </c>
      <c r="V106" s="73" t="s">
        <v>5392</v>
      </c>
      <c r="W106" s="50" t="s">
        <v>5152</v>
      </c>
    </row>
    <row r="107" spans="1:23" s="25" customFormat="1" ht="6.95" customHeight="1" x14ac:dyDescent="0.25">
      <c r="A107" s="26">
        <v>83</v>
      </c>
      <c r="B107" s="30" t="s">
        <v>639</v>
      </c>
      <c r="C107" s="61" t="s">
        <v>5493</v>
      </c>
      <c r="D107" s="51" t="s">
        <v>5009</v>
      </c>
      <c r="E107" s="52" t="s">
        <v>6003</v>
      </c>
      <c r="F107" s="51" t="s">
        <v>692</v>
      </c>
      <c r="G107" s="52" t="s">
        <v>692</v>
      </c>
      <c r="H107" s="73" t="s">
        <v>966</v>
      </c>
      <c r="I107" s="50" t="s">
        <v>1032</v>
      </c>
      <c r="J107" s="73" t="s">
        <v>1112</v>
      </c>
      <c r="K107" s="50" t="str">
        <f t="shared" si="1"/>
        <v>"ROM"</v>
      </c>
      <c r="L107" s="73" t="s">
        <v>895</v>
      </c>
      <c r="M107" s="50" t="s">
        <v>5153</v>
      </c>
      <c r="N107" s="73" t="s">
        <v>3656</v>
      </c>
      <c r="O107" s="50" t="s">
        <v>5391</v>
      </c>
      <c r="P107" s="73" t="s">
        <v>3655</v>
      </c>
      <c r="Q107" s="50" t="s">
        <v>4990</v>
      </c>
      <c r="R107" s="73" t="s">
        <v>4906</v>
      </c>
      <c r="S107" s="50" t="s">
        <v>5391</v>
      </c>
      <c r="T107" s="73" t="s">
        <v>692</v>
      </c>
      <c r="U107" s="50" t="s">
        <v>692</v>
      </c>
      <c r="V107" s="73" t="s">
        <v>5392</v>
      </c>
      <c r="W107" s="50" t="s">
        <v>5153</v>
      </c>
    </row>
    <row r="108" spans="1:23" s="25" customFormat="1" ht="6.95" customHeight="1" x14ac:dyDescent="0.25">
      <c r="A108" s="26">
        <v>84</v>
      </c>
      <c r="B108" s="30" t="s">
        <v>641</v>
      </c>
      <c r="C108" s="61" t="s">
        <v>5493</v>
      </c>
      <c r="D108" s="51" t="s">
        <v>5009</v>
      </c>
      <c r="E108" s="52" t="s">
        <v>6003</v>
      </c>
      <c r="F108" s="51" t="s">
        <v>692</v>
      </c>
      <c r="G108" s="52" t="s">
        <v>692</v>
      </c>
      <c r="H108" s="73" t="s">
        <v>966</v>
      </c>
      <c r="I108" s="50" t="s">
        <v>1032</v>
      </c>
      <c r="J108" s="73" t="s">
        <v>1112</v>
      </c>
      <c r="K108" s="50" t="str">
        <f t="shared" si="1"/>
        <v>"SAC"</v>
      </c>
      <c r="L108" s="73" t="s">
        <v>895</v>
      </c>
      <c r="M108" s="50" t="s">
        <v>5154</v>
      </c>
      <c r="N108" s="73" t="s">
        <v>3656</v>
      </c>
      <c r="O108" s="50" t="s">
        <v>5391</v>
      </c>
      <c r="P108" s="73" t="s">
        <v>3655</v>
      </c>
      <c r="Q108" s="50" t="s">
        <v>4989</v>
      </c>
      <c r="R108" s="73" t="s">
        <v>4906</v>
      </c>
      <c r="S108" s="50" t="s">
        <v>5391</v>
      </c>
      <c r="T108" s="73" t="s">
        <v>692</v>
      </c>
      <c r="U108" s="50" t="s">
        <v>692</v>
      </c>
      <c r="V108" s="73" t="s">
        <v>5392</v>
      </c>
      <c r="W108" s="50" t="s">
        <v>5154</v>
      </c>
    </row>
    <row r="109" spans="1:23" s="25" customFormat="1" ht="6.95" customHeight="1" x14ac:dyDescent="0.25">
      <c r="A109" s="26">
        <v>85</v>
      </c>
      <c r="B109" s="30" t="s">
        <v>53</v>
      </c>
      <c r="C109" s="61" t="s">
        <v>5493</v>
      </c>
      <c r="D109" s="51" t="s">
        <v>5009</v>
      </c>
      <c r="E109" s="52" t="s">
        <v>6003</v>
      </c>
      <c r="F109" s="51" t="s">
        <v>692</v>
      </c>
      <c r="G109" s="52" t="s">
        <v>692</v>
      </c>
      <c r="H109" s="73" t="s">
        <v>966</v>
      </c>
      <c r="I109" s="50" t="s">
        <v>1032</v>
      </c>
      <c r="J109" s="73" t="s">
        <v>1112</v>
      </c>
      <c r="K109" s="50" t="str">
        <f t="shared" si="1"/>
        <v>"TET"</v>
      </c>
      <c r="L109" s="73" t="s">
        <v>895</v>
      </c>
      <c r="M109" s="50" t="s">
        <v>5155</v>
      </c>
      <c r="N109" s="73" t="s">
        <v>3656</v>
      </c>
      <c r="O109" s="71" t="s">
        <v>5007</v>
      </c>
      <c r="P109" s="73" t="s">
        <v>3655</v>
      </c>
      <c r="Q109" s="71" t="s">
        <v>4877</v>
      </c>
      <c r="R109" s="73" t="s">
        <v>4906</v>
      </c>
      <c r="S109" s="50" t="s">
        <v>5391</v>
      </c>
      <c r="T109" s="73" t="s">
        <v>692</v>
      </c>
      <c r="U109" s="50" t="s">
        <v>692</v>
      </c>
      <c r="V109" s="73" t="s">
        <v>5392</v>
      </c>
      <c r="W109" s="50" t="s">
        <v>5155</v>
      </c>
    </row>
    <row r="110" spans="1:23" s="25" customFormat="1" ht="6.95" customHeight="1" x14ac:dyDescent="0.25">
      <c r="A110" s="26">
        <v>86</v>
      </c>
      <c r="B110" s="30" t="s">
        <v>65</v>
      </c>
      <c r="C110" s="61" t="s">
        <v>5493</v>
      </c>
      <c r="D110" s="51" t="s">
        <v>5009</v>
      </c>
      <c r="E110" s="52" t="s">
        <v>6003</v>
      </c>
      <c r="F110" s="51" t="s">
        <v>692</v>
      </c>
      <c r="G110" s="52" t="s">
        <v>692</v>
      </c>
      <c r="H110" s="73" t="s">
        <v>966</v>
      </c>
      <c r="I110" s="50" t="s">
        <v>1032</v>
      </c>
      <c r="J110" s="73" t="s">
        <v>1112</v>
      </c>
      <c r="K110" s="50" t="str">
        <f t="shared" si="1"/>
        <v>"VZA"</v>
      </c>
      <c r="L110" s="73" t="s">
        <v>895</v>
      </c>
      <c r="M110" s="50" t="s">
        <v>5156</v>
      </c>
      <c r="N110" s="73" t="s">
        <v>3656</v>
      </c>
      <c r="O110" s="50" t="s">
        <v>3681</v>
      </c>
      <c r="P110" s="73" t="s">
        <v>3655</v>
      </c>
      <c r="Q110" s="50" t="s">
        <v>3682</v>
      </c>
      <c r="R110" s="73" t="s">
        <v>4906</v>
      </c>
      <c r="S110" s="50" t="s">
        <v>5391</v>
      </c>
      <c r="T110" s="73" t="s">
        <v>692</v>
      </c>
      <c r="U110" s="50" t="s">
        <v>692</v>
      </c>
      <c r="V110" s="73" t="s">
        <v>5392</v>
      </c>
      <c r="W110" s="50" t="s">
        <v>5156</v>
      </c>
    </row>
    <row r="111" spans="1:23" s="25" customFormat="1" ht="6.95" customHeight="1" x14ac:dyDescent="0.25">
      <c r="A111" s="26">
        <v>87</v>
      </c>
      <c r="B111" s="30" t="s">
        <v>14</v>
      </c>
      <c r="C111" s="61" t="s">
        <v>5493</v>
      </c>
      <c r="D111" s="51" t="s">
        <v>5009</v>
      </c>
      <c r="E111" s="52" t="s">
        <v>6003</v>
      </c>
      <c r="F111" s="51" t="s">
        <v>692</v>
      </c>
      <c r="G111" s="52" t="s">
        <v>692</v>
      </c>
      <c r="H111" s="73" t="s">
        <v>966</v>
      </c>
      <c r="I111" s="50" t="s">
        <v>1033</v>
      </c>
      <c r="J111" s="73" t="s">
        <v>1112</v>
      </c>
      <c r="K111" s="50" t="str">
        <f t="shared" si="1"/>
        <v>"BAN"</v>
      </c>
      <c r="L111" s="73" t="s">
        <v>895</v>
      </c>
      <c r="M111" s="50" t="s">
        <v>5157</v>
      </c>
      <c r="N111" s="73" t="s">
        <v>3656</v>
      </c>
      <c r="O111" s="50" t="s">
        <v>3679</v>
      </c>
      <c r="P111" s="73" t="s">
        <v>3655</v>
      </c>
      <c r="Q111" s="50" t="s">
        <v>3680</v>
      </c>
      <c r="R111" s="73" t="s">
        <v>4906</v>
      </c>
      <c r="S111" s="50" t="s">
        <v>5391</v>
      </c>
      <c r="T111" s="73" t="s">
        <v>692</v>
      </c>
      <c r="U111" s="50" t="s">
        <v>692</v>
      </c>
      <c r="V111" s="73" t="s">
        <v>5392</v>
      </c>
      <c r="W111" s="50" t="s">
        <v>5157</v>
      </c>
    </row>
    <row r="112" spans="1:23" s="25" customFormat="1" ht="6.95" customHeight="1" x14ac:dyDescent="0.25">
      <c r="A112" s="26">
        <v>88</v>
      </c>
      <c r="B112" s="27" t="s">
        <v>5013</v>
      </c>
      <c r="C112" s="61" t="s">
        <v>5493</v>
      </c>
      <c r="D112" s="51" t="s">
        <v>5009</v>
      </c>
      <c r="E112" s="52" t="s">
        <v>6003</v>
      </c>
      <c r="F112" s="51" t="s">
        <v>692</v>
      </c>
      <c r="G112" s="52" t="s">
        <v>692</v>
      </c>
      <c r="H112" s="73" t="s">
        <v>966</v>
      </c>
      <c r="I112" s="50" t="s">
        <v>5020</v>
      </c>
      <c r="J112" s="73" t="s">
        <v>1112</v>
      </c>
      <c r="K112" s="50" t="str">
        <f t="shared" si="1"/>
        <v>"ASC"</v>
      </c>
      <c r="L112" s="73" t="s">
        <v>895</v>
      </c>
      <c r="M112" s="74" t="s">
        <v>5158</v>
      </c>
      <c r="N112" s="73" t="s">
        <v>3656</v>
      </c>
      <c r="O112" s="50" t="s">
        <v>5036</v>
      </c>
      <c r="P112" s="73" t="s">
        <v>3655</v>
      </c>
      <c r="Q112" s="50" t="s">
        <v>5037</v>
      </c>
      <c r="R112" s="73" t="s">
        <v>4906</v>
      </c>
      <c r="S112" s="50" t="s">
        <v>5391</v>
      </c>
      <c r="T112" s="73" t="s">
        <v>692</v>
      </c>
      <c r="U112" s="50" t="s">
        <v>692</v>
      </c>
      <c r="V112" s="73" t="s">
        <v>5392</v>
      </c>
      <c r="W112" s="74" t="s">
        <v>5158</v>
      </c>
    </row>
    <row r="113" spans="1:23" s="25" customFormat="1" ht="6.95" customHeight="1" x14ac:dyDescent="0.25">
      <c r="A113" s="26">
        <v>89</v>
      </c>
      <c r="B113" s="27" t="s">
        <v>5017</v>
      </c>
      <c r="C113" s="61" t="s">
        <v>5493</v>
      </c>
      <c r="D113" s="51" t="s">
        <v>5009</v>
      </c>
      <c r="E113" s="52" t="s">
        <v>6003</v>
      </c>
      <c r="F113" s="51" t="s">
        <v>692</v>
      </c>
      <c r="G113" s="52" t="s">
        <v>692</v>
      </c>
      <c r="H113" s="73" t="s">
        <v>966</v>
      </c>
      <c r="I113" s="50" t="s">
        <v>5020</v>
      </c>
      <c r="J113" s="73" t="s">
        <v>1112</v>
      </c>
      <c r="K113" s="50" t="str">
        <f t="shared" si="1"/>
        <v>"CMA"</v>
      </c>
      <c r="L113" s="73" t="s">
        <v>895</v>
      </c>
      <c r="M113" s="74" t="s">
        <v>5159</v>
      </c>
      <c r="N113" s="73" t="s">
        <v>3656</v>
      </c>
      <c r="O113" s="50" t="s">
        <v>5038</v>
      </c>
      <c r="P113" s="73" t="s">
        <v>3655</v>
      </c>
      <c r="Q113" s="50" t="s">
        <v>5039</v>
      </c>
      <c r="R113" s="73" t="s">
        <v>4906</v>
      </c>
      <c r="S113" s="50" t="s">
        <v>5391</v>
      </c>
      <c r="T113" s="73" t="s">
        <v>692</v>
      </c>
      <c r="U113" s="50" t="s">
        <v>692</v>
      </c>
      <c r="V113" s="73" t="s">
        <v>5392</v>
      </c>
      <c r="W113" s="74" t="s">
        <v>5159</v>
      </c>
    </row>
    <row r="114" spans="1:23" s="25" customFormat="1" ht="6.95" customHeight="1" x14ac:dyDescent="0.25">
      <c r="A114" s="26">
        <v>90</v>
      </c>
      <c r="B114" s="27" t="s">
        <v>315</v>
      </c>
      <c r="C114" s="61" t="s">
        <v>5493</v>
      </c>
      <c r="D114" s="51" t="s">
        <v>5009</v>
      </c>
      <c r="E114" s="52" t="s">
        <v>6003</v>
      </c>
      <c r="F114" s="51" t="s">
        <v>692</v>
      </c>
      <c r="G114" s="52" t="s">
        <v>692</v>
      </c>
      <c r="H114" s="73" t="s">
        <v>966</v>
      </c>
      <c r="I114" s="50" t="s">
        <v>5020</v>
      </c>
      <c r="J114" s="73" t="s">
        <v>1112</v>
      </c>
      <c r="K114" s="50" t="str">
        <f t="shared" si="1"/>
        <v>"ESC"</v>
      </c>
      <c r="L114" s="73" t="s">
        <v>895</v>
      </c>
      <c r="M114" s="74" t="s">
        <v>5125</v>
      </c>
      <c r="N114" s="73" t="s">
        <v>3656</v>
      </c>
      <c r="O114" s="50" t="s">
        <v>4867</v>
      </c>
      <c r="P114" s="73" t="s">
        <v>3655</v>
      </c>
      <c r="Q114" s="50" t="s">
        <v>4868</v>
      </c>
      <c r="R114" s="73" t="s">
        <v>4906</v>
      </c>
      <c r="S114" s="50" t="s">
        <v>5391</v>
      </c>
      <c r="T114" s="73" t="s">
        <v>692</v>
      </c>
      <c r="U114" s="50" t="s">
        <v>692</v>
      </c>
      <c r="V114" s="73" t="s">
        <v>5392</v>
      </c>
      <c r="W114" s="74" t="s">
        <v>5125</v>
      </c>
    </row>
    <row r="115" spans="1:23" s="25" customFormat="1" ht="6.95" customHeight="1" x14ac:dyDescent="0.25">
      <c r="A115" s="26">
        <v>91</v>
      </c>
      <c r="B115" s="27" t="s">
        <v>5015</v>
      </c>
      <c r="C115" s="61" t="s">
        <v>5493</v>
      </c>
      <c r="D115" s="51" t="s">
        <v>5009</v>
      </c>
      <c r="E115" s="52" t="s">
        <v>6003</v>
      </c>
      <c r="F115" s="51" t="s">
        <v>692</v>
      </c>
      <c r="G115" s="52" t="s">
        <v>692</v>
      </c>
      <c r="H115" s="73" t="s">
        <v>966</v>
      </c>
      <c r="I115" s="50" t="s">
        <v>5020</v>
      </c>
      <c r="J115" s="73" t="s">
        <v>1112</v>
      </c>
      <c r="K115" s="50" t="str">
        <f t="shared" si="1"/>
        <v>"GCO"</v>
      </c>
      <c r="L115" s="73" t="s">
        <v>895</v>
      </c>
      <c r="M115" s="74" t="s">
        <v>5160</v>
      </c>
      <c r="N115" s="73" t="s">
        <v>3656</v>
      </c>
      <c r="O115" s="50" t="s">
        <v>5038</v>
      </c>
      <c r="P115" s="73" t="s">
        <v>3655</v>
      </c>
      <c r="Q115" s="50" t="s">
        <v>5039</v>
      </c>
      <c r="R115" s="73" t="s">
        <v>4906</v>
      </c>
      <c r="S115" s="50" t="s">
        <v>5391</v>
      </c>
      <c r="T115" s="73" t="s">
        <v>692</v>
      </c>
      <c r="U115" s="50" t="s">
        <v>692</v>
      </c>
      <c r="V115" s="73" t="s">
        <v>5392</v>
      </c>
      <c r="W115" s="74" t="s">
        <v>5160</v>
      </c>
    </row>
    <row r="116" spans="1:23" s="25" customFormat="1" ht="6.95" customHeight="1" x14ac:dyDescent="0.25">
      <c r="A116" s="26">
        <v>92</v>
      </c>
      <c r="B116" s="27" t="s">
        <v>5011</v>
      </c>
      <c r="C116" s="61" t="s">
        <v>5493</v>
      </c>
      <c r="D116" s="51" t="s">
        <v>5009</v>
      </c>
      <c r="E116" s="52" t="s">
        <v>6003</v>
      </c>
      <c r="F116" s="51" t="s">
        <v>692</v>
      </c>
      <c r="G116" s="52" t="s">
        <v>692</v>
      </c>
      <c r="H116" s="73" t="s">
        <v>966</v>
      </c>
      <c r="I116" s="50" t="s">
        <v>5020</v>
      </c>
      <c r="J116" s="73" t="s">
        <v>1112</v>
      </c>
      <c r="K116" s="50" t="str">
        <f t="shared" si="1"/>
        <v>"RAM"</v>
      </c>
      <c r="L116" s="73" t="s">
        <v>895</v>
      </c>
      <c r="M116" s="74" t="s">
        <v>5161</v>
      </c>
      <c r="N116" s="73" t="s">
        <v>3656</v>
      </c>
      <c r="O116" s="50" t="s">
        <v>5040</v>
      </c>
      <c r="P116" s="73" t="s">
        <v>3655</v>
      </c>
      <c r="Q116" s="50" t="s">
        <v>5041</v>
      </c>
      <c r="R116" s="73" t="s">
        <v>4906</v>
      </c>
      <c r="S116" s="50" t="s">
        <v>5391</v>
      </c>
      <c r="T116" s="73" t="s">
        <v>692</v>
      </c>
      <c r="U116" s="50" t="s">
        <v>692</v>
      </c>
      <c r="V116" s="73" t="s">
        <v>5392</v>
      </c>
      <c r="W116" s="74" t="s">
        <v>5161</v>
      </c>
    </row>
    <row r="117" spans="1:23" s="25" customFormat="1" ht="6.95" customHeight="1" x14ac:dyDescent="0.25">
      <c r="A117" s="26">
        <v>93</v>
      </c>
      <c r="B117" s="30" t="s">
        <v>7</v>
      </c>
      <c r="C117" s="61" t="s">
        <v>5493</v>
      </c>
      <c r="D117" s="51" t="s">
        <v>5009</v>
      </c>
      <c r="E117" s="52" t="s">
        <v>6003</v>
      </c>
      <c r="F117" s="51" t="s">
        <v>692</v>
      </c>
      <c r="G117" s="52" t="s">
        <v>692</v>
      </c>
      <c r="H117" s="73" t="s">
        <v>966</v>
      </c>
      <c r="I117" s="50" t="s">
        <v>1033</v>
      </c>
      <c r="J117" s="73" t="s">
        <v>1112</v>
      </c>
      <c r="K117" s="50" t="str">
        <f t="shared" si="1"/>
        <v>"BID"</v>
      </c>
      <c r="L117" s="73" t="s">
        <v>895</v>
      </c>
      <c r="M117" s="50" t="s">
        <v>5162</v>
      </c>
      <c r="N117" s="73" t="s">
        <v>3656</v>
      </c>
      <c r="O117" s="50" t="s">
        <v>3679</v>
      </c>
      <c r="P117" s="73" t="s">
        <v>3655</v>
      </c>
      <c r="Q117" s="50" t="s">
        <v>3680</v>
      </c>
      <c r="R117" s="73" t="s">
        <v>4906</v>
      </c>
      <c r="S117" s="50" t="s">
        <v>5391</v>
      </c>
      <c r="T117" s="73" t="s">
        <v>692</v>
      </c>
      <c r="U117" s="50" t="s">
        <v>692</v>
      </c>
      <c r="V117" s="73" t="s">
        <v>5392</v>
      </c>
      <c r="W117" s="50" t="s">
        <v>5162</v>
      </c>
    </row>
    <row r="118" spans="1:23" s="25" customFormat="1" ht="6.95" customHeight="1" x14ac:dyDescent="0.25">
      <c r="A118" s="26">
        <v>94</v>
      </c>
      <c r="B118" s="30" t="s">
        <v>648</v>
      </c>
      <c r="C118" s="61" t="s">
        <v>5493</v>
      </c>
      <c r="D118" s="51" t="s">
        <v>5009</v>
      </c>
      <c r="E118" s="52" t="s">
        <v>6003</v>
      </c>
      <c r="F118" s="51" t="s">
        <v>692</v>
      </c>
      <c r="G118" s="52" t="s">
        <v>692</v>
      </c>
      <c r="H118" s="73" t="s">
        <v>966</v>
      </c>
      <c r="I118" s="50" t="s">
        <v>1033</v>
      </c>
      <c r="J118" s="73" t="s">
        <v>1112</v>
      </c>
      <c r="K118" s="50" t="str">
        <f t="shared" si="1"/>
        <v>"CHU"</v>
      </c>
      <c r="L118" s="73" t="s">
        <v>895</v>
      </c>
      <c r="M118" s="50" t="s">
        <v>5163</v>
      </c>
      <c r="N118" s="73" t="s">
        <v>3656</v>
      </c>
      <c r="O118" s="50" t="s">
        <v>3679</v>
      </c>
      <c r="P118" s="73" t="s">
        <v>3655</v>
      </c>
      <c r="Q118" s="50" t="s">
        <v>3680</v>
      </c>
      <c r="R118" s="73" t="s">
        <v>4906</v>
      </c>
      <c r="S118" s="50" t="s">
        <v>5391</v>
      </c>
      <c r="T118" s="73" t="s">
        <v>692</v>
      </c>
      <c r="U118" s="50" t="s">
        <v>692</v>
      </c>
      <c r="V118" s="73" t="s">
        <v>5392</v>
      </c>
      <c r="W118" s="50" t="s">
        <v>5163</v>
      </c>
    </row>
    <row r="119" spans="1:23" s="25" customFormat="1" ht="6.95" customHeight="1" x14ac:dyDescent="0.25">
      <c r="A119" s="26">
        <v>95</v>
      </c>
      <c r="B119" s="30" t="s">
        <v>19</v>
      </c>
      <c r="C119" s="61" t="s">
        <v>5493</v>
      </c>
      <c r="D119" s="51" t="s">
        <v>5009</v>
      </c>
      <c r="E119" s="52" t="s">
        <v>6003</v>
      </c>
      <c r="F119" s="51" t="s">
        <v>692</v>
      </c>
      <c r="G119" s="52" t="s">
        <v>692</v>
      </c>
      <c r="H119" s="73" t="s">
        <v>966</v>
      </c>
      <c r="I119" s="50" t="s">
        <v>1033</v>
      </c>
      <c r="J119" s="73" t="s">
        <v>1112</v>
      </c>
      <c r="K119" s="50" t="str">
        <f t="shared" si="1"/>
        <v>"CUB"</v>
      </c>
      <c r="L119" s="73" t="s">
        <v>895</v>
      </c>
      <c r="M119" s="50" t="s">
        <v>5164</v>
      </c>
      <c r="N119" s="73" t="s">
        <v>3656</v>
      </c>
      <c r="O119" s="50" t="s">
        <v>3679</v>
      </c>
      <c r="P119" s="73" t="s">
        <v>3655</v>
      </c>
      <c r="Q119" s="50" t="s">
        <v>3680</v>
      </c>
      <c r="R119" s="73" t="s">
        <v>4906</v>
      </c>
      <c r="S119" s="50" t="s">
        <v>5391</v>
      </c>
      <c r="T119" s="73" t="s">
        <v>692</v>
      </c>
      <c r="U119" s="50" t="s">
        <v>692</v>
      </c>
      <c r="V119" s="73" t="s">
        <v>5392</v>
      </c>
      <c r="W119" s="50" t="s">
        <v>5164</v>
      </c>
    </row>
    <row r="120" spans="1:23" s="25" customFormat="1" ht="6.95" customHeight="1" x14ac:dyDescent="0.25">
      <c r="A120" s="26">
        <v>96</v>
      </c>
      <c r="B120" s="30" t="s">
        <v>98</v>
      </c>
      <c r="C120" s="61" t="s">
        <v>5493</v>
      </c>
      <c r="D120" s="51" t="s">
        <v>5009</v>
      </c>
      <c r="E120" s="52" t="s">
        <v>6003</v>
      </c>
      <c r="F120" s="51" t="s">
        <v>692</v>
      </c>
      <c r="G120" s="52" t="s">
        <v>692</v>
      </c>
      <c r="H120" s="73" t="s">
        <v>966</v>
      </c>
      <c r="I120" s="50" t="s">
        <v>1033</v>
      </c>
      <c r="J120" s="73" t="s">
        <v>1112</v>
      </c>
      <c r="K120" s="50" t="str">
        <f t="shared" si="1"/>
        <v>"DCH"</v>
      </c>
      <c r="L120" s="73" t="s">
        <v>895</v>
      </c>
      <c r="M120" s="50" t="s">
        <v>5165</v>
      </c>
      <c r="N120" s="73" t="s">
        <v>3656</v>
      </c>
      <c r="O120" s="50" t="s">
        <v>3679</v>
      </c>
      <c r="P120" s="73" t="s">
        <v>3655</v>
      </c>
      <c r="Q120" s="50" t="s">
        <v>3680</v>
      </c>
      <c r="R120" s="73" t="s">
        <v>4906</v>
      </c>
      <c r="S120" s="50" t="s">
        <v>5391</v>
      </c>
      <c r="T120" s="73" t="s">
        <v>692</v>
      </c>
      <c r="U120" s="50" t="s">
        <v>692</v>
      </c>
      <c r="V120" s="73" t="s">
        <v>5392</v>
      </c>
      <c r="W120" s="50" t="s">
        <v>5165</v>
      </c>
    </row>
    <row r="121" spans="1:23" s="25" customFormat="1" ht="6.95" customHeight="1" x14ac:dyDescent="0.25">
      <c r="A121" s="26">
        <v>97</v>
      </c>
      <c r="B121" s="30" t="s">
        <v>667</v>
      </c>
      <c r="C121" s="61" t="s">
        <v>5493</v>
      </c>
      <c r="D121" s="51" t="s">
        <v>5009</v>
      </c>
      <c r="E121" s="52" t="s">
        <v>6003</v>
      </c>
      <c r="F121" s="51" t="s">
        <v>692</v>
      </c>
      <c r="G121" s="52" t="s">
        <v>692</v>
      </c>
      <c r="H121" s="73" t="s">
        <v>966</v>
      </c>
      <c r="I121" s="50" t="s">
        <v>1033</v>
      </c>
      <c r="J121" s="73" t="s">
        <v>1112</v>
      </c>
      <c r="K121" s="50" t="str">
        <f t="shared" si="1"/>
        <v>"DIS"</v>
      </c>
      <c r="L121" s="73" t="s">
        <v>895</v>
      </c>
      <c r="M121" s="50" t="s">
        <v>5166</v>
      </c>
      <c r="N121" s="73" t="s">
        <v>3656</v>
      </c>
      <c r="O121" s="50" t="s">
        <v>3679</v>
      </c>
      <c r="P121" s="73" t="s">
        <v>3655</v>
      </c>
      <c r="Q121" s="50" t="s">
        <v>3680</v>
      </c>
      <c r="R121" s="73" t="s">
        <v>4906</v>
      </c>
      <c r="S121" s="50" t="s">
        <v>5391</v>
      </c>
      <c r="T121" s="73" t="s">
        <v>692</v>
      </c>
      <c r="U121" s="50" t="s">
        <v>692</v>
      </c>
      <c r="V121" s="73" t="s">
        <v>5392</v>
      </c>
      <c r="W121" s="50" t="s">
        <v>5166</v>
      </c>
    </row>
    <row r="122" spans="1:23" s="25" customFormat="1" ht="6.95" customHeight="1" x14ac:dyDescent="0.25">
      <c r="A122" s="26">
        <v>98</v>
      </c>
      <c r="B122" s="30" t="s">
        <v>980</v>
      </c>
      <c r="C122" s="61" t="s">
        <v>5493</v>
      </c>
      <c r="D122" s="51" t="s">
        <v>5009</v>
      </c>
      <c r="E122" s="52" t="s">
        <v>6003</v>
      </c>
      <c r="F122" s="51" t="s">
        <v>692</v>
      </c>
      <c r="G122" s="52" t="s">
        <v>692</v>
      </c>
      <c r="H122" s="73" t="s">
        <v>966</v>
      </c>
      <c r="I122" s="50" t="s">
        <v>1033</v>
      </c>
      <c r="J122" s="73" t="s">
        <v>1112</v>
      </c>
      <c r="K122" s="50" t="str">
        <f t="shared" si="1"/>
        <v>"EQS"</v>
      </c>
      <c r="L122" s="73" t="s">
        <v>895</v>
      </c>
      <c r="M122" s="50" t="s">
        <v>5167</v>
      </c>
      <c r="N122" s="73" t="s">
        <v>3656</v>
      </c>
      <c r="O122" s="50" t="s">
        <v>3679</v>
      </c>
      <c r="P122" s="73" t="s">
        <v>3655</v>
      </c>
      <c r="Q122" s="50" t="s">
        <v>3680</v>
      </c>
      <c r="R122" s="73" t="s">
        <v>4906</v>
      </c>
      <c r="S122" s="50" t="s">
        <v>5391</v>
      </c>
      <c r="T122" s="73" t="s">
        <v>692</v>
      </c>
      <c r="U122" s="50" t="s">
        <v>692</v>
      </c>
      <c r="V122" s="73" t="s">
        <v>5392</v>
      </c>
      <c r="W122" s="50" t="s">
        <v>5167</v>
      </c>
    </row>
    <row r="123" spans="1:23" s="25" customFormat="1" ht="6.95" customHeight="1" x14ac:dyDescent="0.25">
      <c r="A123" s="26">
        <v>99</v>
      </c>
      <c r="B123" s="30" t="s">
        <v>192</v>
      </c>
      <c r="C123" s="61" t="s">
        <v>5493</v>
      </c>
      <c r="D123" s="51" t="s">
        <v>5009</v>
      </c>
      <c r="E123" s="52" t="s">
        <v>6003</v>
      </c>
      <c r="F123" s="51" t="s">
        <v>692</v>
      </c>
      <c r="G123" s="52" t="s">
        <v>692</v>
      </c>
      <c r="H123" s="73" t="s">
        <v>966</v>
      </c>
      <c r="I123" s="50" t="s">
        <v>1033</v>
      </c>
      <c r="J123" s="73" t="s">
        <v>1112</v>
      </c>
      <c r="K123" s="50" t="str">
        <f t="shared" si="1"/>
        <v>"EQI"</v>
      </c>
      <c r="L123" s="73" t="s">
        <v>895</v>
      </c>
      <c r="M123" s="50" t="s">
        <v>5344</v>
      </c>
      <c r="N123" s="73" t="s">
        <v>3656</v>
      </c>
      <c r="O123" s="50" t="s">
        <v>4994</v>
      </c>
      <c r="P123" s="73" t="s">
        <v>3655</v>
      </c>
      <c r="Q123" s="50" t="s">
        <v>3680</v>
      </c>
      <c r="R123" s="73" t="s">
        <v>4906</v>
      </c>
      <c r="S123" s="50" t="s">
        <v>5391</v>
      </c>
      <c r="T123" s="73" t="s">
        <v>692</v>
      </c>
      <c r="U123" s="50" t="s">
        <v>692</v>
      </c>
      <c r="V123" s="73" t="s">
        <v>5392</v>
      </c>
      <c r="W123" s="50" t="s">
        <v>5344</v>
      </c>
    </row>
    <row r="124" spans="1:23" s="25" customFormat="1" ht="6.95" customHeight="1" x14ac:dyDescent="0.25">
      <c r="A124" s="26">
        <v>100</v>
      </c>
      <c r="B124" s="30" t="s">
        <v>4991</v>
      </c>
      <c r="C124" s="61" t="s">
        <v>5493</v>
      </c>
      <c r="D124" s="51" t="s">
        <v>5009</v>
      </c>
      <c r="E124" s="52" t="s">
        <v>6003</v>
      </c>
      <c r="F124" s="51" t="s">
        <v>692</v>
      </c>
      <c r="G124" s="52" t="s">
        <v>692</v>
      </c>
      <c r="H124" s="73" t="s">
        <v>966</v>
      </c>
      <c r="I124" s="50" t="s">
        <v>1033</v>
      </c>
      <c r="J124" s="73" t="s">
        <v>1112</v>
      </c>
      <c r="K124" s="50" t="str">
        <f t="shared" si="1"/>
        <v>"FER"</v>
      </c>
      <c r="L124" s="73" t="s">
        <v>895</v>
      </c>
      <c r="M124" s="50" t="s">
        <v>5168</v>
      </c>
      <c r="N124" s="73" t="s">
        <v>3656</v>
      </c>
      <c r="O124" s="71" t="s">
        <v>3678</v>
      </c>
      <c r="P124" s="73" t="s">
        <v>3655</v>
      </c>
      <c r="Q124" s="50" t="s">
        <v>4995</v>
      </c>
      <c r="R124" s="73" t="s">
        <v>4906</v>
      </c>
      <c r="S124" s="50" t="s">
        <v>5391</v>
      </c>
      <c r="T124" s="73" t="s">
        <v>692</v>
      </c>
      <c r="U124" s="50" t="s">
        <v>692</v>
      </c>
      <c r="V124" s="73" t="s">
        <v>5392</v>
      </c>
      <c r="W124" s="50" t="s">
        <v>5168</v>
      </c>
    </row>
    <row r="125" spans="1:23" s="25" customFormat="1" ht="6.95" customHeight="1" x14ac:dyDescent="0.25">
      <c r="A125" s="26">
        <v>101</v>
      </c>
      <c r="B125" s="30" t="s">
        <v>8</v>
      </c>
      <c r="C125" s="61" t="s">
        <v>5493</v>
      </c>
      <c r="D125" s="51" t="s">
        <v>5009</v>
      </c>
      <c r="E125" s="52" t="s">
        <v>6003</v>
      </c>
      <c r="F125" s="51" t="s">
        <v>692</v>
      </c>
      <c r="G125" s="52" t="s">
        <v>692</v>
      </c>
      <c r="H125" s="73" t="s">
        <v>966</v>
      </c>
      <c r="I125" s="50" t="s">
        <v>1033</v>
      </c>
      <c r="J125" s="73" t="s">
        <v>1112</v>
      </c>
      <c r="K125" s="50" t="str">
        <f t="shared" si="1"/>
        <v>"LAV"</v>
      </c>
      <c r="L125" s="73" t="s">
        <v>895</v>
      </c>
      <c r="M125" s="50" t="s">
        <v>5169</v>
      </c>
      <c r="N125" s="73" t="s">
        <v>3656</v>
      </c>
      <c r="O125" s="50" t="s">
        <v>3679</v>
      </c>
      <c r="P125" s="73" t="s">
        <v>3655</v>
      </c>
      <c r="Q125" s="50" t="s">
        <v>3680</v>
      </c>
      <c r="R125" s="73" t="s">
        <v>4906</v>
      </c>
      <c r="S125" s="50" t="s">
        <v>5391</v>
      </c>
      <c r="T125" s="73" t="s">
        <v>692</v>
      </c>
      <c r="U125" s="50" t="s">
        <v>692</v>
      </c>
      <c r="V125" s="73" t="s">
        <v>5392</v>
      </c>
      <c r="W125" s="50" t="s">
        <v>5169</v>
      </c>
    </row>
    <row r="126" spans="1:23" s="25" customFormat="1" ht="6.95" customHeight="1" x14ac:dyDescent="0.25">
      <c r="A126" s="26">
        <v>102</v>
      </c>
      <c r="B126" s="30" t="s">
        <v>6</v>
      </c>
      <c r="C126" s="61" t="s">
        <v>5493</v>
      </c>
      <c r="D126" s="51" t="s">
        <v>5009</v>
      </c>
      <c r="E126" s="52" t="s">
        <v>6003</v>
      </c>
      <c r="F126" s="51" t="s">
        <v>692</v>
      </c>
      <c r="G126" s="52" t="s">
        <v>692</v>
      </c>
      <c r="H126" s="73" t="s">
        <v>966</v>
      </c>
      <c r="I126" s="50" t="s">
        <v>1033</v>
      </c>
      <c r="J126" s="73" t="s">
        <v>1112</v>
      </c>
      <c r="K126" s="50" t="str">
        <f t="shared" si="1"/>
        <v>"MIC"</v>
      </c>
      <c r="L126" s="73" t="s">
        <v>895</v>
      </c>
      <c r="M126" s="50" t="s">
        <v>5170</v>
      </c>
      <c r="N126" s="73" t="s">
        <v>3656</v>
      </c>
      <c r="O126" s="50" t="s">
        <v>3679</v>
      </c>
      <c r="P126" s="73" t="s">
        <v>3655</v>
      </c>
      <c r="Q126" s="50" t="s">
        <v>3680</v>
      </c>
      <c r="R126" s="73" t="s">
        <v>4906</v>
      </c>
      <c r="S126" s="50" t="s">
        <v>5391</v>
      </c>
      <c r="T126" s="73" t="s">
        <v>692</v>
      </c>
      <c r="U126" s="50" t="s">
        <v>692</v>
      </c>
      <c r="V126" s="73" t="s">
        <v>5392</v>
      </c>
      <c r="W126" s="50" t="s">
        <v>5170</v>
      </c>
    </row>
    <row r="127" spans="1:23" s="25" customFormat="1" ht="6.95" customHeight="1" x14ac:dyDescent="0.25">
      <c r="A127" s="26">
        <v>103</v>
      </c>
      <c r="B127" s="30" t="s">
        <v>95</v>
      </c>
      <c r="C127" s="61" t="s">
        <v>5493</v>
      </c>
      <c r="D127" s="51" t="s">
        <v>5009</v>
      </c>
      <c r="E127" s="52" t="s">
        <v>6003</v>
      </c>
      <c r="F127" s="51" t="s">
        <v>692</v>
      </c>
      <c r="G127" s="52" t="s">
        <v>692</v>
      </c>
      <c r="H127" s="73" t="s">
        <v>966</v>
      </c>
      <c r="I127" s="50" t="s">
        <v>1033</v>
      </c>
      <c r="J127" s="73" t="s">
        <v>1112</v>
      </c>
      <c r="K127" s="50" t="str">
        <f t="shared" si="1"/>
        <v>"MIS"</v>
      </c>
      <c r="L127" s="73" t="s">
        <v>895</v>
      </c>
      <c r="M127" s="50" t="s">
        <v>5171</v>
      </c>
      <c r="N127" s="73" t="s">
        <v>3656</v>
      </c>
      <c r="O127" s="50" t="s">
        <v>3679</v>
      </c>
      <c r="P127" s="73" t="s">
        <v>3655</v>
      </c>
      <c r="Q127" s="50" t="s">
        <v>3680</v>
      </c>
      <c r="R127" s="73" t="s">
        <v>4906</v>
      </c>
      <c r="S127" s="50" t="s">
        <v>5391</v>
      </c>
      <c r="T127" s="73" t="s">
        <v>692</v>
      </c>
      <c r="U127" s="50" t="s">
        <v>692</v>
      </c>
      <c r="V127" s="73" t="s">
        <v>5392</v>
      </c>
      <c r="W127" s="50" t="s">
        <v>5171</v>
      </c>
    </row>
    <row r="128" spans="1:23" s="25" customFormat="1" ht="6.95" customHeight="1" x14ac:dyDescent="0.25">
      <c r="A128" s="26">
        <v>104</v>
      </c>
      <c r="B128" s="30" t="s">
        <v>650</v>
      </c>
      <c r="C128" s="61" t="s">
        <v>5493</v>
      </c>
      <c r="D128" s="51" t="s">
        <v>5009</v>
      </c>
      <c r="E128" s="52" t="s">
        <v>6003</v>
      </c>
      <c r="F128" s="51" t="s">
        <v>692</v>
      </c>
      <c r="G128" s="52" t="s">
        <v>692</v>
      </c>
      <c r="H128" s="73" t="s">
        <v>966</v>
      </c>
      <c r="I128" s="50" t="s">
        <v>1033</v>
      </c>
      <c r="J128" s="73" t="s">
        <v>1112</v>
      </c>
      <c r="K128" s="50" t="str">
        <f t="shared" si="1"/>
        <v>"PIA"</v>
      </c>
      <c r="L128" s="73" t="s">
        <v>895</v>
      </c>
      <c r="M128" s="50" t="s">
        <v>5345</v>
      </c>
      <c r="N128" s="73" t="s">
        <v>3656</v>
      </c>
      <c r="O128" s="50" t="s">
        <v>3679</v>
      </c>
      <c r="P128" s="73" t="s">
        <v>3655</v>
      </c>
      <c r="Q128" s="50" t="s">
        <v>3680</v>
      </c>
      <c r="R128" s="73" t="s">
        <v>4906</v>
      </c>
      <c r="S128" s="50" t="s">
        <v>5391</v>
      </c>
      <c r="T128" s="73" t="s">
        <v>692</v>
      </c>
      <c r="U128" s="50" t="s">
        <v>692</v>
      </c>
      <c r="V128" s="73" t="s">
        <v>5392</v>
      </c>
      <c r="W128" s="50" t="s">
        <v>5345</v>
      </c>
    </row>
    <row r="129" spans="1:23" s="25" customFormat="1" ht="6.95" customHeight="1" x14ac:dyDescent="0.25">
      <c r="A129" s="26">
        <v>105</v>
      </c>
      <c r="B129" s="30" t="s">
        <v>25</v>
      </c>
      <c r="C129" s="61" t="s">
        <v>5493</v>
      </c>
      <c r="D129" s="51" t="s">
        <v>5009</v>
      </c>
      <c r="E129" s="52" t="s">
        <v>6003</v>
      </c>
      <c r="F129" s="51" t="s">
        <v>692</v>
      </c>
      <c r="G129" s="52" t="s">
        <v>692</v>
      </c>
      <c r="H129" s="73" t="s">
        <v>966</v>
      </c>
      <c r="I129" s="50" t="s">
        <v>1033</v>
      </c>
      <c r="J129" s="73" t="s">
        <v>1112</v>
      </c>
      <c r="K129" s="50" t="str">
        <f t="shared" si="1"/>
        <v>"SAN"</v>
      </c>
      <c r="L129" s="73" t="s">
        <v>895</v>
      </c>
      <c r="M129" s="50" t="s">
        <v>5172</v>
      </c>
      <c r="N129" s="73" t="s">
        <v>3656</v>
      </c>
      <c r="O129" s="50" t="s">
        <v>3679</v>
      </c>
      <c r="P129" s="73" t="s">
        <v>3655</v>
      </c>
      <c r="Q129" s="50" t="s">
        <v>3680</v>
      </c>
      <c r="R129" s="73" t="s">
        <v>4906</v>
      </c>
      <c r="S129" s="50" t="s">
        <v>5391</v>
      </c>
      <c r="T129" s="73" t="s">
        <v>692</v>
      </c>
      <c r="U129" s="50" t="s">
        <v>692</v>
      </c>
      <c r="V129" s="73" t="s">
        <v>5392</v>
      </c>
      <c r="W129" s="50" t="s">
        <v>5172</v>
      </c>
    </row>
    <row r="130" spans="1:23" s="25" customFormat="1" ht="6.95" customHeight="1" x14ac:dyDescent="0.25">
      <c r="A130" s="26">
        <v>106</v>
      </c>
      <c r="B130" s="30" t="s">
        <v>135</v>
      </c>
      <c r="C130" s="61" t="s">
        <v>5493</v>
      </c>
      <c r="D130" s="51" t="s">
        <v>5009</v>
      </c>
      <c r="E130" s="52" t="s">
        <v>6003</v>
      </c>
      <c r="F130" s="51" t="s">
        <v>692</v>
      </c>
      <c r="G130" s="52" t="s">
        <v>692</v>
      </c>
      <c r="H130" s="73" t="s">
        <v>966</v>
      </c>
      <c r="I130" s="50" t="s">
        <v>1033</v>
      </c>
      <c r="J130" s="73" t="s">
        <v>1112</v>
      </c>
      <c r="K130" s="50" t="str">
        <f t="shared" ref="K130:K193" si="2">_xlfn.CONCAT("""",B130,"""")</f>
        <v>"TAN"</v>
      </c>
      <c r="L130" s="73" t="s">
        <v>895</v>
      </c>
      <c r="M130" s="50" t="s">
        <v>5173</v>
      </c>
      <c r="N130" s="73" t="s">
        <v>3656</v>
      </c>
      <c r="O130" s="50" t="s">
        <v>3679</v>
      </c>
      <c r="P130" s="73" t="s">
        <v>3655</v>
      </c>
      <c r="Q130" s="50" t="s">
        <v>3680</v>
      </c>
      <c r="R130" s="73" t="s">
        <v>4906</v>
      </c>
      <c r="S130" s="50" t="s">
        <v>5391</v>
      </c>
      <c r="T130" s="73" t="s">
        <v>692</v>
      </c>
      <c r="U130" s="50" t="s">
        <v>692</v>
      </c>
      <c r="V130" s="73" t="s">
        <v>5392</v>
      </c>
      <c r="W130" s="50" t="s">
        <v>5173</v>
      </c>
    </row>
    <row r="131" spans="1:23" s="25" customFormat="1" ht="6.95" customHeight="1" x14ac:dyDescent="0.25">
      <c r="A131" s="26">
        <v>107</v>
      </c>
      <c r="B131" s="30" t="s">
        <v>17</v>
      </c>
      <c r="C131" s="61" t="s">
        <v>5493</v>
      </c>
      <c r="D131" s="51" t="s">
        <v>5009</v>
      </c>
      <c r="E131" s="52" t="s">
        <v>6003</v>
      </c>
      <c r="F131" s="51" t="s">
        <v>692</v>
      </c>
      <c r="G131" s="52" t="s">
        <v>692</v>
      </c>
      <c r="H131" s="73" t="s">
        <v>966</v>
      </c>
      <c r="I131" s="50" t="s">
        <v>1033</v>
      </c>
      <c r="J131" s="73" t="s">
        <v>1112</v>
      </c>
      <c r="K131" s="50" t="str">
        <f t="shared" si="2"/>
        <v>"VAS"</v>
      </c>
      <c r="L131" s="73" t="s">
        <v>895</v>
      </c>
      <c r="M131" s="50" t="s">
        <v>5174</v>
      </c>
      <c r="N131" s="73" t="s">
        <v>3656</v>
      </c>
      <c r="O131" s="50" t="s">
        <v>3679</v>
      </c>
      <c r="P131" s="73" t="s">
        <v>3655</v>
      </c>
      <c r="Q131" s="50" t="s">
        <v>3680</v>
      </c>
      <c r="R131" s="73" t="s">
        <v>4906</v>
      </c>
      <c r="S131" s="50" t="s">
        <v>5391</v>
      </c>
      <c r="T131" s="73" t="s">
        <v>692</v>
      </c>
      <c r="U131" s="50" t="s">
        <v>692</v>
      </c>
      <c r="V131" s="73" t="s">
        <v>5392</v>
      </c>
      <c r="W131" s="50" t="s">
        <v>5174</v>
      </c>
    </row>
    <row r="132" spans="1:23" s="25" customFormat="1" ht="6.95" customHeight="1" x14ac:dyDescent="0.25">
      <c r="A132" s="26">
        <v>108</v>
      </c>
      <c r="B132" s="30" t="s">
        <v>5033</v>
      </c>
      <c r="C132" s="61" t="s">
        <v>5493</v>
      </c>
      <c r="D132" s="51" t="s">
        <v>5009</v>
      </c>
      <c r="E132" s="52" t="s">
        <v>6003</v>
      </c>
      <c r="F132" s="51" t="s">
        <v>692</v>
      </c>
      <c r="G132" s="52" t="s">
        <v>692</v>
      </c>
      <c r="H132" s="73" t="s">
        <v>966</v>
      </c>
      <c r="I132" s="50" t="s">
        <v>1033</v>
      </c>
      <c r="J132" s="73" t="s">
        <v>1112</v>
      </c>
      <c r="K132" s="50" t="str">
        <f t="shared" si="2"/>
        <v>"SPK"</v>
      </c>
      <c r="L132" s="73" t="s">
        <v>895</v>
      </c>
      <c r="M132" s="50" t="s">
        <v>5175</v>
      </c>
      <c r="N132" s="73" t="s">
        <v>3656</v>
      </c>
      <c r="O132" s="50" t="s">
        <v>5034</v>
      </c>
      <c r="P132" s="73" t="s">
        <v>3655</v>
      </c>
      <c r="Q132" s="50" t="s">
        <v>4995</v>
      </c>
      <c r="R132" s="73" t="s">
        <v>4906</v>
      </c>
      <c r="S132" s="50" t="s">
        <v>5391</v>
      </c>
      <c r="T132" s="73" t="s">
        <v>692</v>
      </c>
      <c r="U132" s="50" t="s">
        <v>692</v>
      </c>
      <c r="V132" s="73" t="s">
        <v>5392</v>
      </c>
      <c r="W132" s="50" t="s">
        <v>5175</v>
      </c>
    </row>
    <row r="133" spans="1:23" s="25" customFormat="1" ht="6.95" customHeight="1" x14ac:dyDescent="0.25">
      <c r="A133" s="26">
        <v>109</v>
      </c>
      <c r="B133" s="30" t="s">
        <v>661</v>
      </c>
      <c r="C133" s="61" t="s">
        <v>5493</v>
      </c>
      <c r="D133" s="51" t="s">
        <v>5009</v>
      </c>
      <c r="E133" s="52" t="s">
        <v>6003</v>
      </c>
      <c r="F133" s="51" t="s">
        <v>692</v>
      </c>
      <c r="G133" s="52" t="s">
        <v>692</v>
      </c>
      <c r="H133" s="73" t="s">
        <v>966</v>
      </c>
      <c r="I133" s="50" t="s">
        <v>1033</v>
      </c>
      <c r="J133" s="73" t="s">
        <v>1112</v>
      </c>
      <c r="K133" s="50" t="str">
        <f t="shared" si="2"/>
        <v>"XTI"</v>
      </c>
      <c r="L133" s="73" t="s">
        <v>895</v>
      </c>
      <c r="M133" s="50" t="s">
        <v>5346</v>
      </c>
      <c r="N133" s="73" t="s">
        <v>3656</v>
      </c>
      <c r="O133" s="50" t="s">
        <v>4996</v>
      </c>
      <c r="P133" s="73" t="s">
        <v>3655</v>
      </c>
      <c r="Q133" s="50" t="s">
        <v>4995</v>
      </c>
      <c r="R133" s="73" t="s">
        <v>4906</v>
      </c>
      <c r="S133" s="50" t="s">
        <v>5391</v>
      </c>
      <c r="T133" s="73" t="s">
        <v>692</v>
      </c>
      <c r="U133" s="50" t="s">
        <v>692</v>
      </c>
      <c r="V133" s="73" t="s">
        <v>5392</v>
      </c>
      <c r="W133" s="50" t="s">
        <v>5346</v>
      </c>
    </row>
    <row r="134" spans="1:23" s="25" customFormat="1" ht="6.95" customHeight="1" x14ac:dyDescent="0.25">
      <c r="A134" s="26">
        <v>110</v>
      </c>
      <c r="B134" s="30" t="s">
        <v>675</v>
      </c>
      <c r="C134" s="61" t="s">
        <v>5493</v>
      </c>
      <c r="D134" s="51" t="s">
        <v>5009</v>
      </c>
      <c r="E134" s="52" t="s">
        <v>6003</v>
      </c>
      <c r="F134" s="51" t="s">
        <v>692</v>
      </c>
      <c r="G134" s="52" t="s">
        <v>692</v>
      </c>
      <c r="H134" s="73" t="s">
        <v>966</v>
      </c>
      <c r="I134" s="50" t="s">
        <v>1033</v>
      </c>
      <c r="J134" s="73" t="s">
        <v>1112</v>
      </c>
      <c r="K134" s="50" t="str">
        <f t="shared" si="2"/>
        <v>"VEG"</v>
      </c>
      <c r="L134" s="73" t="s">
        <v>895</v>
      </c>
      <c r="M134" s="50" t="s">
        <v>5176</v>
      </c>
      <c r="N134" s="73" t="s">
        <v>3656</v>
      </c>
      <c r="O134" s="50" t="s">
        <v>3677</v>
      </c>
      <c r="P134" s="73" t="s">
        <v>3655</v>
      </c>
      <c r="Q134" s="50" t="s">
        <v>4849</v>
      </c>
      <c r="R134" s="73" t="s">
        <v>4906</v>
      </c>
      <c r="S134" s="50" t="s">
        <v>4850</v>
      </c>
      <c r="T134" s="73" t="s">
        <v>692</v>
      </c>
      <c r="U134" s="50" t="s">
        <v>692</v>
      </c>
      <c r="V134" s="73" t="s">
        <v>5392</v>
      </c>
      <c r="W134" s="50" t="s">
        <v>5176</v>
      </c>
    </row>
    <row r="135" spans="1:23" s="25" customFormat="1" ht="6.95" customHeight="1" x14ac:dyDescent="0.25">
      <c r="A135" s="26">
        <v>111</v>
      </c>
      <c r="B135" s="30" t="s">
        <v>91</v>
      </c>
      <c r="C135" s="61" t="s">
        <v>5493</v>
      </c>
      <c r="D135" s="51" t="s">
        <v>5009</v>
      </c>
      <c r="E135" s="52" t="s">
        <v>6003</v>
      </c>
      <c r="F135" s="51" t="s">
        <v>692</v>
      </c>
      <c r="G135" s="52" t="s">
        <v>692</v>
      </c>
      <c r="H135" s="73" t="s">
        <v>966</v>
      </c>
      <c r="I135" s="50" t="s">
        <v>1033</v>
      </c>
      <c r="J135" s="73" t="s">
        <v>1112</v>
      </c>
      <c r="K135" s="50" t="str">
        <f t="shared" si="2"/>
        <v>"VEI"</v>
      </c>
      <c r="L135" s="73" t="s">
        <v>895</v>
      </c>
      <c r="M135" s="50" t="s">
        <v>5177</v>
      </c>
      <c r="N135" s="73" t="s">
        <v>3656</v>
      </c>
      <c r="O135" s="50" t="s">
        <v>3678</v>
      </c>
      <c r="P135" s="73" t="s">
        <v>3655</v>
      </c>
      <c r="Q135" s="50" t="s">
        <v>4848</v>
      </c>
      <c r="R135" s="73" t="s">
        <v>4906</v>
      </c>
      <c r="S135" s="50" t="s">
        <v>5391</v>
      </c>
      <c r="T135" s="73" t="s">
        <v>692</v>
      </c>
      <c r="U135" s="50" t="s">
        <v>692</v>
      </c>
      <c r="V135" s="73" t="s">
        <v>5392</v>
      </c>
      <c r="W135" s="50" t="s">
        <v>5177</v>
      </c>
    </row>
    <row r="136" spans="1:23" s="25" customFormat="1" ht="6.95" customHeight="1" x14ac:dyDescent="0.25">
      <c r="A136" s="26">
        <v>112</v>
      </c>
      <c r="B136" s="30" t="s">
        <v>291</v>
      </c>
      <c r="C136" s="61" t="s">
        <v>5493</v>
      </c>
      <c r="D136" s="51" t="s">
        <v>5009</v>
      </c>
      <c r="E136" s="52" t="s">
        <v>6003</v>
      </c>
      <c r="F136" s="51" t="s">
        <v>692</v>
      </c>
      <c r="G136" s="52" t="s">
        <v>692</v>
      </c>
      <c r="H136" s="73" t="s">
        <v>966</v>
      </c>
      <c r="I136" s="50" t="s">
        <v>1034</v>
      </c>
      <c r="J136" s="73" t="s">
        <v>1112</v>
      </c>
      <c r="K136" s="50" t="str">
        <f t="shared" si="2"/>
        <v>"MAR"</v>
      </c>
      <c r="L136" s="73" t="s">
        <v>895</v>
      </c>
      <c r="M136" s="50" t="s">
        <v>5178</v>
      </c>
      <c r="N136" s="73" t="s">
        <v>3656</v>
      </c>
      <c r="O136" s="50" t="s">
        <v>4854</v>
      </c>
      <c r="P136" s="73" t="s">
        <v>3655</v>
      </c>
      <c r="Q136" s="50" t="s">
        <v>4853</v>
      </c>
      <c r="R136" s="73" t="s">
        <v>4906</v>
      </c>
      <c r="S136" s="50" t="s">
        <v>5391</v>
      </c>
      <c r="T136" s="73" t="s">
        <v>692</v>
      </c>
      <c r="U136" s="50" t="s">
        <v>692</v>
      </c>
      <c r="V136" s="73" t="s">
        <v>5392</v>
      </c>
      <c r="W136" s="50" t="s">
        <v>5178</v>
      </c>
    </row>
    <row r="137" spans="1:23" s="25" customFormat="1" ht="6.95" customHeight="1" x14ac:dyDescent="0.25">
      <c r="A137" s="26">
        <v>113</v>
      </c>
      <c r="B137" s="30" t="s">
        <v>993</v>
      </c>
      <c r="C137" s="61" t="s">
        <v>5493</v>
      </c>
      <c r="D137" s="51" t="s">
        <v>5009</v>
      </c>
      <c r="E137" s="52" t="s">
        <v>6003</v>
      </c>
      <c r="F137" s="51" t="s">
        <v>692</v>
      </c>
      <c r="G137" s="52" t="s">
        <v>692</v>
      </c>
      <c r="H137" s="73" t="s">
        <v>966</v>
      </c>
      <c r="I137" s="50" t="s">
        <v>1034</v>
      </c>
      <c r="J137" s="73" t="s">
        <v>1112</v>
      </c>
      <c r="K137" s="50" t="str">
        <f t="shared" si="2"/>
        <v>"MCA"</v>
      </c>
      <c r="L137" s="73" t="s">
        <v>895</v>
      </c>
      <c r="M137" s="50" t="s">
        <v>5179</v>
      </c>
      <c r="N137" s="73" t="s">
        <v>3656</v>
      </c>
      <c r="O137" s="50" t="s">
        <v>3675</v>
      </c>
      <c r="P137" s="73" t="s">
        <v>3655</v>
      </c>
      <c r="Q137" s="50" t="s">
        <v>3676</v>
      </c>
      <c r="R137" s="73" t="s">
        <v>4906</v>
      </c>
      <c r="S137" s="50" t="s">
        <v>5391</v>
      </c>
      <c r="T137" s="73" t="s">
        <v>692</v>
      </c>
      <c r="U137" s="50" t="s">
        <v>692</v>
      </c>
      <c r="V137" s="73" t="s">
        <v>5392</v>
      </c>
      <c r="W137" s="50" t="s">
        <v>5179</v>
      </c>
    </row>
    <row r="138" spans="1:23" s="25" customFormat="1" ht="6.95" customHeight="1" x14ac:dyDescent="0.25">
      <c r="A138" s="26">
        <v>114</v>
      </c>
      <c r="B138" s="30" t="s">
        <v>239</v>
      </c>
      <c r="C138" s="61" t="s">
        <v>5493</v>
      </c>
      <c r="D138" s="51" t="s">
        <v>5009</v>
      </c>
      <c r="E138" s="52" t="s">
        <v>6003</v>
      </c>
      <c r="F138" s="51" t="s">
        <v>692</v>
      </c>
      <c r="G138" s="52" t="s">
        <v>692</v>
      </c>
      <c r="H138" s="73" t="s">
        <v>966</v>
      </c>
      <c r="I138" s="50" t="s">
        <v>1034</v>
      </c>
      <c r="J138" s="73" t="s">
        <v>1112</v>
      </c>
      <c r="K138" s="50" t="str">
        <f t="shared" si="2"/>
        <v>"MOC"</v>
      </c>
      <c r="L138" s="73" t="s">
        <v>895</v>
      </c>
      <c r="M138" s="50" t="s">
        <v>5180</v>
      </c>
      <c r="N138" s="73" t="s">
        <v>3656</v>
      </c>
      <c r="O138" s="50" t="s">
        <v>3675</v>
      </c>
      <c r="P138" s="73" t="s">
        <v>3655</v>
      </c>
      <c r="Q138" s="50" t="s">
        <v>3676</v>
      </c>
      <c r="R138" s="73" t="s">
        <v>4906</v>
      </c>
      <c r="S138" s="50" t="s">
        <v>5391</v>
      </c>
      <c r="T138" s="73" t="s">
        <v>692</v>
      </c>
      <c r="U138" s="50" t="s">
        <v>692</v>
      </c>
      <c r="V138" s="73" t="s">
        <v>5392</v>
      </c>
      <c r="W138" s="50" t="s">
        <v>5180</v>
      </c>
    </row>
    <row r="139" spans="1:23" s="25" customFormat="1" ht="6.95" customHeight="1" x14ac:dyDescent="0.25">
      <c r="A139" s="26">
        <v>115</v>
      </c>
      <c r="B139" s="30" t="s">
        <v>995</v>
      </c>
      <c r="C139" s="61" t="s">
        <v>5493</v>
      </c>
      <c r="D139" s="51" t="s">
        <v>5009</v>
      </c>
      <c r="E139" s="52" t="s">
        <v>6003</v>
      </c>
      <c r="F139" s="51" t="s">
        <v>692</v>
      </c>
      <c r="G139" s="52" t="s">
        <v>692</v>
      </c>
      <c r="H139" s="73" t="s">
        <v>966</v>
      </c>
      <c r="I139" s="50" t="s">
        <v>1034</v>
      </c>
      <c r="J139" s="73" t="s">
        <v>1112</v>
      </c>
      <c r="K139" s="50" t="str">
        <f t="shared" si="2"/>
        <v>"MEQ"</v>
      </c>
      <c r="L139" s="73" t="s">
        <v>895</v>
      </c>
      <c r="M139" s="50" t="s">
        <v>5347</v>
      </c>
      <c r="N139" s="73" t="s">
        <v>3656</v>
      </c>
      <c r="O139" s="50" t="s">
        <v>3675</v>
      </c>
      <c r="P139" s="73" t="s">
        <v>3655</v>
      </c>
      <c r="Q139" s="50" t="s">
        <v>3676</v>
      </c>
      <c r="R139" s="73" t="s">
        <v>4906</v>
      </c>
      <c r="S139" s="50" t="s">
        <v>5391</v>
      </c>
      <c r="T139" s="73" t="s">
        <v>692</v>
      </c>
      <c r="U139" s="50" t="s">
        <v>692</v>
      </c>
      <c r="V139" s="73" t="s">
        <v>5392</v>
      </c>
      <c r="W139" s="50" t="s">
        <v>5347</v>
      </c>
    </row>
    <row r="140" spans="1:23" s="25" customFormat="1" ht="6.95" customHeight="1" x14ac:dyDescent="0.25">
      <c r="A140" s="26">
        <v>116</v>
      </c>
      <c r="B140" s="30" t="s">
        <v>994</v>
      </c>
      <c r="C140" s="61" t="s">
        <v>5493</v>
      </c>
      <c r="D140" s="51" t="s">
        <v>5009</v>
      </c>
      <c r="E140" s="52" t="s">
        <v>6003</v>
      </c>
      <c r="F140" s="51" t="s">
        <v>692</v>
      </c>
      <c r="G140" s="52" t="s">
        <v>692</v>
      </c>
      <c r="H140" s="73" t="s">
        <v>966</v>
      </c>
      <c r="I140" s="50" t="s">
        <v>1034</v>
      </c>
      <c r="J140" s="73" t="s">
        <v>1112</v>
      </c>
      <c r="K140" s="50" t="str">
        <f t="shared" si="2"/>
        <v>"MME"</v>
      </c>
      <c r="L140" s="73" t="s">
        <v>895</v>
      </c>
      <c r="M140" s="50" t="s">
        <v>5181</v>
      </c>
      <c r="N140" s="73" t="s">
        <v>3656</v>
      </c>
      <c r="O140" s="50" t="s">
        <v>3675</v>
      </c>
      <c r="P140" s="73" t="s">
        <v>3655</v>
      </c>
      <c r="Q140" s="50" t="s">
        <v>3676</v>
      </c>
      <c r="R140" s="73" t="s">
        <v>4906</v>
      </c>
      <c r="S140" s="50" t="s">
        <v>5391</v>
      </c>
      <c r="T140" s="73" t="s">
        <v>692</v>
      </c>
      <c r="U140" s="50" t="s">
        <v>692</v>
      </c>
      <c r="V140" s="73" t="s">
        <v>5392</v>
      </c>
      <c r="W140" s="50" t="s">
        <v>5181</v>
      </c>
    </row>
    <row r="141" spans="1:23" s="25" customFormat="1" ht="6.95" customHeight="1" x14ac:dyDescent="0.25">
      <c r="A141" s="26">
        <v>117</v>
      </c>
      <c r="B141" s="30" t="s">
        <v>996</v>
      </c>
      <c r="C141" s="61" t="s">
        <v>5493</v>
      </c>
      <c r="D141" s="51" t="s">
        <v>5009</v>
      </c>
      <c r="E141" s="52" t="s">
        <v>6003</v>
      </c>
      <c r="F141" s="51" t="s">
        <v>692</v>
      </c>
      <c r="G141" s="52" t="s">
        <v>692</v>
      </c>
      <c r="H141" s="73" t="s">
        <v>966</v>
      </c>
      <c r="I141" s="50" t="s">
        <v>1034</v>
      </c>
      <c r="J141" s="73" t="s">
        <v>1112</v>
      </c>
      <c r="K141" s="50" t="str">
        <f t="shared" si="2"/>
        <v>"MGE"</v>
      </c>
      <c r="L141" s="73" t="s">
        <v>895</v>
      </c>
      <c r="M141" s="50" t="s">
        <v>5182</v>
      </c>
      <c r="N141" s="73" t="s">
        <v>3656</v>
      </c>
      <c r="O141" s="50" t="s">
        <v>3675</v>
      </c>
      <c r="P141" s="73" t="s">
        <v>3655</v>
      </c>
      <c r="Q141" s="50" t="s">
        <v>3676</v>
      </c>
      <c r="R141" s="73" t="s">
        <v>4906</v>
      </c>
      <c r="S141" s="50" t="s">
        <v>5391</v>
      </c>
      <c r="T141" s="73" t="s">
        <v>692</v>
      </c>
      <c r="U141" s="50" t="s">
        <v>692</v>
      </c>
      <c r="V141" s="73" t="s">
        <v>5392</v>
      </c>
      <c r="W141" s="50" t="s">
        <v>5182</v>
      </c>
    </row>
    <row r="142" spans="1:23" s="25" customFormat="1" ht="6.95" customHeight="1" x14ac:dyDescent="0.25">
      <c r="A142" s="26">
        <v>118</v>
      </c>
      <c r="B142" s="30" t="s">
        <v>997</v>
      </c>
      <c r="C142" s="61" t="s">
        <v>5493</v>
      </c>
      <c r="D142" s="51" t="s">
        <v>5009</v>
      </c>
      <c r="E142" s="52" t="s">
        <v>6003</v>
      </c>
      <c r="F142" s="51" t="s">
        <v>692</v>
      </c>
      <c r="G142" s="52" t="s">
        <v>692</v>
      </c>
      <c r="H142" s="73" t="s">
        <v>966</v>
      </c>
      <c r="I142" s="50" t="s">
        <v>1034</v>
      </c>
      <c r="J142" s="73" t="s">
        <v>1112</v>
      </c>
      <c r="K142" s="50" t="str">
        <f t="shared" si="2"/>
        <v>"MSO"</v>
      </c>
      <c r="L142" s="73" t="s">
        <v>895</v>
      </c>
      <c r="M142" s="50" t="s">
        <v>5183</v>
      </c>
      <c r="N142" s="73" t="s">
        <v>3656</v>
      </c>
      <c r="O142" s="50" t="s">
        <v>3675</v>
      </c>
      <c r="P142" s="73" t="s">
        <v>3655</v>
      </c>
      <c r="Q142" s="50" t="s">
        <v>3676</v>
      </c>
      <c r="R142" s="73" t="s">
        <v>4906</v>
      </c>
      <c r="S142" s="50" t="s">
        <v>5391</v>
      </c>
      <c r="T142" s="73" t="s">
        <v>692</v>
      </c>
      <c r="U142" s="50" t="s">
        <v>692</v>
      </c>
      <c r="V142" s="73" t="s">
        <v>5392</v>
      </c>
      <c r="W142" s="50" t="s">
        <v>5183</v>
      </c>
    </row>
    <row r="143" spans="1:23" s="25" customFormat="1" ht="6.95" customHeight="1" x14ac:dyDescent="0.25">
      <c r="A143" s="26">
        <v>119</v>
      </c>
      <c r="B143" s="30" t="s">
        <v>1046</v>
      </c>
      <c r="C143" s="61" t="s">
        <v>5493</v>
      </c>
      <c r="D143" s="51" t="s">
        <v>5009</v>
      </c>
      <c r="E143" s="52" t="s">
        <v>6003</v>
      </c>
      <c r="F143" s="51" t="s">
        <v>692</v>
      </c>
      <c r="G143" s="52" t="s">
        <v>692</v>
      </c>
      <c r="H143" s="73" t="s">
        <v>966</v>
      </c>
      <c r="I143" s="50" t="s">
        <v>4887</v>
      </c>
      <c r="J143" s="73" t="s">
        <v>1112</v>
      </c>
      <c r="K143" s="50" t="str">
        <f t="shared" si="2"/>
        <v>"ALM"</v>
      </c>
      <c r="L143" s="73" t="s">
        <v>895</v>
      </c>
      <c r="M143" s="50" t="s">
        <v>5184</v>
      </c>
      <c r="N143" s="73" t="s">
        <v>3656</v>
      </c>
      <c r="O143" s="50" t="s">
        <v>4905</v>
      </c>
      <c r="P143" s="73" t="s">
        <v>3655</v>
      </c>
      <c r="Q143" s="50" t="s">
        <v>4856</v>
      </c>
      <c r="R143" s="73" t="s">
        <v>4906</v>
      </c>
      <c r="S143" s="50" t="s">
        <v>5391</v>
      </c>
      <c r="T143" s="73" t="s">
        <v>692</v>
      </c>
      <c r="U143" s="50" t="s">
        <v>692</v>
      </c>
      <c r="V143" s="73" t="s">
        <v>5392</v>
      </c>
      <c r="W143" s="50" t="s">
        <v>5184</v>
      </c>
    </row>
    <row r="144" spans="1:23" s="25" customFormat="1" ht="6.95" customHeight="1" x14ac:dyDescent="0.25">
      <c r="A144" s="26">
        <v>120</v>
      </c>
      <c r="B144" s="30" t="s">
        <v>389</v>
      </c>
      <c r="C144" s="61" t="s">
        <v>5493</v>
      </c>
      <c r="D144" s="51" t="s">
        <v>5009</v>
      </c>
      <c r="E144" s="52" t="s">
        <v>6003</v>
      </c>
      <c r="F144" s="51" t="s">
        <v>692</v>
      </c>
      <c r="G144" s="52" t="s">
        <v>692</v>
      </c>
      <c r="H144" s="73" t="s">
        <v>966</v>
      </c>
      <c r="I144" s="50" t="s">
        <v>4887</v>
      </c>
      <c r="J144" s="73" t="s">
        <v>1112</v>
      </c>
      <c r="K144" s="50" t="str">
        <f t="shared" si="2"/>
        <v>"CAM"</v>
      </c>
      <c r="L144" s="73" t="s">
        <v>895</v>
      </c>
      <c r="M144" s="50" t="s">
        <v>5185</v>
      </c>
      <c r="N144" s="73" t="s">
        <v>3656</v>
      </c>
      <c r="O144" s="71" t="s">
        <v>4892</v>
      </c>
      <c r="P144" s="73" t="s">
        <v>3655</v>
      </c>
      <c r="Q144" s="72" t="s">
        <v>4855</v>
      </c>
      <c r="R144" s="73" t="s">
        <v>4906</v>
      </c>
      <c r="S144" s="50" t="s">
        <v>5391</v>
      </c>
      <c r="T144" s="73" t="s">
        <v>692</v>
      </c>
      <c r="U144" s="50" t="s">
        <v>692</v>
      </c>
      <c r="V144" s="73" t="s">
        <v>5392</v>
      </c>
      <c r="W144" s="50" t="s">
        <v>5185</v>
      </c>
    </row>
    <row r="145" spans="1:23" s="25" customFormat="1" ht="6.95" customHeight="1" x14ac:dyDescent="0.25">
      <c r="A145" s="26">
        <v>121</v>
      </c>
      <c r="B145" s="30" t="s">
        <v>1035</v>
      </c>
      <c r="C145" s="61" t="s">
        <v>5493</v>
      </c>
      <c r="D145" s="51" t="s">
        <v>5009</v>
      </c>
      <c r="E145" s="52" t="s">
        <v>6003</v>
      </c>
      <c r="F145" s="51" t="s">
        <v>692</v>
      </c>
      <c r="G145" s="52" t="s">
        <v>692</v>
      </c>
      <c r="H145" s="73" t="s">
        <v>966</v>
      </c>
      <c r="I145" s="50" t="s">
        <v>4887</v>
      </c>
      <c r="J145" s="73" t="s">
        <v>1112</v>
      </c>
      <c r="K145" s="50" t="str">
        <f t="shared" si="2"/>
        <v>"CNX"</v>
      </c>
      <c r="L145" s="73" t="s">
        <v>895</v>
      </c>
      <c r="M145" s="50" t="s">
        <v>5186</v>
      </c>
      <c r="N145" s="73" t="s">
        <v>3656</v>
      </c>
      <c r="O145" s="71" t="s">
        <v>4890</v>
      </c>
      <c r="P145" s="73" t="s">
        <v>3655</v>
      </c>
      <c r="Q145" s="71" t="s">
        <v>4882</v>
      </c>
      <c r="R145" s="73" t="s">
        <v>4906</v>
      </c>
      <c r="S145" s="50" t="s">
        <v>4862</v>
      </c>
      <c r="T145" s="73" t="s">
        <v>692</v>
      </c>
      <c r="U145" s="50" t="s">
        <v>692</v>
      </c>
      <c r="V145" s="73" t="s">
        <v>5392</v>
      </c>
      <c r="W145" s="50" t="s">
        <v>5186</v>
      </c>
    </row>
    <row r="146" spans="1:23" s="25" customFormat="1" ht="6.95" customHeight="1" x14ac:dyDescent="0.25">
      <c r="A146" s="26">
        <v>122</v>
      </c>
      <c r="B146" s="30" t="s">
        <v>4885</v>
      </c>
      <c r="C146" s="61" t="s">
        <v>5493</v>
      </c>
      <c r="D146" s="51" t="s">
        <v>5009</v>
      </c>
      <c r="E146" s="52" t="s">
        <v>6003</v>
      </c>
      <c r="F146" s="51" t="s">
        <v>692</v>
      </c>
      <c r="G146" s="52" t="s">
        <v>692</v>
      </c>
      <c r="H146" s="73" t="s">
        <v>966</v>
      </c>
      <c r="I146" s="50" t="s">
        <v>4887</v>
      </c>
      <c r="J146" s="73" t="s">
        <v>1112</v>
      </c>
      <c r="K146" s="50" t="str">
        <f t="shared" si="2"/>
        <v>"DUT"</v>
      </c>
      <c r="L146" s="73" t="s">
        <v>895</v>
      </c>
      <c r="M146" s="50" t="s">
        <v>5348</v>
      </c>
      <c r="N146" s="73" t="s">
        <v>3656</v>
      </c>
      <c r="O146" s="71" t="s">
        <v>4889</v>
      </c>
      <c r="P146" s="73" t="s">
        <v>3655</v>
      </c>
      <c r="Q146" s="50" t="s">
        <v>4888</v>
      </c>
      <c r="R146" s="73" t="s">
        <v>4906</v>
      </c>
      <c r="S146" s="50" t="s">
        <v>5391</v>
      </c>
      <c r="T146" s="73" t="s">
        <v>692</v>
      </c>
      <c r="U146" s="50" t="s">
        <v>692</v>
      </c>
      <c r="V146" s="73" t="s">
        <v>5392</v>
      </c>
      <c r="W146" s="50" t="s">
        <v>5348</v>
      </c>
    </row>
    <row r="147" spans="1:23" s="25" customFormat="1" ht="6.95" customHeight="1" x14ac:dyDescent="0.25">
      <c r="A147" s="26">
        <v>123</v>
      </c>
      <c r="B147" s="30" t="s">
        <v>1051</v>
      </c>
      <c r="C147" s="61" t="s">
        <v>5493</v>
      </c>
      <c r="D147" s="51" t="s">
        <v>5009</v>
      </c>
      <c r="E147" s="52" t="s">
        <v>6003</v>
      </c>
      <c r="F147" s="51" t="s">
        <v>692</v>
      </c>
      <c r="G147" s="52" t="s">
        <v>692</v>
      </c>
      <c r="H147" s="73" t="s">
        <v>966</v>
      </c>
      <c r="I147" s="50" t="s">
        <v>4887</v>
      </c>
      <c r="J147" s="73" t="s">
        <v>1112</v>
      </c>
      <c r="K147" s="50" t="str">
        <f t="shared" si="2"/>
        <v>"ITE"</v>
      </c>
      <c r="L147" s="73" t="s">
        <v>895</v>
      </c>
      <c r="M147" s="50" t="s">
        <v>5187</v>
      </c>
      <c r="N147" s="73" t="s">
        <v>3656</v>
      </c>
      <c r="O147" s="71" t="s">
        <v>4884</v>
      </c>
      <c r="P147" s="73" t="s">
        <v>3655</v>
      </c>
      <c r="Q147" s="50" t="s">
        <v>4880</v>
      </c>
      <c r="R147" s="73" t="s">
        <v>4906</v>
      </c>
      <c r="S147" s="50" t="s">
        <v>5391</v>
      </c>
      <c r="T147" s="73" t="s">
        <v>692</v>
      </c>
      <c r="U147" s="50" t="s">
        <v>692</v>
      </c>
      <c r="V147" s="73" t="s">
        <v>5392</v>
      </c>
      <c r="W147" s="50" t="s">
        <v>5187</v>
      </c>
    </row>
    <row r="148" spans="1:23" s="25" customFormat="1" ht="6.95" customHeight="1" x14ac:dyDescent="0.25">
      <c r="A148" s="26">
        <v>124</v>
      </c>
      <c r="B148" s="30" t="s">
        <v>1049</v>
      </c>
      <c r="C148" s="61" t="s">
        <v>5493</v>
      </c>
      <c r="D148" s="51" t="s">
        <v>5009</v>
      </c>
      <c r="E148" s="52" t="s">
        <v>6003</v>
      </c>
      <c r="F148" s="51" t="s">
        <v>692</v>
      </c>
      <c r="G148" s="52" t="s">
        <v>692</v>
      </c>
      <c r="H148" s="73" t="s">
        <v>966</v>
      </c>
      <c r="I148" s="50" t="s">
        <v>4887</v>
      </c>
      <c r="J148" s="73" t="s">
        <v>1112</v>
      </c>
      <c r="K148" s="50" t="str">
        <f t="shared" si="2"/>
        <v>"LHA"</v>
      </c>
      <c r="L148" s="73" t="s">
        <v>895</v>
      </c>
      <c r="M148" s="50" t="s">
        <v>5188</v>
      </c>
      <c r="N148" s="73" t="s">
        <v>3656</v>
      </c>
      <c r="O148" s="71" t="s">
        <v>4883</v>
      </c>
      <c r="P148" s="73" t="s">
        <v>3655</v>
      </c>
      <c r="Q148" s="50" t="s">
        <v>4881</v>
      </c>
      <c r="R148" s="73" t="s">
        <v>4906</v>
      </c>
      <c r="S148" s="50" t="s">
        <v>5391</v>
      </c>
      <c r="T148" s="73" t="s">
        <v>692</v>
      </c>
      <c r="U148" s="50" t="s">
        <v>692</v>
      </c>
      <c r="V148" s="73" t="s">
        <v>5392</v>
      </c>
      <c r="W148" s="50" t="s">
        <v>5188</v>
      </c>
    </row>
    <row r="149" spans="1:23" s="25" customFormat="1" ht="6.95" customHeight="1" x14ac:dyDescent="0.25">
      <c r="A149" s="26">
        <v>125</v>
      </c>
      <c r="B149" s="30" t="s">
        <v>52</v>
      </c>
      <c r="C149" s="61" t="s">
        <v>5493</v>
      </c>
      <c r="D149" s="51" t="s">
        <v>5009</v>
      </c>
      <c r="E149" s="52" t="s">
        <v>6003</v>
      </c>
      <c r="F149" s="51" t="s">
        <v>692</v>
      </c>
      <c r="G149" s="52" t="s">
        <v>692</v>
      </c>
      <c r="H149" s="73" t="s">
        <v>966</v>
      </c>
      <c r="I149" s="50" t="s">
        <v>4887</v>
      </c>
      <c r="J149" s="73" t="s">
        <v>1112</v>
      </c>
      <c r="K149" s="50" t="str">
        <f t="shared" si="2"/>
        <v>"LUM"</v>
      </c>
      <c r="L149" s="73" t="s">
        <v>895</v>
      </c>
      <c r="M149" s="50" t="s">
        <v>5189</v>
      </c>
      <c r="N149" s="73" t="s">
        <v>3656</v>
      </c>
      <c r="O149" s="50" t="s">
        <v>4860</v>
      </c>
      <c r="P149" s="73" t="s">
        <v>3655</v>
      </c>
      <c r="Q149" s="50" t="s">
        <v>4859</v>
      </c>
      <c r="R149" s="73" t="s">
        <v>4906</v>
      </c>
      <c r="S149" s="50" t="s">
        <v>5391</v>
      </c>
      <c r="T149" s="73" t="s">
        <v>692</v>
      </c>
      <c r="U149" s="50" t="s">
        <v>692</v>
      </c>
      <c r="V149" s="73" t="s">
        <v>5392</v>
      </c>
      <c r="W149" s="50" t="s">
        <v>5189</v>
      </c>
    </row>
    <row r="150" spans="1:23" s="25" customFormat="1" ht="6.95" customHeight="1" x14ac:dyDescent="0.25">
      <c r="A150" s="26">
        <v>126</v>
      </c>
      <c r="B150" s="30" t="s">
        <v>1044</v>
      </c>
      <c r="C150" s="61" t="s">
        <v>5493</v>
      </c>
      <c r="D150" s="51" t="s">
        <v>5009</v>
      </c>
      <c r="E150" s="52" t="s">
        <v>6003</v>
      </c>
      <c r="F150" s="51" t="s">
        <v>692</v>
      </c>
      <c r="G150" s="52" t="s">
        <v>692</v>
      </c>
      <c r="H150" s="73" t="s">
        <v>966</v>
      </c>
      <c r="I150" s="50" t="s">
        <v>4887</v>
      </c>
      <c r="J150" s="73" t="s">
        <v>1112</v>
      </c>
      <c r="K150" s="50" t="str">
        <f t="shared" si="2"/>
        <v>"QFO"</v>
      </c>
      <c r="L150" s="73" t="s">
        <v>895</v>
      </c>
      <c r="M150" s="50" t="s">
        <v>5349</v>
      </c>
      <c r="N150" s="73" t="s">
        <v>3656</v>
      </c>
      <c r="O150" s="50" t="s">
        <v>4891</v>
      </c>
      <c r="P150" s="73" t="s">
        <v>3655</v>
      </c>
      <c r="Q150" s="50" t="s">
        <v>4858</v>
      </c>
      <c r="R150" s="73" t="s">
        <v>4906</v>
      </c>
      <c r="S150" s="50" t="s">
        <v>5391</v>
      </c>
      <c r="T150" s="73" t="s">
        <v>692</v>
      </c>
      <c r="U150" s="50" t="s">
        <v>692</v>
      </c>
      <c r="V150" s="73" t="s">
        <v>5392</v>
      </c>
      <c r="W150" s="50" t="s">
        <v>5349</v>
      </c>
    </row>
    <row r="151" spans="1:23" s="25" customFormat="1" ht="6.95" customHeight="1" x14ac:dyDescent="0.25">
      <c r="A151" s="26">
        <v>127</v>
      </c>
      <c r="B151" s="30" t="s">
        <v>1042</v>
      </c>
      <c r="C151" s="61" t="s">
        <v>5493</v>
      </c>
      <c r="D151" s="51" t="s">
        <v>5009</v>
      </c>
      <c r="E151" s="52" t="s">
        <v>6003</v>
      </c>
      <c r="F151" s="51" t="s">
        <v>692</v>
      </c>
      <c r="G151" s="52" t="s">
        <v>692</v>
      </c>
      <c r="H151" s="73" t="s">
        <v>966</v>
      </c>
      <c r="I151" s="50" t="s">
        <v>4887</v>
      </c>
      <c r="J151" s="73" t="s">
        <v>1112</v>
      </c>
      <c r="K151" s="50" t="str">
        <f t="shared" si="2"/>
        <v>"QLU"</v>
      </c>
      <c r="L151" s="73" t="s">
        <v>895</v>
      </c>
      <c r="M151" s="50" t="s">
        <v>5350</v>
      </c>
      <c r="N151" s="73" t="s">
        <v>3656</v>
      </c>
      <c r="O151" s="50" t="s">
        <v>4891</v>
      </c>
      <c r="P151" s="73" t="s">
        <v>3655</v>
      </c>
      <c r="Q151" s="50" t="s">
        <v>4858</v>
      </c>
      <c r="R151" s="73" t="s">
        <v>4906</v>
      </c>
      <c r="S151" s="50" t="s">
        <v>5391</v>
      </c>
      <c r="T151" s="73" t="s">
        <v>692</v>
      </c>
      <c r="U151" s="50" t="s">
        <v>692</v>
      </c>
      <c r="V151" s="73" t="s">
        <v>5392</v>
      </c>
      <c r="W151" s="50" t="s">
        <v>5350</v>
      </c>
    </row>
    <row r="152" spans="1:23" s="25" customFormat="1" ht="6.95" customHeight="1" x14ac:dyDescent="0.25">
      <c r="A152" s="26">
        <v>128</v>
      </c>
      <c r="B152" s="30" t="s">
        <v>1040</v>
      </c>
      <c r="C152" s="61" t="s">
        <v>5493</v>
      </c>
      <c r="D152" s="51" t="s">
        <v>5009</v>
      </c>
      <c r="E152" s="52" t="s">
        <v>6003</v>
      </c>
      <c r="F152" s="51" t="s">
        <v>692</v>
      </c>
      <c r="G152" s="52" t="s">
        <v>692</v>
      </c>
      <c r="H152" s="73" t="s">
        <v>966</v>
      </c>
      <c r="I152" s="50" t="s">
        <v>4887</v>
      </c>
      <c r="J152" s="73" t="s">
        <v>1112</v>
      </c>
      <c r="K152" s="50" t="str">
        <f t="shared" si="2"/>
        <v>"RUP"</v>
      </c>
      <c r="L152" s="73" t="s">
        <v>895</v>
      </c>
      <c r="M152" s="50" t="s">
        <v>5190</v>
      </c>
      <c r="N152" s="73" t="s">
        <v>3656</v>
      </c>
      <c r="O152" s="50" t="s">
        <v>4852</v>
      </c>
      <c r="P152" s="73" t="s">
        <v>3655</v>
      </c>
      <c r="Q152" s="50" t="s">
        <v>4851</v>
      </c>
      <c r="R152" s="73" t="s">
        <v>4906</v>
      </c>
      <c r="S152" s="50" t="s">
        <v>5391</v>
      </c>
      <c r="T152" s="73" t="s">
        <v>692</v>
      </c>
      <c r="U152" s="50" t="s">
        <v>692</v>
      </c>
      <c r="V152" s="73" t="s">
        <v>5392</v>
      </c>
      <c r="W152" s="50" t="s">
        <v>5190</v>
      </c>
    </row>
    <row r="153" spans="1:23" s="25" customFormat="1" ht="6.95" customHeight="1" x14ac:dyDescent="0.25">
      <c r="A153" s="26">
        <v>129</v>
      </c>
      <c r="B153" s="30" t="s">
        <v>4893</v>
      </c>
      <c r="C153" s="61" t="s">
        <v>5493</v>
      </c>
      <c r="D153" s="51" t="s">
        <v>5009</v>
      </c>
      <c r="E153" s="52" t="s">
        <v>6003</v>
      </c>
      <c r="F153" s="51" t="s">
        <v>692</v>
      </c>
      <c r="G153" s="52" t="s">
        <v>692</v>
      </c>
      <c r="H153" s="73" t="s">
        <v>966</v>
      </c>
      <c r="I153" s="50" t="s">
        <v>4887</v>
      </c>
      <c r="J153" s="73" t="s">
        <v>1112</v>
      </c>
      <c r="K153" s="50" t="str">
        <f t="shared" si="2"/>
        <v>"SAU"</v>
      </c>
      <c r="L153" s="73" t="s">
        <v>895</v>
      </c>
      <c r="M153" s="50" t="s">
        <v>5351</v>
      </c>
      <c r="N153" s="73" t="s">
        <v>3656</v>
      </c>
      <c r="O153" s="50" t="s">
        <v>4895</v>
      </c>
      <c r="P153" s="73" t="s">
        <v>3655</v>
      </c>
      <c r="Q153" s="50" t="s">
        <v>4896</v>
      </c>
      <c r="R153" s="73" t="s">
        <v>4906</v>
      </c>
      <c r="S153" s="50" t="s">
        <v>5391</v>
      </c>
      <c r="T153" s="73" t="s">
        <v>692</v>
      </c>
      <c r="U153" s="50" t="s">
        <v>692</v>
      </c>
      <c r="V153" s="73" t="s">
        <v>5392</v>
      </c>
      <c r="W153" s="50" t="s">
        <v>5351</v>
      </c>
    </row>
    <row r="154" spans="1:23" s="25" customFormat="1" ht="6.95" customHeight="1" x14ac:dyDescent="0.25">
      <c r="A154" s="26">
        <v>130</v>
      </c>
      <c r="B154" s="30" t="s">
        <v>1037</v>
      </c>
      <c r="C154" s="61" t="s">
        <v>5493</v>
      </c>
      <c r="D154" s="51" t="s">
        <v>5009</v>
      </c>
      <c r="E154" s="52" t="s">
        <v>6003</v>
      </c>
      <c r="F154" s="51" t="s">
        <v>692</v>
      </c>
      <c r="G154" s="52" t="s">
        <v>692</v>
      </c>
      <c r="H154" s="73" t="s">
        <v>966</v>
      </c>
      <c r="I154" s="50" t="s">
        <v>4887</v>
      </c>
      <c r="J154" s="73" t="s">
        <v>1112</v>
      </c>
      <c r="K154" s="50" t="str">
        <f t="shared" si="2"/>
        <v>"TOM"</v>
      </c>
      <c r="L154" s="73" t="s">
        <v>895</v>
      </c>
      <c r="M154" s="50" t="s">
        <v>5191</v>
      </c>
      <c r="N154" s="73" t="s">
        <v>3656</v>
      </c>
      <c r="O154" s="50" t="s">
        <v>4857</v>
      </c>
      <c r="P154" s="73" t="s">
        <v>3655</v>
      </c>
      <c r="Q154" s="50" t="s">
        <v>4863</v>
      </c>
      <c r="R154" s="73" t="s">
        <v>4906</v>
      </c>
      <c r="S154" s="50" t="s">
        <v>5391</v>
      </c>
      <c r="T154" s="73" t="s">
        <v>692</v>
      </c>
      <c r="U154" s="50" t="s">
        <v>692</v>
      </c>
      <c r="V154" s="73" t="s">
        <v>5392</v>
      </c>
      <c r="W154" s="50" t="s">
        <v>5191</v>
      </c>
    </row>
    <row r="155" spans="1:23" s="25" customFormat="1" ht="6.95" customHeight="1" x14ac:dyDescent="0.25">
      <c r="A155" s="26">
        <v>131</v>
      </c>
      <c r="B155" s="30" t="s">
        <v>658</v>
      </c>
      <c r="C155" s="61" t="s">
        <v>5493</v>
      </c>
      <c r="D155" s="51" t="s">
        <v>5009</v>
      </c>
      <c r="E155" s="52" t="s">
        <v>6003</v>
      </c>
      <c r="F155" s="51" t="s">
        <v>692</v>
      </c>
      <c r="G155" s="52" t="s">
        <v>692</v>
      </c>
      <c r="H155" s="73" t="s">
        <v>966</v>
      </c>
      <c r="I155" s="50" t="s">
        <v>4887</v>
      </c>
      <c r="J155" s="73" t="s">
        <v>1112</v>
      </c>
      <c r="K155" s="50" t="str">
        <f t="shared" si="2"/>
        <v>"TUB"</v>
      </c>
      <c r="L155" s="73" t="s">
        <v>895</v>
      </c>
      <c r="M155" s="50" t="s">
        <v>5192</v>
      </c>
      <c r="N155" s="73" t="s">
        <v>3656</v>
      </c>
      <c r="O155" s="50" t="s">
        <v>4864</v>
      </c>
      <c r="P155" s="73" t="s">
        <v>3655</v>
      </c>
      <c r="Q155" s="50" t="s">
        <v>4865</v>
      </c>
      <c r="R155" s="73" t="s">
        <v>4906</v>
      </c>
      <c r="S155" s="50" t="s">
        <v>5391</v>
      </c>
      <c r="T155" s="73" t="s">
        <v>692</v>
      </c>
      <c r="U155" s="50" t="s">
        <v>692</v>
      </c>
      <c r="V155" s="73" t="s">
        <v>5392</v>
      </c>
      <c r="W155" s="50" t="s">
        <v>5192</v>
      </c>
    </row>
    <row r="156" spans="1:23" s="25" customFormat="1" ht="6.95" customHeight="1" x14ac:dyDescent="0.25">
      <c r="A156" s="26">
        <v>132</v>
      </c>
      <c r="B156" s="30" t="s">
        <v>23</v>
      </c>
      <c r="C156" s="61" t="s">
        <v>5493</v>
      </c>
      <c r="D156" s="51" t="s">
        <v>5009</v>
      </c>
      <c r="E156" s="52" t="s">
        <v>6003</v>
      </c>
      <c r="F156" s="51" t="s">
        <v>692</v>
      </c>
      <c r="G156" s="52" t="s">
        <v>692</v>
      </c>
      <c r="H156" s="73" t="s">
        <v>966</v>
      </c>
      <c r="I156" s="50" t="s">
        <v>4887</v>
      </c>
      <c r="J156" s="73" t="s">
        <v>1112</v>
      </c>
      <c r="K156" s="50" t="str">
        <f t="shared" si="2"/>
        <v>"VAL"</v>
      </c>
      <c r="L156" s="73" t="s">
        <v>895</v>
      </c>
      <c r="M156" s="50" t="s">
        <v>5193</v>
      </c>
      <c r="N156" s="73" t="s">
        <v>3656</v>
      </c>
      <c r="O156" s="71" t="s">
        <v>4861</v>
      </c>
      <c r="P156" s="73" t="s">
        <v>3655</v>
      </c>
      <c r="Q156" s="50" t="s">
        <v>4866</v>
      </c>
      <c r="R156" s="73" t="s">
        <v>4906</v>
      </c>
      <c r="S156" s="50" t="s">
        <v>5391</v>
      </c>
      <c r="T156" s="73" t="s">
        <v>692</v>
      </c>
      <c r="U156" s="50" t="s">
        <v>692</v>
      </c>
      <c r="V156" s="73" t="s">
        <v>5392</v>
      </c>
      <c r="W156" s="50" t="s">
        <v>5193</v>
      </c>
    </row>
    <row r="157" spans="1:23" s="25" customFormat="1" ht="6.95" customHeight="1" x14ac:dyDescent="0.25">
      <c r="A157" s="26">
        <v>133</v>
      </c>
      <c r="B157" s="30" t="s">
        <v>237</v>
      </c>
      <c r="C157" s="61" t="s">
        <v>5493</v>
      </c>
      <c r="D157" s="51" t="s">
        <v>5009</v>
      </c>
      <c r="E157" s="52" t="s">
        <v>6003</v>
      </c>
      <c r="F157" s="51" t="s">
        <v>692</v>
      </c>
      <c r="G157" s="52" t="s">
        <v>692</v>
      </c>
      <c r="H157" s="73" t="s">
        <v>966</v>
      </c>
      <c r="I157" s="50" t="s">
        <v>1052</v>
      </c>
      <c r="J157" s="73" t="s">
        <v>1112</v>
      </c>
      <c r="K157" s="50" t="str">
        <f t="shared" si="2"/>
        <v>"CIR"</v>
      </c>
      <c r="L157" s="73" t="s">
        <v>895</v>
      </c>
      <c r="M157" s="50" t="s">
        <v>5194</v>
      </c>
      <c r="N157" s="73" t="s">
        <v>3656</v>
      </c>
      <c r="O157" s="50" t="s">
        <v>5391</v>
      </c>
      <c r="P157" s="73" t="s">
        <v>3655</v>
      </c>
      <c r="Q157" s="50" t="s">
        <v>5391</v>
      </c>
      <c r="R157" s="73" t="s">
        <v>4906</v>
      </c>
      <c r="S157" s="50" t="s">
        <v>5391</v>
      </c>
      <c r="T157" s="73" t="s">
        <v>5006</v>
      </c>
      <c r="U157" s="50" t="s">
        <v>4907</v>
      </c>
      <c r="V157" s="73" t="s">
        <v>5392</v>
      </c>
      <c r="W157" s="50" t="s">
        <v>5194</v>
      </c>
    </row>
    <row r="158" spans="1:23" s="25" customFormat="1" ht="6.95" customHeight="1" x14ac:dyDescent="0.25">
      <c r="A158" s="26">
        <v>134</v>
      </c>
      <c r="B158" s="30" t="s">
        <v>47</v>
      </c>
      <c r="C158" s="61" t="s">
        <v>5493</v>
      </c>
      <c r="D158" s="51" t="s">
        <v>5009</v>
      </c>
      <c r="E158" s="52" t="s">
        <v>6003</v>
      </c>
      <c r="F158" s="51" t="s">
        <v>692</v>
      </c>
      <c r="G158" s="52" t="s">
        <v>692</v>
      </c>
      <c r="H158" s="73" t="s">
        <v>966</v>
      </c>
      <c r="I158" s="50" t="s">
        <v>1052</v>
      </c>
      <c r="J158" s="73" t="s">
        <v>1112</v>
      </c>
      <c r="K158" s="50" t="str">
        <f t="shared" si="2"/>
        <v>"DUA"</v>
      </c>
      <c r="L158" s="73" t="s">
        <v>895</v>
      </c>
      <c r="M158" s="50" t="s">
        <v>5195</v>
      </c>
      <c r="N158" s="73" t="s">
        <v>3656</v>
      </c>
      <c r="O158" s="50" t="s">
        <v>5391</v>
      </c>
      <c r="P158" s="73" t="s">
        <v>3655</v>
      </c>
      <c r="Q158" s="50" t="s">
        <v>5391</v>
      </c>
      <c r="R158" s="73" t="s">
        <v>4906</v>
      </c>
      <c r="S158" s="50" t="s">
        <v>5391</v>
      </c>
      <c r="T158" s="73" t="s">
        <v>5006</v>
      </c>
      <c r="U158" s="50" t="s">
        <v>4908</v>
      </c>
      <c r="V158" s="73" t="s">
        <v>5392</v>
      </c>
      <c r="W158" s="50" t="s">
        <v>5195</v>
      </c>
    </row>
    <row r="159" spans="1:23" s="25" customFormat="1" ht="6.95" customHeight="1" x14ac:dyDescent="0.25">
      <c r="A159" s="26">
        <v>135</v>
      </c>
      <c r="B159" s="30" t="s">
        <v>339</v>
      </c>
      <c r="C159" s="61" t="s">
        <v>5493</v>
      </c>
      <c r="D159" s="51" t="s">
        <v>5009</v>
      </c>
      <c r="E159" s="52" t="s">
        <v>6003</v>
      </c>
      <c r="F159" s="51" t="s">
        <v>692</v>
      </c>
      <c r="G159" s="52" t="s">
        <v>692</v>
      </c>
      <c r="H159" s="73" t="s">
        <v>966</v>
      </c>
      <c r="I159" s="50" t="s">
        <v>1052</v>
      </c>
      <c r="J159" s="73" t="s">
        <v>1112</v>
      </c>
      <c r="K159" s="50" t="str">
        <f t="shared" si="2"/>
        <v>"DUP"</v>
      </c>
      <c r="L159" s="73" t="s">
        <v>895</v>
      </c>
      <c r="M159" s="50" t="s">
        <v>5196</v>
      </c>
      <c r="N159" s="73" t="s">
        <v>3656</v>
      </c>
      <c r="O159" s="50" t="s">
        <v>5391</v>
      </c>
      <c r="P159" s="73" t="s">
        <v>3655</v>
      </c>
      <c r="Q159" s="50" t="s">
        <v>5391</v>
      </c>
      <c r="R159" s="73" t="s">
        <v>4906</v>
      </c>
      <c r="S159" s="50" t="s">
        <v>5391</v>
      </c>
      <c r="T159" s="73" t="s">
        <v>5006</v>
      </c>
      <c r="U159" s="50" t="s">
        <v>4909</v>
      </c>
      <c r="V159" s="73" t="s">
        <v>5392</v>
      </c>
      <c r="W159" s="50" t="s">
        <v>5196</v>
      </c>
    </row>
    <row r="160" spans="1:23" s="25" customFormat="1" ht="6.95" customHeight="1" x14ac:dyDescent="0.25">
      <c r="A160" s="26">
        <v>136</v>
      </c>
      <c r="B160" s="30" t="s">
        <v>569</v>
      </c>
      <c r="C160" s="61" t="s">
        <v>5493</v>
      </c>
      <c r="D160" s="51" t="s">
        <v>5009</v>
      </c>
      <c r="E160" s="52" t="s">
        <v>6003</v>
      </c>
      <c r="F160" s="51" t="s">
        <v>692</v>
      </c>
      <c r="G160" s="52" t="s">
        <v>692</v>
      </c>
      <c r="H160" s="73" t="s">
        <v>966</v>
      </c>
      <c r="I160" s="50" t="s">
        <v>1052</v>
      </c>
      <c r="J160" s="73" t="s">
        <v>1112</v>
      </c>
      <c r="K160" s="50" t="str">
        <f t="shared" si="2"/>
        <v>"EML"</v>
      </c>
      <c r="L160" s="73" t="s">
        <v>895</v>
      </c>
      <c r="M160" s="50" t="s">
        <v>5352</v>
      </c>
      <c r="N160" s="73" t="s">
        <v>3656</v>
      </c>
      <c r="O160" s="50" t="s">
        <v>5391</v>
      </c>
      <c r="P160" s="73" t="s">
        <v>3655</v>
      </c>
      <c r="Q160" s="50" t="s">
        <v>5391</v>
      </c>
      <c r="R160" s="73" t="s">
        <v>4906</v>
      </c>
      <c r="S160" s="50" t="s">
        <v>5391</v>
      </c>
      <c r="T160" s="73" t="s">
        <v>5006</v>
      </c>
      <c r="U160" s="50" t="s">
        <v>4910</v>
      </c>
      <c r="V160" s="73" t="s">
        <v>5392</v>
      </c>
      <c r="W160" s="50" t="s">
        <v>5352</v>
      </c>
    </row>
    <row r="161" spans="1:23" s="25" customFormat="1" ht="6.95" customHeight="1" x14ac:dyDescent="0.25">
      <c r="A161" s="26">
        <v>137</v>
      </c>
      <c r="B161" s="30" t="s">
        <v>770</v>
      </c>
      <c r="C161" s="61" t="s">
        <v>5493</v>
      </c>
      <c r="D161" s="51" t="s">
        <v>5009</v>
      </c>
      <c r="E161" s="52" t="s">
        <v>6003</v>
      </c>
      <c r="F161" s="51" t="s">
        <v>692</v>
      </c>
      <c r="G161" s="52" t="s">
        <v>692</v>
      </c>
      <c r="H161" s="73" t="s">
        <v>966</v>
      </c>
      <c r="I161" s="50" t="s">
        <v>1052</v>
      </c>
      <c r="J161" s="73" t="s">
        <v>1112</v>
      </c>
      <c r="K161" s="50" t="str">
        <f t="shared" si="2"/>
        <v>"EMU"</v>
      </c>
      <c r="L161" s="73" t="s">
        <v>895</v>
      </c>
      <c r="M161" s="50" t="s">
        <v>5353</v>
      </c>
      <c r="N161" s="73" t="s">
        <v>3656</v>
      </c>
      <c r="O161" s="50" t="s">
        <v>5391</v>
      </c>
      <c r="P161" s="73" t="s">
        <v>3655</v>
      </c>
      <c r="Q161" s="50" t="s">
        <v>5391</v>
      </c>
      <c r="R161" s="73" t="s">
        <v>4906</v>
      </c>
      <c r="S161" s="50" t="s">
        <v>5391</v>
      </c>
      <c r="T161" s="73" t="s">
        <v>5006</v>
      </c>
      <c r="U161" s="50" t="s">
        <v>4911</v>
      </c>
      <c r="V161" s="73" t="s">
        <v>5392</v>
      </c>
      <c r="W161" s="50" t="s">
        <v>5353</v>
      </c>
    </row>
    <row r="162" spans="1:23" s="25" customFormat="1" ht="6.95" customHeight="1" x14ac:dyDescent="0.25">
      <c r="A162" s="26">
        <v>138</v>
      </c>
      <c r="B162" s="30" t="s">
        <v>61</v>
      </c>
      <c r="C162" s="61" t="s">
        <v>5493</v>
      </c>
      <c r="D162" s="51" t="s">
        <v>5009</v>
      </c>
      <c r="E162" s="52" t="s">
        <v>6003</v>
      </c>
      <c r="F162" s="51" t="s">
        <v>692</v>
      </c>
      <c r="G162" s="52" t="s">
        <v>692</v>
      </c>
      <c r="H162" s="73" t="s">
        <v>966</v>
      </c>
      <c r="I162" s="50" t="s">
        <v>1052</v>
      </c>
      <c r="J162" s="73" t="s">
        <v>1112</v>
      </c>
      <c r="K162" s="50" t="str">
        <f t="shared" si="2"/>
        <v>"LIN"</v>
      </c>
      <c r="L162" s="73" t="s">
        <v>895</v>
      </c>
      <c r="M162" s="50" t="s">
        <v>5197</v>
      </c>
      <c r="N162" s="73" t="s">
        <v>3656</v>
      </c>
      <c r="O162" s="50" t="s">
        <v>5391</v>
      </c>
      <c r="P162" s="73" t="s">
        <v>3655</v>
      </c>
      <c r="Q162" s="50" t="s">
        <v>5391</v>
      </c>
      <c r="R162" s="73" t="s">
        <v>4906</v>
      </c>
      <c r="S162" s="50" t="s">
        <v>5391</v>
      </c>
      <c r="T162" s="73" t="s">
        <v>5006</v>
      </c>
      <c r="U162" s="50" t="s">
        <v>4912</v>
      </c>
      <c r="V162" s="73" t="s">
        <v>5392</v>
      </c>
      <c r="W162" s="50" t="s">
        <v>5197</v>
      </c>
    </row>
    <row r="163" spans="1:23" s="25" customFormat="1" ht="6.95" customHeight="1" x14ac:dyDescent="0.25">
      <c r="A163" s="26">
        <v>139</v>
      </c>
      <c r="B163" s="30" t="s">
        <v>601</v>
      </c>
      <c r="C163" s="61" t="s">
        <v>5493</v>
      </c>
      <c r="D163" s="51" t="s">
        <v>5009</v>
      </c>
      <c r="E163" s="52" t="s">
        <v>6003</v>
      </c>
      <c r="F163" s="51" t="s">
        <v>692</v>
      </c>
      <c r="G163" s="52" t="s">
        <v>692</v>
      </c>
      <c r="H163" s="73" t="s">
        <v>966</v>
      </c>
      <c r="I163" s="50" t="s">
        <v>1052</v>
      </c>
      <c r="J163" s="73" t="s">
        <v>1112</v>
      </c>
      <c r="K163" s="50" t="str">
        <f t="shared" si="2"/>
        <v>"OVA"</v>
      </c>
      <c r="L163" s="73" t="s">
        <v>895</v>
      </c>
      <c r="M163" s="50" t="s">
        <v>5198</v>
      </c>
      <c r="N163" s="73" t="s">
        <v>3656</v>
      </c>
      <c r="O163" s="50" t="s">
        <v>5391</v>
      </c>
      <c r="P163" s="73" t="s">
        <v>3655</v>
      </c>
      <c r="Q163" s="50" t="s">
        <v>5391</v>
      </c>
      <c r="R163" s="73" t="s">
        <v>4906</v>
      </c>
      <c r="S163" s="50" t="s">
        <v>5391</v>
      </c>
      <c r="T163" s="73" t="s">
        <v>5006</v>
      </c>
      <c r="U163" s="50" t="s">
        <v>4913</v>
      </c>
      <c r="V163" s="73" t="s">
        <v>5392</v>
      </c>
      <c r="W163" s="50" t="s">
        <v>5198</v>
      </c>
    </row>
    <row r="164" spans="1:23" s="25" customFormat="1" ht="6.95" customHeight="1" x14ac:dyDescent="0.25">
      <c r="A164" s="26">
        <v>140</v>
      </c>
      <c r="B164" s="30" t="s">
        <v>602</v>
      </c>
      <c r="C164" s="61" t="s">
        <v>5493</v>
      </c>
      <c r="D164" s="51" t="s">
        <v>5009</v>
      </c>
      <c r="E164" s="52" t="s">
        <v>6003</v>
      </c>
      <c r="F164" s="51" t="s">
        <v>692</v>
      </c>
      <c r="G164" s="52" t="s">
        <v>692</v>
      </c>
      <c r="H164" s="73" t="s">
        <v>966</v>
      </c>
      <c r="I164" s="50" t="s">
        <v>1052</v>
      </c>
      <c r="J164" s="73" t="s">
        <v>1112</v>
      </c>
      <c r="K164" s="50" t="str">
        <f t="shared" si="2"/>
        <v>"OVS"</v>
      </c>
      <c r="L164" s="73" t="s">
        <v>895</v>
      </c>
      <c r="M164" s="50" t="s">
        <v>5199</v>
      </c>
      <c r="N164" s="73" t="s">
        <v>3656</v>
      </c>
      <c r="O164" s="50" t="s">
        <v>5391</v>
      </c>
      <c r="P164" s="73" t="s">
        <v>3655</v>
      </c>
      <c r="Q164" s="50" t="s">
        <v>5391</v>
      </c>
      <c r="R164" s="73" t="s">
        <v>4906</v>
      </c>
      <c r="S164" s="50" t="s">
        <v>5391</v>
      </c>
      <c r="T164" s="73" t="s">
        <v>5006</v>
      </c>
      <c r="U164" s="50" t="s">
        <v>4914</v>
      </c>
      <c r="V164" s="73" t="s">
        <v>5392</v>
      </c>
      <c r="W164" s="50" t="s">
        <v>5199</v>
      </c>
    </row>
    <row r="165" spans="1:23" s="25" customFormat="1" ht="6.95" customHeight="1" x14ac:dyDescent="0.25">
      <c r="A165" s="26">
        <v>141</v>
      </c>
      <c r="B165" s="30" t="s">
        <v>254</v>
      </c>
      <c r="C165" s="61" t="s">
        <v>5493</v>
      </c>
      <c r="D165" s="51" t="s">
        <v>5009</v>
      </c>
      <c r="E165" s="52" t="s">
        <v>6003</v>
      </c>
      <c r="F165" s="51" t="s">
        <v>692</v>
      </c>
      <c r="G165" s="52" t="s">
        <v>692</v>
      </c>
      <c r="H165" s="73" t="s">
        <v>966</v>
      </c>
      <c r="I165" s="50" t="s">
        <v>1052</v>
      </c>
      <c r="J165" s="73" t="s">
        <v>1112</v>
      </c>
      <c r="K165" s="50" t="str">
        <f t="shared" si="2"/>
        <v>"PRF"</v>
      </c>
      <c r="L165" s="73" t="s">
        <v>895</v>
      </c>
      <c r="M165" s="50" t="s">
        <v>5200</v>
      </c>
      <c r="N165" s="73" t="s">
        <v>3656</v>
      </c>
      <c r="O165" s="50" t="s">
        <v>5391</v>
      </c>
      <c r="P165" s="73" t="s">
        <v>3655</v>
      </c>
      <c r="Q165" s="50" t="s">
        <v>5391</v>
      </c>
      <c r="R165" s="73" t="s">
        <v>4906</v>
      </c>
      <c r="S165" s="50" t="s">
        <v>5391</v>
      </c>
      <c r="T165" s="73" t="s">
        <v>5006</v>
      </c>
      <c r="U165" s="50" t="s">
        <v>4915</v>
      </c>
      <c r="V165" s="73" t="s">
        <v>5392</v>
      </c>
      <c r="W165" s="50" t="s">
        <v>5200</v>
      </c>
    </row>
    <row r="166" spans="1:23" s="25" customFormat="1" ht="6.95" customHeight="1" x14ac:dyDescent="0.25">
      <c r="A166" s="26">
        <v>142</v>
      </c>
      <c r="B166" s="30" t="s">
        <v>781</v>
      </c>
      <c r="C166" s="61" t="s">
        <v>5493</v>
      </c>
      <c r="D166" s="51" t="s">
        <v>5009</v>
      </c>
      <c r="E166" s="52" t="s">
        <v>6003</v>
      </c>
      <c r="F166" s="51" t="s">
        <v>692</v>
      </c>
      <c r="G166" s="52" t="s">
        <v>692</v>
      </c>
      <c r="H166" s="73" t="s">
        <v>966</v>
      </c>
      <c r="I166" s="50" t="s">
        <v>1052</v>
      </c>
      <c r="J166" s="73" t="s">
        <v>1112</v>
      </c>
      <c r="K166" s="50" t="str">
        <f t="shared" si="2"/>
        <v>"QUA"</v>
      </c>
      <c r="L166" s="73" t="s">
        <v>895</v>
      </c>
      <c r="M166" s="50" t="s">
        <v>5201</v>
      </c>
      <c r="N166" s="73" t="s">
        <v>3656</v>
      </c>
      <c r="O166" s="50" t="s">
        <v>5391</v>
      </c>
      <c r="P166" s="73" t="s">
        <v>3655</v>
      </c>
      <c r="Q166" s="50" t="s">
        <v>5391</v>
      </c>
      <c r="R166" s="73" t="s">
        <v>4906</v>
      </c>
      <c r="S166" s="50" t="s">
        <v>5391</v>
      </c>
      <c r="T166" s="73" t="s">
        <v>5006</v>
      </c>
      <c r="U166" s="50" t="s">
        <v>4916</v>
      </c>
      <c r="V166" s="73" t="s">
        <v>5392</v>
      </c>
      <c r="W166" s="50" t="s">
        <v>5201</v>
      </c>
    </row>
    <row r="167" spans="1:23" s="25" customFormat="1" ht="6.95" customHeight="1" x14ac:dyDescent="0.25">
      <c r="A167" s="26">
        <v>143</v>
      </c>
      <c r="B167" s="30" t="s">
        <v>322</v>
      </c>
      <c r="C167" s="61" t="s">
        <v>5493</v>
      </c>
      <c r="D167" s="51" t="s">
        <v>5009</v>
      </c>
      <c r="E167" s="52" t="s">
        <v>6003</v>
      </c>
      <c r="F167" s="51" t="s">
        <v>692</v>
      </c>
      <c r="G167" s="52" t="s">
        <v>692</v>
      </c>
      <c r="H167" s="73" t="s">
        <v>966</v>
      </c>
      <c r="I167" s="50" t="s">
        <v>1052</v>
      </c>
      <c r="J167" s="73" t="s">
        <v>1112</v>
      </c>
      <c r="K167" s="50" t="str">
        <f t="shared" si="2"/>
        <v>"RET"</v>
      </c>
      <c r="L167" s="73" t="s">
        <v>895</v>
      </c>
      <c r="M167" s="50" t="s">
        <v>5202</v>
      </c>
      <c r="N167" s="73" t="s">
        <v>3656</v>
      </c>
      <c r="O167" s="50" t="s">
        <v>5391</v>
      </c>
      <c r="P167" s="73" t="s">
        <v>3655</v>
      </c>
      <c r="Q167" s="50" t="s">
        <v>5391</v>
      </c>
      <c r="R167" s="73" t="s">
        <v>4906</v>
      </c>
      <c r="S167" s="50" t="s">
        <v>5391</v>
      </c>
      <c r="T167" s="73" t="s">
        <v>5006</v>
      </c>
      <c r="U167" s="50" t="s">
        <v>4917</v>
      </c>
      <c r="V167" s="73" t="s">
        <v>5392</v>
      </c>
      <c r="W167" s="50" t="s">
        <v>5202</v>
      </c>
    </row>
    <row r="168" spans="1:23" s="25" customFormat="1" ht="6.95" customHeight="1" x14ac:dyDescent="0.25">
      <c r="A168" s="26">
        <v>144</v>
      </c>
      <c r="B168" s="30" t="s">
        <v>265</v>
      </c>
      <c r="C168" s="61" t="s">
        <v>5493</v>
      </c>
      <c r="D168" s="51" t="s">
        <v>5009</v>
      </c>
      <c r="E168" s="52" t="s">
        <v>6003</v>
      </c>
      <c r="F168" s="51" t="s">
        <v>692</v>
      </c>
      <c r="G168" s="52" t="s">
        <v>692</v>
      </c>
      <c r="H168" s="73" t="s">
        <v>966</v>
      </c>
      <c r="I168" s="50" t="s">
        <v>1053</v>
      </c>
      <c r="J168" s="73" t="s">
        <v>1112</v>
      </c>
      <c r="K168" s="50" t="str">
        <f t="shared" si="2"/>
        <v>"ABA"</v>
      </c>
      <c r="L168" s="73" t="s">
        <v>895</v>
      </c>
      <c r="M168" s="50" t="s">
        <v>5203</v>
      </c>
      <c r="N168" s="73" t="s">
        <v>3656</v>
      </c>
      <c r="O168" s="50" t="s">
        <v>5391</v>
      </c>
      <c r="P168" s="73" t="s">
        <v>3655</v>
      </c>
      <c r="Q168" s="50" t="s">
        <v>5391</v>
      </c>
      <c r="R168" s="73" t="s">
        <v>4906</v>
      </c>
      <c r="S168" s="50" t="s">
        <v>5391</v>
      </c>
      <c r="T168" s="73" t="s">
        <v>5006</v>
      </c>
      <c r="U168" s="50" t="s">
        <v>4918</v>
      </c>
      <c r="V168" s="73" t="s">
        <v>5392</v>
      </c>
      <c r="W168" s="50" t="s">
        <v>5203</v>
      </c>
    </row>
    <row r="169" spans="1:23" s="25" customFormat="1" ht="6.95" customHeight="1" x14ac:dyDescent="0.25">
      <c r="A169" s="26">
        <v>145</v>
      </c>
      <c r="B169" s="30" t="s">
        <v>42</v>
      </c>
      <c r="C169" s="61" t="s">
        <v>5493</v>
      </c>
      <c r="D169" s="51" t="s">
        <v>5009</v>
      </c>
      <c r="E169" s="52" t="s">
        <v>6003</v>
      </c>
      <c r="F169" s="51" t="s">
        <v>692</v>
      </c>
      <c r="G169" s="52" t="s">
        <v>692</v>
      </c>
      <c r="H169" s="73" t="s">
        <v>966</v>
      </c>
      <c r="I169" s="50" t="s">
        <v>1053</v>
      </c>
      <c r="J169" s="73" t="s">
        <v>1112</v>
      </c>
      <c r="K169" s="50" t="str">
        <f t="shared" si="2"/>
        <v>"ACI"</v>
      </c>
      <c r="L169" s="73" t="s">
        <v>895</v>
      </c>
      <c r="M169" s="50" t="s">
        <v>5204</v>
      </c>
      <c r="N169" s="73" t="s">
        <v>3656</v>
      </c>
      <c r="O169" s="50" t="s">
        <v>5391</v>
      </c>
      <c r="P169" s="73" t="s">
        <v>3655</v>
      </c>
      <c r="Q169" s="50" t="s">
        <v>5391</v>
      </c>
      <c r="R169" s="73" t="s">
        <v>4906</v>
      </c>
      <c r="S169" s="50" t="s">
        <v>5391</v>
      </c>
      <c r="T169" s="73" t="s">
        <v>5006</v>
      </c>
      <c r="U169" s="50" t="s">
        <v>4919</v>
      </c>
      <c r="V169" s="73" t="s">
        <v>5392</v>
      </c>
      <c r="W169" s="50" t="s">
        <v>5204</v>
      </c>
    </row>
    <row r="170" spans="1:23" s="25" customFormat="1" ht="6.95" customHeight="1" x14ac:dyDescent="0.25">
      <c r="A170" s="26">
        <v>146</v>
      </c>
      <c r="B170" s="30" t="s">
        <v>26</v>
      </c>
      <c r="C170" s="61" t="s">
        <v>5493</v>
      </c>
      <c r="D170" s="51" t="s">
        <v>5009</v>
      </c>
      <c r="E170" s="52" t="s">
        <v>6003</v>
      </c>
      <c r="F170" s="51" t="s">
        <v>692</v>
      </c>
      <c r="G170" s="52" t="s">
        <v>692</v>
      </c>
      <c r="H170" s="73" t="s">
        <v>966</v>
      </c>
      <c r="I170" s="50" t="s">
        <v>1053</v>
      </c>
      <c r="J170" s="73" t="s">
        <v>1112</v>
      </c>
      <c r="K170" s="50" t="str">
        <f t="shared" si="2"/>
        <v>"ACU"</v>
      </c>
      <c r="L170" s="73" t="s">
        <v>895</v>
      </c>
      <c r="M170" s="50" t="s">
        <v>5205</v>
      </c>
      <c r="N170" s="73" t="s">
        <v>3656</v>
      </c>
      <c r="O170" s="50" t="s">
        <v>5391</v>
      </c>
      <c r="P170" s="73" t="s">
        <v>3655</v>
      </c>
      <c r="Q170" s="50" t="s">
        <v>5391</v>
      </c>
      <c r="R170" s="73" t="s">
        <v>4906</v>
      </c>
      <c r="S170" s="50" t="s">
        <v>5391</v>
      </c>
      <c r="T170" s="73" t="s">
        <v>5006</v>
      </c>
      <c r="U170" s="50" t="s">
        <v>4920</v>
      </c>
      <c r="V170" s="73" t="s">
        <v>5392</v>
      </c>
      <c r="W170" s="50" t="s">
        <v>5205</v>
      </c>
    </row>
    <row r="171" spans="1:23" s="25" customFormat="1" ht="6.95" customHeight="1" x14ac:dyDescent="0.25">
      <c r="A171" s="26">
        <v>147</v>
      </c>
      <c r="B171" s="30" t="s">
        <v>9</v>
      </c>
      <c r="C171" s="61" t="s">
        <v>5493</v>
      </c>
      <c r="D171" s="51" t="s">
        <v>5009</v>
      </c>
      <c r="E171" s="52" t="s">
        <v>6003</v>
      </c>
      <c r="F171" s="51" t="s">
        <v>692</v>
      </c>
      <c r="G171" s="52" t="s">
        <v>692</v>
      </c>
      <c r="H171" s="73" t="s">
        <v>966</v>
      </c>
      <c r="I171" s="50" t="s">
        <v>1053</v>
      </c>
      <c r="J171" s="73" t="s">
        <v>1112</v>
      </c>
      <c r="K171" s="50" t="str">
        <f t="shared" si="2"/>
        <v>"ADU"</v>
      </c>
      <c r="L171" s="73" t="s">
        <v>895</v>
      </c>
      <c r="M171" s="50" t="s">
        <v>5206</v>
      </c>
      <c r="N171" s="73" t="s">
        <v>3656</v>
      </c>
      <c r="O171" s="50" t="s">
        <v>5391</v>
      </c>
      <c r="P171" s="73" t="s">
        <v>3655</v>
      </c>
      <c r="Q171" s="50" t="s">
        <v>5391</v>
      </c>
      <c r="R171" s="73" t="s">
        <v>4906</v>
      </c>
      <c r="S171" s="50" t="s">
        <v>5391</v>
      </c>
      <c r="T171" s="73" t="s">
        <v>5006</v>
      </c>
      <c r="U171" s="50" t="s">
        <v>4921</v>
      </c>
      <c r="V171" s="73" t="s">
        <v>5392</v>
      </c>
      <c r="W171" s="50" t="s">
        <v>5206</v>
      </c>
    </row>
    <row r="172" spans="1:23" s="25" customFormat="1" ht="6.95" customHeight="1" x14ac:dyDescent="0.25">
      <c r="A172" s="26">
        <v>148</v>
      </c>
      <c r="B172" s="30" t="s">
        <v>101</v>
      </c>
      <c r="C172" s="61" t="s">
        <v>5493</v>
      </c>
      <c r="D172" s="51" t="s">
        <v>5009</v>
      </c>
      <c r="E172" s="52" t="s">
        <v>6003</v>
      </c>
      <c r="F172" s="51" t="s">
        <v>692</v>
      </c>
      <c r="G172" s="52" t="s">
        <v>692</v>
      </c>
      <c r="H172" s="73" t="s">
        <v>966</v>
      </c>
      <c r="I172" s="50" t="s">
        <v>1053</v>
      </c>
      <c r="J172" s="73" t="s">
        <v>1112</v>
      </c>
      <c r="K172" s="50" t="str">
        <f t="shared" si="2"/>
        <v>"AFQ"</v>
      </c>
      <c r="L172" s="73" t="s">
        <v>895</v>
      </c>
      <c r="M172" s="50" t="s">
        <v>5380</v>
      </c>
      <c r="N172" s="73" t="s">
        <v>3656</v>
      </c>
      <c r="O172" s="50" t="s">
        <v>5391</v>
      </c>
      <c r="P172" s="73" t="s">
        <v>3655</v>
      </c>
      <c r="Q172" s="50" t="s">
        <v>5391</v>
      </c>
      <c r="R172" s="73" t="s">
        <v>4906</v>
      </c>
      <c r="S172" s="50" t="s">
        <v>5391</v>
      </c>
      <c r="T172" s="73" t="s">
        <v>5006</v>
      </c>
      <c r="U172" s="50" t="s">
        <v>4922</v>
      </c>
      <c r="V172" s="73" t="s">
        <v>5392</v>
      </c>
      <c r="W172" s="50" t="s">
        <v>5380</v>
      </c>
    </row>
    <row r="173" spans="1:23" s="25" customFormat="1" ht="6.95" customHeight="1" x14ac:dyDescent="0.25">
      <c r="A173" s="26">
        <v>149</v>
      </c>
      <c r="B173" s="30" t="s">
        <v>605</v>
      </c>
      <c r="C173" s="61" t="s">
        <v>5493</v>
      </c>
      <c r="D173" s="51" t="s">
        <v>5009</v>
      </c>
      <c r="E173" s="52" t="s">
        <v>6003</v>
      </c>
      <c r="F173" s="51" t="s">
        <v>692</v>
      </c>
      <c r="G173" s="52" t="s">
        <v>692</v>
      </c>
      <c r="H173" s="73" t="s">
        <v>966</v>
      </c>
      <c r="I173" s="50" t="s">
        <v>1053</v>
      </c>
      <c r="J173" s="73" t="s">
        <v>1112</v>
      </c>
      <c r="K173" s="50" t="str">
        <f t="shared" si="2"/>
        <v>"AFR"</v>
      </c>
      <c r="L173" s="73" t="s">
        <v>895</v>
      </c>
      <c r="M173" s="50" t="s">
        <v>5207</v>
      </c>
      <c r="N173" s="73" t="s">
        <v>3656</v>
      </c>
      <c r="O173" s="50" t="s">
        <v>5391</v>
      </c>
      <c r="P173" s="73" t="s">
        <v>3655</v>
      </c>
      <c r="Q173" s="50" t="s">
        <v>5391</v>
      </c>
      <c r="R173" s="73" t="s">
        <v>4906</v>
      </c>
      <c r="S173" s="50" t="s">
        <v>5391</v>
      </c>
      <c r="T173" s="73" t="s">
        <v>5006</v>
      </c>
      <c r="U173" s="50" t="s">
        <v>4923</v>
      </c>
      <c r="V173" s="73" t="s">
        <v>5392</v>
      </c>
      <c r="W173" s="50" t="s">
        <v>5207</v>
      </c>
    </row>
    <row r="174" spans="1:23" s="25" customFormat="1" ht="6.95" customHeight="1" x14ac:dyDescent="0.25">
      <c r="A174" s="26">
        <v>150</v>
      </c>
      <c r="B174" s="30" t="s">
        <v>375</v>
      </c>
      <c r="C174" s="61" t="s">
        <v>5493</v>
      </c>
      <c r="D174" s="51" t="s">
        <v>5009</v>
      </c>
      <c r="E174" s="52" t="s">
        <v>6003</v>
      </c>
      <c r="F174" s="51" t="s">
        <v>692</v>
      </c>
      <c r="G174" s="52" t="s">
        <v>692</v>
      </c>
      <c r="H174" s="73" t="s">
        <v>966</v>
      </c>
      <c r="I174" s="50" t="s">
        <v>1053</v>
      </c>
      <c r="J174" s="73" t="s">
        <v>1112</v>
      </c>
      <c r="K174" s="50" t="str">
        <f t="shared" si="2"/>
        <v>"ALA"</v>
      </c>
      <c r="L174" s="73" t="s">
        <v>895</v>
      </c>
      <c r="M174" s="50" t="s">
        <v>5208</v>
      </c>
      <c r="N174" s="73" t="s">
        <v>3656</v>
      </c>
      <c r="O174" s="50" t="s">
        <v>5391</v>
      </c>
      <c r="P174" s="73" t="s">
        <v>3655</v>
      </c>
      <c r="Q174" s="50" t="s">
        <v>5391</v>
      </c>
      <c r="R174" s="73" t="s">
        <v>4906</v>
      </c>
      <c r="S174" s="50" t="s">
        <v>5391</v>
      </c>
      <c r="T174" s="73" t="s">
        <v>5006</v>
      </c>
      <c r="U174" s="50" t="s">
        <v>4924</v>
      </c>
      <c r="V174" s="73" t="s">
        <v>5392</v>
      </c>
      <c r="W174" s="50" t="s">
        <v>5208</v>
      </c>
    </row>
    <row r="175" spans="1:23" s="25" customFormat="1" ht="6.95" customHeight="1" x14ac:dyDescent="0.25">
      <c r="A175" s="26">
        <v>151</v>
      </c>
      <c r="B175" s="30" t="s">
        <v>606</v>
      </c>
      <c r="C175" s="61" t="s">
        <v>5493</v>
      </c>
      <c r="D175" s="51" t="s">
        <v>5009</v>
      </c>
      <c r="E175" s="52" t="s">
        <v>6003</v>
      </c>
      <c r="F175" s="51" t="s">
        <v>692</v>
      </c>
      <c r="G175" s="52" t="s">
        <v>692</v>
      </c>
      <c r="H175" s="73" t="s">
        <v>966</v>
      </c>
      <c r="I175" s="50" t="s">
        <v>1053</v>
      </c>
      <c r="J175" s="73" t="s">
        <v>1112</v>
      </c>
      <c r="K175" s="50" t="str">
        <f t="shared" si="2"/>
        <v>"AQU"</v>
      </c>
      <c r="L175" s="73" t="s">
        <v>895</v>
      </c>
      <c r="M175" s="50" t="s">
        <v>5209</v>
      </c>
      <c r="N175" s="73" t="s">
        <v>3656</v>
      </c>
      <c r="O175" s="50" t="s">
        <v>5391</v>
      </c>
      <c r="P175" s="73" t="s">
        <v>3655</v>
      </c>
      <c r="Q175" s="50" t="s">
        <v>5391</v>
      </c>
      <c r="R175" s="73" t="s">
        <v>4906</v>
      </c>
      <c r="S175" s="50" t="s">
        <v>5391</v>
      </c>
      <c r="T175" s="73" t="s">
        <v>5006</v>
      </c>
      <c r="U175" s="50" t="s">
        <v>4925</v>
      </c>
      <c r="V175" s="73" t="s">
        <v>5392</v>
      </c>
      <c r="W175" s="50" t="s">
        <v>5209</v>
      </c>
    </row>
    <row r="176" spans="1:23" s="25" customFormat="1" ht="6.95" customHeight="1" x14ac:dyDescent="0.25">
      <c r="A176" s="26">
        <v>152</v>
      </c>
      <c r="B176" s="30" t="s">
        <v>706</v>
      </c>
      <c r="C176" s="61" t="s">
        <v>5493</v>
      </c>
      <c r="D176" s="51" t="s">
        <v>5009</v>
      </c>
      <c r="E176" s="52" t="s">
        <v>6003</v>
      </c>
      <c r="F176" s="51" t="s">
        <v>692</v>
      </c>
      <c r="G176" s="52" t="s">
        <v>692</v>
      </c>
      <c r="H176" s="73" t="s">
        <v>966</v>
      </c>
      <c r="I176" s="50" t="s">
        <v>1053</v>
      </c>
      <c r="J176" s="73" t="s">
        <v>1112</v>
      </c>
      <c r="K176" s="50" t="str">
        <f t="shared" si="2"/>
        <v>"AUT"</v>
      </c>
      <c r="L176" s="73" t="s">
        <v>895</v>
      </c>
      <c r="M176" s="50" t="s">
        <v>5210</v>
      </c>
      <c r="N176" s="73" t="s">
        <v>3656</v>
      </c>
      <c r="O176" s="50" t="s">
        <v>5391</v>
      </c>
      <c r="P176" s="73" t="s">
        <v>3655</v>
      </c>
      <c r="Q176" s="50" t="s">
        <v>5391</v>
      </c>
      <c r="R176" s="73" t="s">
        <v>4906</v>
      </c>
      <c r="S176" s="50" t="s">
        <v>5391</v>
      </c>
      <c r="T176" s="73" t="s">
        <v>5006</v>
      </c>
      <c r="U176" s="50" t="s">
        <v>4926</v>
      </c>
      <c r="V176" s="73" t="s">
        <v>5392</v>
      </c>
      <c r="W176" s="50" t="s">
        <v>5210</v>
      </c>
    </row>
    <row r="177" spans="1:23" s="25" customFormat="1" ht="6.95" customHeight="1" x14ac:dyDescent="0.25">
      <c r="A177" s="26">
        <v>153</v>
      </c>
      <c r="B177" s="30" t="s">
        <v>1016</v>
      </c>
      <c r="C177" s="61" t="s">
        <v>5493</v>
      </c>
      <c r="D177" s="51" t="s">
        <v>5009</v>
      </c>
      <c r="E177" s="52" t="s">
        <v>6003</v>
      </c>
      <c r="F177" s="51" t="s">
        <v>692</v>
      </c>
      <c r="G177" s="52" t="s">
        <v>692</v>
      </c>
      <c r="H177" s="73" t="s">
        <v>966</v>
      </c>
      <c r="I177" s="50" t="s">
        <v>1053</v>
      </c>
      <c r="J177" s="73" t="s">
        <v>1112</v>
      </c>
      <c r="K177" s="50" t="str">
        <f t="shared" si="2"/>
        <v>"APO"</v>
      </c>
      <c r="L177" s="73" t="s">
        <v>895</v>
      </c>
      <c r="M177" s="50" t="s">
        <v>5211</v>
      </c>
      <c r="N177" s="73" t="s">
        <v>3656</v>
      </c>
      <c r="O177" s="50" t="s">
        <v>5391</v>
      </c>
      <c r="P177" s="73" t="s">
        <v>3655</v>
      </c>
      <c r="Q177" s="50" t="s">
        <v>5391</v>
      </c>
      <c r="R177" s="73" t="s">
        <v>4906</v>
      </c>
      <c r="S177" s="50" t="s">
        <v>5391</v>
      </c>
      <c r="T177" s="73" t="s">
        <v>5006</v>
      </c>
      <c r="U177" s="50" t="s">
        <v>4927</v>
      </c>
      <c r="V177" s="73" t="s">
        <v>5392</v>
      </c>
      <c r="W177" s="50" t="s">
        <v>5211</v>
      </c>
    </row>
    <row r="178" spans="1:23" s="25" customFormat="1" ht="6.95" customHeight="1" x14ac:dyDescent="0.25">
      <c r="A178" s="26">
        <v>154</v>
      </c>
      <c r="B178" s="30" t="s">
        <v>746</v>
      </c>
      <c r="C178" s="61" t="s">
        <v>5493</v>
      </c>
      <c r="D178" s="51" t="s">
        <v>5009</v>
      </c>
      <c r="E178" s="52" t="s">
        <v>6003</v>
      </c>
      <c r="F178" s="51" t="s">
        <v>692</v>
      </c>
      <c r="G178" s="52" t="s">
        <v>692</v>
      </c>
      <c r="H178" s="73" t="s">
        <v>966</v>
      </c>
      <c r="I178" s="50" t="s">
        <v>1053</v>
      </c>
      <c r="J178" s="73" t="s">
        <v>1112</v>
      </c>
      <c r="K178" s="50" t="str">
        <f t="shared" si="2"/>
        <v>"BAS"</v>
      </c>
      <c r="L178" s="73" t="s">
        <v>895</v>
      </c>
      <c r="M178" s="50" t="s">
        <v>5212</v>
      </c>
      <c r="N178" s="73" t="s">
        <v>3656</v>
      </c>
      <c r="O178" s="50" t="s">
        <v>5391</v>
      </c>
      <c r="P178" s="73" t="s">
        <v>3655</v>
      </c>
      <c r="Q178" s="50" t="s">
        <v>5391</v>
      </c>
      <c r="R178" s="73" t="s">
        <v>4906</v>
      </c>
      <c r="S178" s="50" t="s">
        <v>5391</v>
      </c>
      <c r="T178" s="73" t="s">
        <v>5006</v>
      </c>
      <c r="U178" s="50" t="s">
        <v>4928</v>
      </c>
      <c r="V178" s="73" t="s">
        <v>5392</v>
      </c>
      <c r="W178" s="50" t="s">
        <v>5212</v>
      </c>
    </row>
    <row r="179" spans="1:23" s="25" customFormat="1" ht="6.95" customHeight="1" x14ac:dyDescent="0.25">
      <c r="A179" s="26">
        <v>155</v>
      </c>
      <c r="B179" s="30" t="s">
        <v>823</v>
      </c>
      <c r="C179" s="61" t="s">
        <v>5493</v>
      </c>
      <c r="D179" s="51" t="s">
        <v>5009</v>
      </c>
      <c r="E179" s="52" t="s">
        <v>6003</v>
      </c>
      <c r="F179" s="51" t="s">
        <v>692</v>
      </c>
      <c r="G179" s="52" t="s">
        <v>692</v>
      </c>
      <c r="H179" s="73" t="s">
        <v>966</v>
      </c>
      <c r="I179" s="50" t="s">
        <v>1053</v>
      </c>
      <c r="J179" s="73" t="s">
        <v>1112</v>
      </c>
      <c r="K179" s="50" t="str">
        <f t="shared" si="2"/>
        <v>"BLI"</v>
      </c>
      <c r="L179" s="73" t="s">
        <v>895</v>
      </c>
      <c r="M179" s="50" t="s">
        <v>5213</v>
      </c>
      <c r="N179" s="73" t="s">
        <v>3656</v>
      </c>
      <c r="O179" s="50" t="s">
        <v>5391</v>
      </c>
      <c r="P179" s="73" t="s">
        <v>3655</v>
      </c>
      <c r="Q179" s="50" t="s">
        <v>5391</v>
      </c>
      <c r="R179" s="73" t="s">
        <v>4906</v>
      </c>
      <c r="S179" s="50" t="s">
        <v>5391</v>
      </c>
      <c r="T179" s="73" t="s">
        <v>5006</v>
      </c>
      <c r="U179" s="50" t="s">
        <v>4929</v>
      </c>
      <c r="V179" s="73" t="s">
        <v>5392</v>
      </c>
      <c r="W179" s="50" t="s">
        <v>5213</v>
      </c>
    </row>
    <row r="180" spans="1:23" s="25" customFormat="1" ht="6.95" customHeight="1" x14ac:dyDescent="0.25">
      <c r="A180" s="26">
        <v>156</v>
      </c>
      <c r="B180" s="30" t="s">
        <v>352</v>
      </c>
      <c r="C180" s="61" t="s">
        <v>5493</v>
      </c>
      <c r="D180" s="51" t="s">
        <v>5009</v>
      </c>
      <c r="E180" s="52" t="s">
        <v>6003</v>
      </c>
      <c r="F180" s="51" t="s">
        <v>692</v>
      </c>
      <c r="G180" s="52" t="s">
        <v>692</v>
      </c>
      <c r="H180" s="73" t="s">
        <v>966</v>
      </c>
      <c r="I180" s="50" t="s">
        <v>1053</v>
      </c>
      <c r="J180" s="73" t="s">
        <v>1112</v>
      </c>
      <c r="K180" s="50" t="str">
        <f t="shared" si="2"/>
        <v>"CEG"</v>
      </c>
      <c r="L180" s="73" t="s">
        <v>895</v>
      </c>
      <c r="M180" s="50" t="s">
        <v>5214</v>
      </c>
      <c r="N180" s="73" t="s">
        <v>3656</v>
      </c>
      <c r="O180" s="50" t="s">
        <v>5391</v>
      </c>
      <c r="P180" s="73" t="s">
        <v>3655</v>
      </c>
      <c r="Q180" s="50" t="s">
        <v>5391</v>
      </c>
      <c r="R180" s="73" t="s">
        <v>4906</v>
      </c>
      <c r="S180" s="50" t="s">
        <v>5391</v>
      </c>
      <c r="T180" s="73" t="s">
        <v>5006</v>
      </c>
      <c r="U180" s="50" t="s">
        <v>4930</v>
      </c>
      <c r="V180" s="73" t="s">
        <v>5392</v>
      </c>
      <c r="W180" s="50" t="s">
        <v>5214</v>
      </c>
    </row>
    <row r="181" spans="1:23" s="25" customFormat="1" ht="6.95" customHeight="1" x14ac:dyDescent="0.25">
      <c r="A181" s="26">
        <v>157</v>
      </c>
      <c r="B181" s="30" t="s">
        <v>308</v>
      </c>
      <c r="C181" s="61" t="s">
        <v>5493</v>
      </c>
      <c r="D181" s="51" t="s">
        <v>5009</v>
      </c>
      <c r="E181" s="52" t="s">
        <v>6003</v>
      </c>
      <c r="F181" s="51" t="s">
        <v>692</v>
      </c>
      <c r="G181" s="52" t="s">
        <v>692</v>
      </c>
      <c r="H181" s="73" t="s">
        <v>966</v>
      </c>
      <c r="I181" s="50" t="s">
        <v>1053</v>
      </c>
      <c r="J181" s="73" t="s">
        <v>1112</v>
      </c>
      <c r="K181" s="50" t="str">
        <f t="shared" si="2"/>
        <v>"CNT"</v>
      </c>
      <c r="L181" s="73" t="s">
        <v>895</v>
      </c>
      <c r="M181" s="50" t="s">
        <v>5215</v>
      </c>
      <c r="N181" s="73" t="s">
        <v>3656</v>
      </c>
      <c r="O181" s="50" t="s">
        <v>5391</v>
      </c>
      <c r="P181" s="73" t="s">
        <v>3655</v>
      </c>
      <c r="Q181" s="50" t="s">
        <v>5391</v>
      </c>
      <c r="R181" s="73" t="s">
        <v>4906</v>
      </c>
      <c r="S181" s="50" t="s">
        <v>5391</v>
      </c>
      <c r="T181" s="73" t="s">
        <v>5006</v>
      </c>
      <c r="U181" s="50" t="s">
        <v>4931</v>
      </c>
      <c r="V181" s="73" t="s">
        <v>5392</v>
      </c>
      <c r="W181" s="50" t="s">
        <v>5215</v>
      </c>
    </row>
    <row r="182" spans="1:23" s="25" customFormat="1" ht="6.95" customHeight="1" x14ac:dyDescent="0.25">
      <c r="A182" s="26">
        <v>158</v>
      </c>
      <c r="B182" s="30" t="s">
        <v>830</v>
      </c>
      <c r="C182" s="61" t="s">
        <v>5493</v>
      </c>
      <c r="D182" s="51" t="s">
        <v>5009</v>
      </c>
      <c r="E182" s="52" t="s">
        <v>6003</v>
      </c>
      <c r="F182" s="51" t="s">
        <v>692</v>
      </c>
      <c r="G182" s="52" t="s">
        <v>692</v>
      </c>
      <c r="H182" s="73" t="s">
        <v>966</v>
      </c>
      <c r="I182" s="50" t="s">
        <v>1053</v>
      </c>
      <c r="J182" s="73" t="s">
        <v>1112</v>
      </c>
      <c r="K182" s="50" t="str">
        <f t="shared" si="2"/>
        <v>"COV"</v>
      </c>
      <c r="L182" s="73" t="s">
        <v>895</v>
      </c>
      <c r="M182" s="50" t="s">
        <v>5216</v>
      </c>
      <c r="N182" s="73" t="s">
        <v>3656</v>
      </c>
      <c r="O182" s="50" t="s">
        <v>5391</v>
      </c>
      <c r="P182" s="73" t="s">
        <v>3655</v>
      </c>
      <c r="Q182" s="50" t="s">
        <v>5391</v>
      </c>
      <c r="R182" s="73" t="s">
        <v>4906</v>
      </c>
      <c r="S182" s="50" t="s">
        <v>5391</v>
      </c>
      <c r="T182" s="73" t="s">
        <v>5006</v>
      </c>
      <c r="U182" s="50" t="s">
        <v>4932</v>
      </c>
      <c r="V182" s="73" t="s">
        <v>5392</v>
      </c>
      <c r="W182" s="50" t="s">
        <v>5216</v>
      </c>
    </row>
    <row r="183" spans="1:23" s="25" customFormat="1" ht="6.95" customHeight="1" x14ac:dyDescent="0.25">
      <c r="A183" s="26">
        <v>159</v>
      </c>
      <c r="B183" s="30" t="s">
        <v>10</v>
      </c>
      <c r="C183" s="61" t="s">
        <v>5493</v>
      </c>
      <c r="D183" s="51" t="s">
        <v>5009</v>
      </c>
      <c r="E183" s="52" t="s">
        <v>6003</v>
      </c>
      <c r="F183" s="51" t="s">
        <v>692</v>
      </c>
      <c r="G183" s="52" t="s">
        <v>692</v>
      </c>
      <c r="H183" s="73" t="s">
        <v>966</v>
      </c>
      <c r="I183" s="50" t="s">
        <v>1053</v>
      </c>
      <c r="J183" s="73" t="s">
        <v>1112</v>
      </c>
      <c r="K183" s="50" t="str">
        <f t="shared" si="2"/>
        <v>"CRI"</v>
      </c>
      <c r="L183" s="73" t="s">
        <v>895</v>
      </c>
      <c r="M183" s="50" t="s">
        <v>5217</v>
      </c>
      <c r="N183" s="73" t="s">
        <v>3656</v>
      </c>
      <c r="O183" s="50" t="s">
        <v>5391</v>
      </c>
      <c r="P183" s="73" t="s">
        <v>3655</v>
      </c>
      <c r="Q183" s="50" t="s">
        <v>5391</v>
      </c>
      <c r="R183" s="73" t="s">
        <v>4906</v>
      </c>
      <c r="S183" s="50" t="s">
        <v>5391</v>
      </c>
      <c r="T183" s="73" t="s">
        <v>5006</v>
      </c>
      <c r="U183" s="50" t="s">
        <v>4933</v>
      </c>
      <c r="V183" s="73" t="s">
        <v>5392</v>
      </c>
      <c r="W183" s="50" t="s">
        <v>5217</v>
      </c>
    </row>
    <row r="184" spans="1:23" s="25" customFormat="1" ht="6.95" customHeight="1" x14ac:dyDescent="0.25">
      <c r="A184" s="26">
        <v>160</v>
      </c>
      <c r="B184" s="30" t="s">
        <v>77</v>
      </c>
      <c r="C184" s="61" t="s">
        <v>5493</v>
      </c>
      <c r="D184" s="51" t="s">
        <v>5009</v>
      </c>
      <c r="E184" s="52" t="s">
        <v>6003</v>
      </c>
      <c r="F184" s="51" t="s">
        <v>692</v>
      </c>
      <c r="G184" s="52" t="s">
        <v>692</v>
      </c>
      <c r="H184" s="73" t="s">
        <v>966</v>
      </c>
      <c r="I184" s="50" t="s">
        <v>1053</v>
      </c>
      <c r="J184" s="73" t="s">
        <v>1112</v>
      </c>
      <c r="K184" s="50" t="str">
        <f t="shared" si="2"/>
        <v>"DEC"</v>
      </c>
      <c r="L184" s="73" t="s">
        <v>895</v>
      </c>
      <c r="M184" s="50" t="s">
        <v>5218</v>
      </c>
      <c r="N184" s="73" t="s">
        <v>3656</v>
      </c>
      <c r="O184" s="50" t="s">
        <v>5391</v>
      </c>
      <c r="P184" s="73" t="s">
        <v>3655</v>
      </c>
      <c r="Q184" s="50" t="s">
        <v>5391</v>
      </c>
      <c r="R184" s="73" t="s">
        <v>4906</v>
      </c>
      <c r="S184" s="50" t="s">
        <v>5391</v>
      </c>
      <c r="T184" s="73" t="s">
        <v>5006</v>
      </c>
      <c r="U184" s="50" t="s">
        <v>4934</v>
      </c>
      <c r="V184" s="73" t="s">
        <v>5392</v>
      </c>
      <c r="W184" s="50" t="s">
        <v>5218</v>
      </c>
    </row>
    <row r="185" spans="1:23" s="25" customFormat="1" ht="6.95" customHeight="1" x14ac:dyDescent="0.25">
      <c r="A185" s="26">
        <v>161</v>
      </c>
      <c r="B185" s="30" t="s">
        <v>119</v>
      </c>
      <c r="C185" s="61" t="s">
        <v>5493</v>
      </c>
      <c r="D185" s="51" t="s">
        <v>5009</v>
      </c>
      <c r="E185" s="52" t="s">
        <v>6003</v>
      </c>
      <c r="F185" s="51" t="s">
        <v>692</v>
      </c>
      <c r="G185" s="52" t="s">
        <v>692</v>
      </c>
      <c r="H185" s="73" t="s">
        <v>966</v>
      </c>
      <c r="I185" s="50" t="s">
        <v>1053</v>
      </c>
      <c r="J185" s="73" t="s">
        <v>1112</v>
      </c>
      <c r="K185" s="50" t="str">
        <f t="shared" si="2"/>
        <v>"DEZ"</v>
      </c>
      <c r="L185" s="73" t="s">
        <v>895</v>
      </c>
      <c r="M185" s="50" t="s">
        <v>5219</v>
      </c>
      <c r="N185" s="73" t="s">
        <v>3656</v>
      </c>
      <c r="O185" s="50" t="s">
        <v>5391</v>
      </c>
      <c r="P185" s="73" t="s">
        <v>3655</v>
      </c>
      <c r="Q185" s="50" t="s">
        <v>5391</v>
      </c>
      <c r="R185" s="73" t="s">
        <v>4906</v>
      </c>
      <c r="S185" s="50" t="s">
        <v>5391</v>
      </c>
      <c r="T185" s="73" t="s">
        <v>5006</v>
      </c>
      <c r="U185" s="50" t="s">
        <v>4935</v>
      </c>
      <c r="V185" s="73" t="s">
        <v>5392</v>
      </c>
      <c r="W185" s="50" t="s">
        <v>5219</v>
      </c>
    </row>
    <row r="186" spans="1:23" s="25" customFormat="1" ht="6.95" customHeight="1" x14ac:dyDescent="0.25">
      <c r="A186" s="26">
        <v>162</v>
      </c>
      <c r="B186" s="30" t="s">
        <v>774</v>
      </c>
      <c r="C186" s="61" t="s">
        <v>5493</v>
      </c>
      <c r="D186" s="51" t="s">
        <v>5009</v>
      </c>
      <c r="E186" s="52" t="s">
        <v>6003</v>
      </c>
      <c r="F186" s="51" t="s">
        <v>692</v>
      </c>
      <c r="G186" s="52" t="s">
        <v>692</v>
      </c>
      <c r="H186" s="73" t="s">
        <v>966</v>
      </c>
      <c r="I186" s="50" t="s">
        <v>1053</v>
      </c>
      <c r="J186" s="73" t="s">
        <v>1112</v>
      </c>
      <c r="K186" s="50" t="str">
        <f t="shared" si="2"/>
        <v>"DIL"</v>
      </c>
      <c r="L186" s="73" t="s">
        <v>895</v>
      </c>
      <c r="M186" s="50" t="s">
        <v>5220</v>
      </c>
      <c r="N186" s="73" t="s">
        <v>3656</v>
      </c>
      <c r="O186" s="50" t="s">
        <v>5391</v>
      </c>
      <c r="P186" s="73" t="s">
        <v>3655</v>
      </c>
      <c r="Q186" s="50" t="s">
        <v>5391</v>
      </c>
      <c r="R186" s="73" t="s">
        <v>4906</v>
      </c>
      <c r="S186" s="50" t="s">
        <v>5391</v>
      </c>
      <c r="T186" s="73" t="s">
        <v>5006</v>
      </c>
      <c r="U186" s="50" t="s">
        <v>4936</v>
      </c>
      <c r="V186" s="73" t="s">
        <v>5392</v>
      </c>
      <c r="W186" s="50" t="s">
        <v>5220</v>
      </c>
    </row>
    <row r="187" spans="1:23" s="25" customFormat="1" ht="6.95" customHeight="1" x14ac:dyDescent="0.25">
      <c r="A187" s="26">
        <v>163</v>
      </c>
      <c r="B187" s="30" t="s">
        <v>1020</v>
      </c>
      <c r="C187" s="61" t="s">
        <v>5493</v>
      </c>
      <c r="D187" s="51" t="s">
        <v>5009</v>
      </c>
      <c r="E187" s="52" t="s">
        <v>6003</v>
      </c>
      <c r="F187" s="51" t="s">
        <v>692</v>
      </c>
      <c r="G187" s="52" t="s">
        <v>692</v>
      </c>
      <c r="H187" s="73" t="s">
        <v>966</v>
      </c>
      <c r="I187" s="50" t="s">
        <v>1053</v>
      </c>
      <c r="J187" s="73" t="s">
        <v>1112</v>
      </c>
      <c r="K187" s="50" t="str">
        <f t="shared" si="2"/>
        <v>"DEX"</v>
      </c>
      <c r="L187" s="73" t="s">
        <v>895</v>
      </c>
      <c r="M187" s="50" t="s">
        <v>5221</v>
      </c>
      <c r="N187" s="73" t="s">
        <v>3656</v>
      </c>
      <c r="O187" s="50" t="s">
        <v>5391</v>
      </c>
      <c r="P187" s="73" t="s">
        <v>3655</v>
      </c>
      <c r="Q187" s="50" t="s">
        <v>5391</v>
      </c>
      <c r="R187" s="73" t="s">
        <v>4906</v>
      </c>
      <c r="S187" s="50" t="s">
        <v>5391</v>
      </c>
      <c r="T187" s="73" t="s">
        <v>5006</v>
      </c>
      <c r="U187" s="50" t="s">
        <v>4937</v>
      </c>
      <c r="V187" s="73" t="s">
        <v>5392</v>
      </c>
      <c r="W187" s="50" t="s">
        <v>5221</v>
      </c>
    </row>
    <row r="188" spans="1:23" s="25" customFormat="1" ht="6.95" customHeight="1" x14ac:dyDescent="0.25">
      <c r="A188" s="26">
        <v>164</v>
      </c>
      <c r="B188" s="30" t="s">
        <v>227</v>
      </c>
      <c r="C188" s="61" t="s">
        <v>5493</v>
      </c>
      <c r="D188" s="51" t="s">
        <v>5009</v>
      </c>
      <c r="E188" s="52" t="s">
        <v>6003</v>
      </c>
      <c r="F188" s="51" t="s">
        <v>692</v>
      </c>
      <c r="G188" s="52" t="s">
        <v>692</v>
      </c>
      <c r="H188" s="73" t="s">
        <v>966</v>
      </c>
      <c r="I188" s="50" t="s">
        <v>1053</v>
      </c>
      <c r="J188" s="73" t="s">
        <v>1112</v>
      </c>
      <c r="K188" s="50" t="str">
        <f t="shared" si="2"/>
        <v>"DPE"</v>
      </c>
      <c r="L188" s="73" t="s">
        <v>895</v>
      </c>
      <c r="M188" s="50" t="s">
        <v>5222</v>
      </c>
      <c r="N188" s="73" t="s">
        <v>3656</v>
      </c>
      <c r="O188" s="50" t="s">
        <v>5391</v>
      </c>
      <c r="P188" s="73" t="s">
        <v>3655</v>
      </c>
      <c r="Q188" s="50" t="s">
        <v>5391</v>
      </c>
      <c r="R188" s="73" t="s">
        <v>4906</v>
      </c>
      <c r="S188" s="50" t="s">
        <v>5391</v>
      </c>
      <c r="T188" s="73" t="s">
        <v>5006</v>
      </c>
      <c r="U188" s="50" t="s">
        <v>4938</v>
      </c>
      <c r="V188" s="73" t="s">
        <v>5392</v>
      </c>
      <c r="W188" s="50" t="s">
        <v>5222</v>
      </c>
    </row>
    <row r="189" spans="1:23" s="25" customFormat="1" ht="6.95" customHeight="1" x14ac:dyDescent="0.25">
      <c r="A189" s="26">
        <v>165</v>
      </c>
      <c r="B189" s="30" t="s">
        <v>155</v>
      </c>
      <c r="C189" s="61" t="s">
        <v>5493</v>
      </c>
      <c r="D189" s="51" t="s">
        <v>5009</v>
      </c>
      <c r="E189" s="52" t="s">
        <v>6003</v>
      </c>
      <c r="F189" s="51" t="s">
        <v>692</v>
      </c>
      <c r="G189" s="52" t="s">
        <v>692</v>
      </c>
      <c r="H189" s="73" t="s">
        <v>966</v>
      </c>
      <c r="I189" s="50" t="s">
        <v>1053</v>
      </c>
      <c r="J189" s="73" t="s">
        <v>1112</v>
      </c>
      <c r="K189" s="50" t="str">
        <f t="shared" si="2"/>
        <v>"DYW"</v>
      </c>
      <c r="L189" s="73" t="s">
        <v>895</v>
      </c>
      <c r="M189" s="50" t="s">
        <v>5223</v>
      </c>
      <c r="N189" s="73" t="s">
        <v>3656</v>
      </c>
      <c r="O189" s="50" t="s">
        <v>5391</v>
      </c>
      <c r="P189" s="73" t="s">
        <v>3655</v>
      </c>
      <c r="Q189" s="50" t="s">
        <v>5391</v>
      </c>
      <c r="R189" s="73" t="s">
        <v>4906</v>
      </c>
      <c r="S189" s="50" t="s">
        <v>5391</v>
      </c>
      <c r="T189" s="73" t="s">
        <v>5006</v>
      </c>
      <c r="U189" s="50" t="s">
        <v>4939</v>
      </c>
      <c r="V189" s="73" t="s">
        <v>5392</v>
      </c>
      <c r="W189" s="50" t="s">
        <v>5223</v>
      </c>
    </row>
    <row r="190" spans="1:23" s="25" customFormat="1" ht="6.95" customHeight="1" x14ac:dyDescent="0.25">
      <c r="A190" s="26">
        <v>166</v>
      </c>
      <c r="B190" s="30" t="s">
        <v>21</v>
      </c>
      <c r="C190" s="61" t="s">
        <v>5493</v>
      </c>
      <c r="D190" s="51" t="s">
        <v>5009</v>
      </c>
      <c r="E190" s="52" t="s">
        <v>6003</v>
      </c>
      <c r="F190" s="51" t="s">
        <v>692</v>
      </c>
      <c r="G190" s="52" t="s">
        <v>692</v>
      </c>
      <c r="H190" s="73" t="s">
        <v>966</v>
      </c>
      <c r="I190" s="50" t="s">
        <v>1053</v>
      </c>
      <c r="J190" s="73" t="s">
        <v>1112</v>
      </c>
      <c r="K190" s="50" t="str">
        <f t="shared" si="2"/>
        <v>"EMB"</v>
      </c>
      <c r="L190" s="73" t="s">
        <v>895</v>
      </c>
      <c r="M190" s="50" t="s">
        <v>5224</v>
      </c>
      <c r="N190" s="73" t="s">
        <v>3656</v>
      </c>
      <c r="O190" s="50" t="s">
        <v>5391</v>
      </c>
      <c r="P190" s="73" t="s">
        <v>3655</v>
      </c>
      <c r="Q190" s="50" t="s">
        <v>5391</v>
      </c>
      <c r="R190" s="73" t="s">
        <v>4906</v>
      </c>
      <c r="S190" s="50" t="s">
        <v>5391</v>
      </c>
      <c r="T190" s="73" t="s">
        <v>5006</v>
      </c>
      <c r="U190" s="50" t="s">
        <v>4940</v>
      </c>
      <c r="V190" s="73" t="s">
        <v>5392</v>
      </c>
      <c r="W190" s="50" t="s">
        <v>5224</v>
      </c>
    </row>
    <row r="191" spans="1:23" s="25" customFormat="1" ht="6.95" customHeight="1" x14ac:dyDescent="0.25">
      <c r="A191" s="26">
        <v>167</v>
      </c>
      <c r="B191" s="30" t="s">
        <v>75</v>
      </c>
      <c r="C191" s="61" t="s">
        <v>5493</v>
      </c>
      <c r="D191" s="51" t="s">
        <v>5009</v>
      </c>
      <c r="E191" s="52" t="s">
        <v>6003</v>
      </c>
      <c r="F191" s="51" t="s">
        <v>692</v>
      </c>
      <c r="G191" s="52" t="s">
        <v>692</v>
      </c>
      <c r="H191" s="73" t="s">
        <v>966</v>
      </c>
      <c r="I191" s="50" t="s">
        <v>1053</v>
      </c>
      <c r="J191" s="73" t="s">
        <v>1112</v>
      </c>
      <c r="K191" s="50" t="str">
        <f t="shared" si="2"/>
        <v>"EME"</v>
      </c>
      <c r="L191" s="73" t="s">
        <v>895</v>
      </c>
      <c r="M191" s="50" t="s">
        <v>5225</v>
      </c>
      <c r="N191" s="73" t="s">
        <v>3656</v>
      </c>
      <c r="O191" s="50" t="s">
        <v>5391</v>
      </c>
      <c r="P191" s="73" t="s">
        <v>3655</v>
      </c>
      <c r="Q191" s="50" t="s">
        <v>5391</v>
      </c>
      <c r="R191" s="73" t="s">
        <v>4906</v>
      </c>
      <c r="S191" s="50" t="s">
        <v>5391</v>
      </c>
      <c r="T191" s="73" t="s">
        <v>5006</v>
      </c>
      <c r="U191" s="50" t="s">
        <v>4941</v>
      </c>
      <c r="V191" s="73" t="s">
        <v>5392</v>
      </c>
      <c r="W191" s="50" t="s">
        <v>5225</v>
      </c>
    </row>
    <row r="192" spans="1:23" s="25" customFormat="1" ht="6.95" customHeight="1" x14ac:dyDescent="0.25">
      <c r="A192" s="26">
        <v>168</v>
      </c>
      <c r="B192" s="30" t="s">
        <v>296</v>
      </c>
      <c r="C192" s="61" t="s">
        <v>5493</v>
      </c>
      <c r="D192" s="51" t="s">
        <v>5009</v>
      </c>
      <c r="E192" s="52" t="s">
        <v>6003</v>
      </c>
      <c r="F192" s="51" t="s">
        <v>692</v>
      </c>
      <c r="G192" s="52" t="s">
        <v>692</v>
      </c>
      <c r="H192" s="73" t="s">
        <v>966</v>
      </c>
      <c r="I192" s="50" t="s">
        <v>1053</v>
      </c>
      <c r="J192" s="73" t="s">
        <v>1112</v>
      </c>
      <c r="K192" s="50" t="str">
        <f t="shared" si="2"/>
        <v>"FUR"</v>
      </c>
      <c r="L192" s="73" t="s">
        <v>895</v>
      </c>
      <c r="M192" s="50" t="s">
        <v>5226</v>
      </c>
      <c r="N192" s="73" t="s">
        <v>3656</v>
      </c>
      <c r="O192" s="50" t="s">
        <v>5391</v>
      </c>
      <c r="P192" s="73" t="s">
        <v>3655</v>
      </c>
      <c r="Q192" s="50" t="s">
        <v>5391</v>
      </c>
      <c r="R192" s="73" t="s">
        <v>4906</v>
      </c>
      <c r="S192" s="50" t="s">
        <v>5391</v>
      </c>
      <c r="T192" s="73" t="s">
        <v>5006</v>
      </c>
      <c r="U192" s="50" t="s">
        <v>4942</v>
      </c>
      <c r="V192" s="73" t="s">
        <v>5392</v>
      </c>
      <c r="W192" s="50" t="s">
        <v>5226</v>
      </c>
    </row>
    <row r="193" spans="1:23" s="25" customFormat="1" ht="6.95" customHeight="1" x14ac:dyDescent="0.25">
      <c r="A193" s="26">
        <v>169</v>
      </c>
      <c r="B193" s="30" t="s">
        <v>744</v>
      </c>
      <c r="C193" s="61" t="s">
        <v>5493</v>
      </c>
      <c r="D193" s="51" t="s">
        <v>5009</v>
      </c>
      <c r="E193" s="52" t="s">
        <v>6003</v>
      </c>
      <c r="F193" s="51" t="s">
        <v>692</v>
      </c>
      <c r="G193" s="52" t="s">
        <v>692</v>
      </c>
      <c r="H193" s="73" t="s">
        <v>966</v>
      </c>
      <c r="I193" s="50" t="s">
        <v>1053</v>
      </c>
      <c r="J193" s="73" t="s">
        <v>1112</v>
      </c>
      <c r="K193" s="50" t="str">
        <f t="shared" si="2"/>
        <v>"GUI"</v>
      </c>
      <c r="L193" s="73" t="s">
        <v>895</v>
      </c>
      <c r="M193" s="50" t="s">
        <v>5227</v>
      </c>
      <c r="N193" s="73" t="s">
        <v>3656</v>
      </c>
      <c r="O193" s="50" t="s">
        <v>5391</v>
      </c>
      <c r="P193" s="73" t="s">
        <v>3655</v>
      </c>
      <c r="Q193" s="50" t="s">
        <v>5391</v>
      </c>
      <c r="R193" s="73" t="s">
        <v>4906</v>
      </c>
      <c r="S193" s="50" t="s">
        <v>5391</v>
      </c>
      <c r="T193" s="73" t="s">
        <v>5006</v>
      </c>
      <c r="U193" s="50" t="s">
        <v>4943</v>
      </c>
      <c r="V193" s="73" t="s">
        <v>5392</v>
      </c>
      <c r="W193" s="50" t="s">
        <v>5227</v>
      </c>
    </row>
    <row r="194" spans="1:23" s="25" customFormat="1" ht="6.95" customHeight="1" x14ac:dyDescent="0.25">
      <c r="A194" s="26">
        <v>170</v>
      </c>
      <c r="B194" s="30" t="s">
        <v>16</v>
      </c>
      <c r="C194" s="61" t="s">
        <v>5493</v>
      </c>
      <c r="D194" s="51" t="s">
        <v>5009</v>
      </c>
      <c r="E194" s="52" t="s">
        <v>6003</v>
      </c>
      <c r="F194" s="51" t="s">
        <v>692</v>
      </c>
      <c r="G194" s="52" t="s">
        <v>692</v>
      </c>
      <c r="H194" s="73" t="s">
        <v>966</v>
      </c>
      <c r="I194" s="50" t="s">
        <v>1053</v>
      </c>
      <c r="J194" s="73" t="s">
        <v>1112</v>
      </c>
      <c r="K194" s="50" t="str">
        <f t="shared" ref="K194:K257" si="3">_xlfn.CONCAT("""",B194,"""")</f>
        <v>"H2O"</v>
      </c>
      <c r="L194" s="73" t="s">
        <v>895</v>
      </c>
      <c r="M194" s="50" t="s">
        <v>5228</v>
      </c>
      <c r="N194" s="73" t="s">
        <v>3656</v>
      </c>
      <c r="O194" s="50" t="s">
        <v>5391</v>
      </c>
      <c r="P194" s="73" t="s">
        <v>3655</v>
      </c>
      <c r="Q194" s="50" t="s">
        <v>5391</v>
      </c>
      <c r="R194" s="73" t="s">
        <v>4906</v>
      </c>
      <c r="S194" s="50" t="s">
        <v>5391</v>
      </c>
      <c r="T194" s="73" t="s">
        <v>5006</v>
      </c>
      <c r="U194" s="50" t="s">
        <v>4944</v>
      </c>
      <c r="V194" s="73" t="s">
        <v>5392</v>
      </c>
      <c r="W194" s="50" t="s">
        <v>5228</v>
      </c>
    </row>
    <row r="195" spans="1:23" s="25" customFormat="1" ht="6.95" customHeight="1" x14ac:dyDescent="0.25">
      <c r="A195" s="26">
        <v>171</v>
      </c>
      <c r="B195" s="30" t="s">
        <v>225</v>
      </c>
      <c r="C195" s="61" t="s">
        <v>5493</v>
      </c>
      <c r="D195" s="51" t="s">
        <v>5009</v>
      </c>
      <c r="E195" s="52" t="s">
        <v>6003</v>
      </c>
      <c r="F195" s="51" t="s">
        <v>692</v>
      </c>
      <c r="G195" s="52" t="s">
        <v>692</v>
      </c>
      <c r="H195" s="73" t="s">
        <v>966</v>
      </c>
      <c r="I195" s="50" t="s">
        <v>1053</v>
      </c>
      <c r="J195" s="73" t="s">
        <v>1112</v>
      </c>
      <c r="K195" s="50" t="str">
        <f t="shared" si="3"/>
        <v>"IES"</v>
      </c>
      <c r="L195" s="73" t="s">
        <v>895</v>
      </c>
      <c r="M195" s="50" t="s">
        <v>5229</v>
      </c>
      <c r="N195" s="73" t="s">
        <v>3656</v>
      </c>
      <c r="O195" s="50" t="s">
        <v>5391</v>
      </c>
      <c r="P195" s="73" t="s">
        <v>3655</v>
      </c>
      <c r="Q195" s="50" t="s">
        <v>5391</v>
      </c>
      <c r="R195" s="73" t="s">
        <v>4906</v>
      </c>
      <c r="S195" s="50" t="s">
        <v>5391</v>
      </c>
      <c r="T195" s="73" t="s">
        <v>5006</v>
      </c>
      <c r="U195" s="50" t="s">
        <v>4945</v>
      </c>
      <c r="V195" s="73" t="s">
        <v>5392</v>
      </c>
      <c r="W195" s="50" t="s">
        <v>5229</v>
      </c>
    </row>
    <row r="196" spans="1:23" s="25" customFormat="1" ht="6.95" customHeight="1" x14ac:dyDescent="0.25">
      <c r="A196" s="26">
        <v>172</v>
      </c>
      <c r="B196" s="30" t="s">
        <v>224</v>
      </c>
      <c r="C196" s="61" t="s">
        <v>5493</v>
      </c>
      <c r="D196" s="51" t="s">
        <v>5009</v>
      </c>
      <c r="E196" s="52" t="s">
        <v>6003</v>
      </c>
      <c r="F196" s="51" t="s">
        <v>692</v>
      </c>
      <c r="G196" s="52" t="s">
        <v>692</v>
      </c>
      <c r="H196" s="73" t="s">
        <v>966</v>
      </c>
      <c r="I196" s="50" t="s">
        <v>1053</v>
      </c>
      <c r="J196" s="73" t="s">
        <v>1112</v>
      </c>
      <c r="K196" s="50" t="str">
        <f t="shared" si="3"/>
        <v>"IGE"</v>
      </c>
      <c r="L196" s="73" t="s">
        <v>895</v>
      </c>
      <c r="M196" s="50" t="s">
        <v>5230</v>
      </c>
      <c r="N196" s="73" t="s">
        <v>3656</v>
      </c>
      <c r="O196" s="50" t="s">
        <v>5391</v>
      </c>
      <c r="P196" s="73" t="s">
        <v>3655</v>
      </c>
      <c r="Q196" s="50" t="s">
        <v>5391</v>
      </c>
      <c r="R196" s="73" t="s">
        <v>4906</v>
      </c>
      <c r="S196" s="50" t="s">
        <v>5391</v>
      </c>
      <c r="T196" s="73" t="s">
        <v>5006</v>
      </c>
      <c r="U196" s="50" t="s">
        <v>4946</v>
      </c>
      <c r="V196" s="73" t="s">
        <v>5392</v>
      </c>
      <c r="W196" s="50" t="s">
        <v>5230</v>
      </c>
    </row>
    <row r="197" spans="1:23" s="25" customFormat="1" ht="6.95" customHeight="1" x14ac:dyDescent="0.25">
      <c r="A197" s="26">
        <v>173</v>
      </c>
      <c r="B197" s="30" t="s">
        <v>794</v>
      </c>
      <c r="C197" s="61" t="s">
        <v>5493</v>
      </c>
      <c r="D197" s="51" t="s">
        <v>5009</v>
      </c>
      <c r="E197" s="52" t="s">
        <v>6003</v>
      </c>
      <c r="F197" s="51" t="s">
        <v>692</v>
      </c>
      <c r="G197" s="52" t="s">
        <v>692</v>
      </c>
      <c r="H197" s="73" t="s">
        <v>966</v>
      </c>
      <c r="I197" s="50" t="s">
        <v>1053</v>
      </c>
      <c r="J197" s="73" t="s">
        <v>1112</v>
      </c>
      <c r="K197" s="50" t="str">
        <f t="shared" si="3"/>
        <v>"ISO"</v>
      </c>
      <c r="L197" s="73" t="s">
        <v>895</v>
      </c>
      <c r="M197" s="50" t="s">
        <v>5231</v>
      </c>
      <c r="N197" s="73" t="s">
        <v>3656</v>
      </c>
      <c r="O197" s="50" t="s">
        <v>5391</v>
      </c>
      <c r="P197" s="73" t="s">
        <v>3655</v>
      </c>
      <c r="Q197" s="50" t="s">
        <v>5391</v>
      </c>
      <c r="R197" s="73" t="s">
        <v>4906</v>
      </c>
      <c r="S197" s="50" t="s">
        <v>5391</v>
      </c>
      <c r="T197" s="73" t="s">
        <v>5006</v>
      </c>
      <c r="U197" s="50" t="s">
        <v>4947</v>
      </c>
      <c r="V197" s="73" t="s">
        <v>5392</v>
      </c>
      <c r="W197" s="50" t="s">
        <v>5231</v>
      </c>
    </row>
    <row r="198" spans="1:23" s="25" customFormat="1" ht="6.95" customHeight="1" x14ac:dyDescent="0.25">
      <c r="A198" s="26">
        <v>174</v>
      </c>
      <c r="B198" s="30" t="s">
        <v>100</v>
      </c>
      <c r="C198" s="61" t="s">
        <v>5493</v>
      </c>
      <c r="D198" s="51" t="s">
        <v>5009</v>
      </c>
      <c r="E198" s="52" t="s">
        <v>6003</v>
      </c>
      <c r="F198" s="51" t="s">
        <v>692</v>
      </c>
      <c r="G198" s="52" t="s">
        <v>692</v>
      </c>
      <c r="H198" s="73" t="s">
        <v>966</v>
      </c>
      <c r="I198" s="50" t="s">
        <v>1053</v>
      </c>
      <c r="J198" s="73" t="s">
        <v>1112</v>
      </c>
      <c r="K198" s="50" t="str">
        <f t="shared" si="3"/>
        <v>"MAN"</v>
      </c>
      <c r="L198" s="73" t="s">
        <v>895</v>
      </c>
      <c r="M198" s="50" t="s">
        <v>5232</v>
      </c>
      <c r="N198" s="73" t="s">
        <v>3656</v>
      </c>
      <c r="O198" s="50" t="s">
        <v>5391</v>
      </c>
      <c r="P198" s="73" t="s">
        <v>3655</v>
      </c>
      <c r="Q198" s="50" t="s">
        <v>5391</v>
      </c>
      <c r="R198" s="73" t="s">
        <v>4906</v>
      </c>
      <c r="S198" s="50" t="s">
        <v>5391</v>
      </c>
      <c r="T198" s="73" t="s">
        <v>5006</v>
      </c>
      <c r="U198" s="50" t="s">
        <v>4948</v>
      </c>
      <c r="V198" s="73" t="s">
        <v>5392</v>
      </c>
      <c r="W198" s="50" t="s">
        <v>5232</v>
      </c>
    </row>
    <row r="199" spans="1:23" s="25" customFormat="1" ht="6.95" customHeight="1" x14ac:dyDescent="0.25">
      <c r="A199" s="26">
        <v>175</v>
      </c>
      <c r="B199" s="30" t="s">
        <v>68</v>
      </c>
      <c r="C199" s="61" t="s">
        <v>5493</v>
      </c>
      <c r="D199" s="51" t="s">
        <v>5009</v>
      </c>
      <c r="E199" s="52" t="s">
        <v>6003</v>
      </c>
      <c r="F199" s="51" t="s">
        <v>692</v>
      </c>
      <c r="G199" s="52" t="s">
        <v>692</v>
      </c>
      <c r="H199" s="73" t="s">
        <v>966</v>
      </c>
      <c r="I199" s="50" t="s">
        <v>1053</v>
      </c>
      <c r="J199" s="73" t="s">
        <v>1112</v>
      </c>
      <c r="K199" s="50" t="str">
        <f t="shared" si="3"/>
        <v>"MEN"</v>
      </c>
      <c r="L199" s="73" t="s">
        <v>895</v>
      </c>
      <c r="M199" s="50" t="s">
        <v>5233</v>
      </c>
      <c r="N199" s="73" t="s">
        <v>3656</v>
      </c>
      <c r="O199" s="50" t="s">
        <v>5391</v>
      </c>
      <c r="P199" s="73" t="s">
        <v>3655</v>
      </c>
      <c r="Q199" s="50" t="s">
        <v>5391</v>
      </c>
      <c r="R199" s="73" t="s">
        <v>4906</v>
      </c>
      <c r="S199" s="50" t="s">
        <v>5391</v>
      </c>
      <c r="T199" s="73" t="s">
        <v>5006</v>
      </c>
      <c r="U199" s="50" t="s">
        <v>4949</v>
      </c>
      <c r="V199" s="73" t="s">
        <v>5392</v>
      </c>
      <c r="W199" s="50" t="s">
        <v>5233</v>
      </c>
    </row>
    <row r="200" spans="1:23" s="25" customFormat="1" ht="6.95" customHeight="1" x14ac:dyDescent="0.25">
      <c r="A200" s="26">
        <v>176</v>
      </c>
      <c r="B200" s="30" t="s">
        <v>1024</v>
      </c>
      <c r="C200" s="61" t="s">
        <v>5493</v>
      </c>
      <c r="D200" s="51" t="s">
        <v>5009</v>
      </c>
      <c r="E200" s="52" t="s">
        <v>6003</v>
      </c>
      <c r="F200" s="51" t="s">
        <v>692</v>
      </c>
      <c r="G200" s="52" t="s">
        <v>692</v>
      </c>
      <c r="H200" s="73" t="s">
        <v>966</v>
      </c>
      <c r="I200" s="50" t="s">
        <v>1053</v>
      </c>
      <c r="J200" s="73" t="s">
        <v>1112</v>
      </c>
      <c r="K200" s="50" t="str">
        <f t="shared" si="3"/>
        <v>"COM"</v>
      </c>
      <c r="L200" s="73" t="s">
        <v>895</v>
      </c>
      <c r="M200" s="50" t="s">
        <v>5234</v>
      </c>
      <c r="N200" s="73" t="s">
        <v>3656</v>
      </c>
      <c r="O200" s="50" t="s">
        <v>5391</v>
      </c>
      <c r="P200" s="73" t="s">
        <v>3655</v>
      </c>
      <c r="Q200" s="50" t="s">
        <v>5391</v>
      </c>
      <c r="R200" s="73" t="s">
        <v>4906</v>
      </c>
      <c r="S200" s="50" t="s">
        <v>5391</v>
      </c>
      <c r="T200" s="73" t="s">
        <v>5006</v>
      </c>
      <c r="U200" s="50" t="s">
        <v>4950</v>
      </c>
      <c r="V200" s="73" t="s">
        <v>5392</v>
      </c>
      <c r="W200" s="50" t="s">
        <v>5234</v>
      </c>
    </row>
    <row r="201" spans="1:23" s="25" customFormat="1" ht="6.95" customHeight="1" x14ac:dyDescent="0.25">
      <c r="A201" s="26">
        <v>177</v>
      </c>
      <c r="B201" s="30" t="s">
        <v>335</v>
      </c>
      <c r="C201" s="61" t="s">
        <v>5493</v>
      </c>
      <c r="D201" s="51" t="s">
        <v>5009</v>
      </c>
      <c r="E201" s="52" t="s">
        <v>6003</v>
      </c>
      <c r="F201" s="51" t="s">
        <v>692</v>
      </c>
      <c r="G201" s="52" t="s">
        <v>692</v>
      </c>
      <c r="H201" s="73" t="s">
        <v>966</v>
      </c>
      <c r="I201" s="50" t="s">
        <v>1053</v>
      </c>
      <c r="J201" s="73" t="s">
        <v>1112</v>
      </c>
      <c r="K201" s="50" t="str">
        <f t="shared" si="3"/>
        <v>"MST"</v>
      </c>
      <c r="L201" s="73" t="s">
        <v>895</v>
      </c>
      <c r="M201" s="50" t="s">
        <v>5235</v>
      </c>
      <c r="N201" s="73" t="s">
        <v>3656</v>
      </c>
      <c r="O201" s="50" t="s">
        <v>5391</v>
      </c>
      <c r="P201" s="73" t="s">
        <v>3655</v>
      </c>
      <c r="Q201" s="50" t="s">
        <v>5391</v>
      </c>
      <c r="R201" s="73" t="s">
        <v>4906</v>
      </c>
      <c r="S201" s="50" t="s">
        <v>5391</v>
      </c>
      <c r="T201" s="73" t="s">
        <v>5006</v>
      </c>
      <c r="U201" s="50" t="s">
        <v>4951</v>
      </c>
      <c r="V201" s="73" t="s">
        <v>5392</v>
      </c>
      <c r="W201" s="50" t="s">
        <v>5235</v>
      </c>
    </row>
    <row r="202" spans="1:23" s="25" customFormat="1" ht="6.95" customHeight="1" x14ac:dyDescent="0.25">
      <c r="A202" s="26">
        <v>178</v>
      </c>
      <c r="B202" s="30" t="s">
        <v>804</v>
      </c>
      <c r="C202" s="61" t="s">
        <v>5493</v>
      </c>
      <c r="D202" s="51" t="s">
        <v>5009</v>
      </c>
      <c r="E202" s="52" t="s">
        <v>6003</v>
      </c>
      <c r="F202" s="51" t="s">
        <v>692</v>
      </c>
      <c r="G202" s="52" t="s">
        <v>692</v>
      </c>
      <c r="H202" s="73" t="s">
        <v>966</v>
      </c>
      <c r="I202" s="50" t="s">
        <v>1053</v>
      </c>
      <c r="J202" s="73" t="s">
        <v>1112</v>
      </c>
      <c r="K202" s="50" t="str">
        <f t="shared" si="3"/>
        <v>"ORI"</v>
      </c>
      <c r="L202" s="73" t="s">
        <v>895</v>
      </c>
      <c r="M202" s="50" t="s">
        <v>5236</v>
      </c>
      <c r="N202" s="73" t="s">
        <v>3656</v>
      </c>
      <c r="O202" s="50" t="s">
        <v>5391</v>
      </c>
      <c r="P202" s="73" t="s">
        <v>3655</v>
      </c>
      <c r="Q202" s="50" t="s">
        <v>5391</v>
      </c>
      <c r="R202" s="73" t="s">
        <v>4906</v>
      </c>
      <c r="S202" s="50" t="s">
        <v>5391</v>
      </c>
      <c r="T202" s="73" t="s">
        <v>5006</v>
      </c>
      <c r="U202" s="50" t="s">
        <v>4952</v>
      </c>
      <c r="V202" s="73" t="s">
        <v>5392</v>
      </c>
      <c r="W202" s="50" t="s">
        <v>5236</v>
      </c>
    </row>
    <row r="203" spans="1:23" s="25" customFormat="1" ht="6.95" customHeight="1" x14ac:dyDescent="0.25">
      <c r="A203" s="26">
        <v>179</v>
      </c>
      <c r="B203" s="30" t="s">
        <v>294</v>
      </c>
      <c r="C203" s="61" t="s">
        <v>5493</v>
      </c>
      <c r="D203" s="51" t="s">
        <v>5009</v>
      </c>
      <c r="E203" s="52" t="s">
        <v>6003</v>
      </c>
      <c r="F203" s="51" t="s">
        <v>692</v>
      </c>
      <c r="G203" s="52" t="s">
        <v>692</v>
      </c>
      <c r="H203" s="73" t="s">
        <v>966</v>
      </c>
      <c r="I203" s="50" t="s">
        <v>1053</v>
      </c>
      <c r="J203" s="73" t="s">
        <v>1112</v>
      </c>
      <c r="K203" s="50" t="str">
        <f t="shared" si="3"/>
        <v>"ORN"</v>
      </c>
      <c r="L203" s="73" t="s">
        <v>895</v>
      </c>
      <c r="M203" s="50" t="s">
        <v>5237</v>
      </c>
      <c r="N203" s="73" t="s">
        <v>3656</v>
      </c>
      <c r="O203" s="50" t="s">
        <v>5391</v>
      </c>
      <c r="P203" s="73" t="s">
        <v>3655</v>
      </c>
      <c r="Q203" s="50" t="s">
        <v>5391</v>
      </c>
      <c r="R203" s="73" t="s">
        <v>4906</v>
      </c>
      <c r="S203" s="50" t="s">
        <v>5391</v>
      </c>
      <c r="T203" s="73" t="s">
        <v>5006</v>
      </c>
      <c r="U203" s="50" t="s">
        <v>4953</v>
      </c>
      <c r="V203" s="73" t="s">
        <v>5392</v>
      </c>
      <c r="W203" s="50" t="s">
        <v>5237</v>
      </c>
    </row>
    <row r="204" spans="1:23" s="25" customFormat="1" ht="6.95" customHeight="1" x14ac:dyDescent="0.25">
      <c r="A204" s="26">
        <v>180</v>
      </c>
      <c r="B204" s="30" t="s">
        <v>27</v>
      </c>
      <c r="C204" s="61" t="s">
        <v>5493</v>
      </c>
      <c r="D204" s="51" t="s">
        <v>5009</v>
      </c>
      <c r="E204" s="52" t="s">
        <v>6003</v>
      </c>
      <c r="F204" s="51" t="s">
        <v>692</v>
      </c>
      <c r="G204" s="52" t="s">
        <v>692</v>
      </c>
      <c r="H204" s="73" t="s">
        <v>966</v>
      </c>
      <c r="I204" s="50" t="s">
        <v>1053</v>
      </c>
      <c r="J204" s="73" t="s">
        <v>1112</v>
      </c>
      <c r="K204" s="50" t="str">
        <f t="shared" si="3"/>
        <v>"PCF"</v>
      </c>
      <c r="L204" s="73" t="s">
        <v>895</v>
      </c>
      <c r="M204" s="50" t="s">
        <v>5238</v>
      </c>
      <c r="N204" s="73" t="s">
        <v>3656</v>
      </c>
      <c r="O204" s="50" t="s">
        <v>5391</v>
      </c>
      <c r="P204" s="73" t="s">
        <v>3655</v>
      </c>
      <c r="Q204" s="50" t="s">
        <v>5391</v>
      </c>
      <c r="R204" s="73" t="s">
        <v>4906</v>
      </c>
      <c r="S204" s="50" t="s">
        <v>5391</v>
      </c>
      <c r="T204" s="73" t="s">
        <v>5006</v>
      </c>
      <c r="U204" s="50" t="s">
        <v>4954</v>
      </c>
      <c r="V204" s="73" t="s">
        <v>5392</v>
      </c>
      <c r="W204" s="50" t="s">
        <v>5238</v>
      </c>
    </row>
    <row r="205" spans="1:23" s="25" customFormat="1" ht="6.95" customHeight="1" x14ac:dyDescent="0.25">
      <c r="A205" s="26">
        <v>181</v>
      </c>
      <c r="B205" s="30" t="s">
        <v>89</v>
      </c>
      <c r="C205" s="61" t="s">
        <v>5493</v>
      </c>
      <c r="D205" s="51" t="s">
        <v>5009</v>
      </c>
      <c r="E205" s="52" t="s">
        <v>6003</v>
      </c>
      <c r="F205" s="51" t="s">
        <v>692</v>
      </c>
      <c r="G205" s="52" t="s">
        <v>692</v>
      </c>
      <c r="H205" s="73" t="s">
        <v>966</v>
      </c>
      <c r="I205" s="50" t="s">
        <v>1053</v>
      </c>
      <c r="J205" s="73" t="s">
        <v>1112</v>
      </c>
      <c r="K205" s="50" t="str">
        <f t="shared" si="3"/>
        <v>"PED"</v>
      </c>
      <c r="L205" s="73" t="s">
        <v>895</v>
      </c>
      <c r="M205" s="50" t="s">
        <v>5239</v>
      </c>
      <c r="N205" s="73" t="s">
        <v>3656</v>
      </c>
      <c r="O205" s="50" t="s">
        <v>5391</v>
      </c>
      <c r="P205" s="73" t="s">
        <v>3655</v>
      </c>
      <c r="Q205" s="50" t="s">
        <v>5391</v>
      </c>
      <c r="R205" s="73" t="s">
        <v>4906</v>
      </c>
      <c r="S205" s="50" t="s">
        <v>5391</v>
      </c>
      <c r="T205" s="73" t="s">
        <v>5006</v>
      </c>
      <c r="U205" s="50" t="s">
        <v>4955</v>
      </c>
      <c r="V205" s="73" t="s">
        <v>5392</v>
      </c>
      <c r="W205" s="50" t="s">
        <v>5239</v>
      </c>
    </row>
    <row r="206" spans="1:23" s="25" customFormat="1" ht="6.95" customHeight="1" x14ac:dyDescent="0.25">
      <c r="A206" s="26">
        <v>182</v>
      </c>
      <c r="B206" s="30" t="s">
        <v>56</v>
      </c>
      <c r="C206" s="61" t="s">
        <v>5493</v>
      </c>
      <c r="D206" s="51" t="s">
        <v>5009</v>
      </c>
      <c r="E206" s="52" t="s">
        <v>6003</v>
      </c>
      <c r="F206" s="51" t="s">
        <v>692</v>
      </c>
      <c r="G206" s="52" t="s">
        <v>692</v>
      </c>
      <c r="H206" s="73" t="s">
        <v>966</v>
      </c>
      <c r="I206" s="50" t="s">
        <v>1053</v>
      </c>
      <c r="J206" s="73" t="s">
        <v>1112</v>
      </c>
      <c r="K206" s="50" t="str">
        <f t="shared" si="3"/>
        <v>"PEN"</v>
      </c>
      <c r="L206" s="73" t="s">
        <v>895</v>
      </c>
      <c r="M206" s="50" t="s">
        <v>5240</v>
      </c>
      <c r="N206" s="73" t="s">
        <v>3656</v>
      </c>
      <c r="O206" s="50" t="s">
        <v>5391</v>
      </c>
      <c r="P206" s="73" t="s">
        <v>3655</v>
      </c>
      <c r="Q206" s="50" t="s">
        <v>5391</v>
      </c>
      <c r="R206" s="73" t="s">
        <v>4906</v>
      </c>
      <c r="S206" s="50" t="s">
        <v>5391</v>
      </c>
      <c r="T206" s="73" t="s">
        <v>5006</v>
      </c>
      <c r="U206" s="50" t="s">
        <v>4956</v>
      </c>
      <c r="V206" s="73" t="s">
        <v>5392</v>
      </c>
      <c r="W206" s="50" t="s">
        <v>5240</v>
      </c>
    </row>
    <row r="207" spans="1:23" s="25" customFormat="1" ht="6.95" customHeight="1" x14ac:dyDescent="0.25">
      <c r="A207" s="26">
        <v>183</v>
      </c>
      <c r="B207" s="30" t="s">
        <v>749</v>
      </c>
      <c r="C207" s="61" t="s">
        <v>5493</v>
      </c>
      <c r="D207" s="51" t="s">
        <v>5009</v>
      </c>
      <c r="E207" s="52" t="s">
        <v>6003</v>
      </c>
      <c r="F207" s="51" t="s">
        <v>692</v>
      </c>
      <c r="G207" s="52" t="s">
        <v>692</v>
      </c>
      <c r="H207" s="73" t="s">
        <v>966</v>
      </c>
      <c r="I207" s="50" t="s">
        <v>1053</v>
      </c>
      <c r="J207" s="73" t="s">
        <v>1112</v>
      </c>
      <c r="K207" s="50" t="str">
        <f t="shared" si="3"/>
        <v>"PIV"</v>
      </c>
      <c r="L207" s="73" t="s">
        <v>895</v>
      </c>
      <c r="M207" s="50" t="s">
        <v>5241</v>
      </c>
      <c r="N207" s="73" t="s">
        <v>3656</v>
      </c>
      <c r="O207" s="50" t="s">
        <v>5391</v>
      </c>
      <c r="P207" s="73" t="s">
        <v>3655</v>
      </c>
      <c r="Q207" s="50" t="s">
        <v>5391</v>
      </c>
      <c r="R207" s="73" t="s">
        <v>4906</v>
      </c>
      <c r="S207" s="50" t="s">
        <v>5391</v>
      </c>
      <c r="T207" s="73" t="s">
        <v>5006</v>
      </c>
      <c r="U207" s="50" t="s">
        <v>4957</v>
      </c>
      <c r="V207" s="73" t="s">
        <v>5392</v>
      </c>
      <c r="W207" s="50" t="s">
        <v>5241</v>
      </c>
    </row>
    <row r="208" spans="1:23" s="25" customFormat="1" ht="6.95" customHeight="1" x14ac:dyDescent="0.25">
      <c r="A208" s="26">
        <v>184</v>
      </c>
      <c r="B208" s="30" t="s">
        <v>563</v>
      </c>
      <c r="C208" s="61" t="s">
        <v>5493</v>
      </c>
      <c r="D208" s="51" t="s">
        <v>5009</v>
      </c>
      <c r="E208" s="52" t="s">
        <v>6003</v>
      </c>
      <c r="F208" s="51" t="s">
        <v>692</v>
      </c>
      <c r="G208" s="52" t="s">
        <v>692</v>
      </c>
      <c r="H208" s="73" t="s">
        <v>966</v>
      </c>
      <c r="I208" s="50" t="s">
        <v>1053</v>
      </c>
      <c r="J208" s="73" t="s">
        <v>1112</v>
      </c>
      <c r="K208" s="50" t="str">
        <f t="shared" si="3"/>
        <v>"PLF"</v>
      </c>
      <c r="L208" s="73" t="s">
        <v>895</v>
      </c>
      <c r="M208" s="50" t="s">
        <v>5242</v>
      </c>
      <c r="N208" s="73" t="s">
        <v>3656</v>
      </c>
      <c r="O208" s="50" t="s">
        <v>5391</v>
      </c>
      <c r="P208" s="73" t="s">
        <v>3655</v>
      </c>
      <c r="Q208" s="50" t="s">
        <v>5391</v>
      </c>
      <c r="R208" s="73" t="s">
        <v>4906</v>
      </c>
      <c r="S208" s="50" t="s">
        <v>5391</v>
      </c>
      <c r="T208" s="73" t="s">
        <v>5006</v>
      </c>
      <c r="U208" s="50" t="s">
        <v>4958</v>
      </c>
      <c r="V208" s="73" t="s">
        <v>5392</v>
      </c>
      <c r="W208" s="50" t="s">
        <v>5242</v>
      </c>
    </row>
    <row r="209" spans="1:23" s="25" customFormat="1" ht="6.95" customHeight="1" x14ac:dyDescent="0.25">
      <c r="A209" s="26">
        <v>185</v>
      </c>
      <c r="B209" s="30" t="s">
        <v>1</v>
      </c>
      <c r="C209" s="61" t="s">
        <v>5493</v>
      </c>
      <c r="D209" s="51" t="s">
        <v>5009</v>
      </c>
      <c r="E209" s="52" t="s">
        <v>6003</v>
      </c>
      <c r="F209" s="51" t="s">
        <v>692</v>
      </c>
      <c r="G209" s="52" t="s">
        <v>692</v>
      </c>
      <c r="H209" s="73" t="s">
        <v>966</v>
      </c>
      <c r="I209" s="50" t="s">
        <v>1053</v>
      </c>
      <c r="J209" s="73" t="s">
        <v>1112</v>
      </c>
      <c r="K209" s="50" t="str">
        <f t="shared" si="3"/>
        <v>"PNE"</v>
      </c>
      <c r="L209" s="73" t="s">
        <v>895</v>
      </c>
      <c r="M209" s="50" t="s">
        <v>5243</v>
      </c>
      <c r="N209" s="73" t="s">
        <v>3656</v>
      </c>
      <c r="O209" s="50" t="s">
        <v>5391</v>
      </c>
      <c r="P209" s="73" t="s">
        <v>3655</v>
      </c>
      <c r="Q209" s="50" t="s">
        <v>5391</v>
      </c>
      <c r="R209" s="73" t="s">
        <v>4906</v>
      </c>
      <c r="S209" s="50" t="s">
        <v>5391</v>
      </c>
      <c r="T209" s="73" t="s">
        <v>5006</v>
      </c>
      <c r="U209" s="50" t="s">
        <v>4959</v>
      </c>
      <c r="V209" s="73" t="s">
        <v>5392</v>
      </c>
      <c r="W209" s="50" t="s">
        <v>5243</v>
      </c>
    </row>
    <row r="210" spans="1:23" s="25" customFormat="1" ht="6.95" customHeight="1" x14ac:dyDescent="0.25">
      <c r="A210" s="26">
        <v>186</v>
      </c>
      <c r="B210" s="30" t="s">
        <v>567</v>
      </c>
      <c r="C210" s="61" t="s">
        <v>5493</v>
      </c>
      <c r="D210" s="51" t="s">
        <v>5009</v>
      </c>
      <c r="E210" s="52" t="s">
        <v>6003</v>
      </c>
      <c r="F210" s="51" t="s">
        <v>692</v>
      </c>
      <c r="G210" s="52" t="s">
        <v>692</v>
      </c>
      <c r="H210" s="73" t="s">
        <v>966</v>
      </c>
      <c r="I210" s="50" t="s">
        <v>1053</v>
      </c>
      <c r="J210" s="73" t="s">
        <v>1112</v>
      </c>
      <c r="K210" s="50" t="str">
        <f t="shared" si="3"/>
        <v>"SCC"</v>
      </c>
      <c r="L210" s="73" t="s">
        <v>895</v>
      </c>
      <c r="M210" s="50" t="s">
        <v>5244</v>
      </c>
      <c r="N210" s="73" t="s">
        <v>3656</v>
      </c>
      <c r="O210" s="50" t="s">
        <v>5391</v>
      </c>
      <c r="P210" s="73" t="s">
        <v>3655</v>
      </c>
      <c r="Q210" s="50" t="s">
        <v>5391</v>
      </c>
      <c r="R210" s="73" t="s">
        <v>4906</v>
      </c>
      <c r="S210" s="50" t="s">
        <v>5391</v>
      </c>
      <c r="T210" s="73" t="s">
        <v>5006</v>
      </c>
      <c r="U210" s="50" t="s">
        <v>4960</v>
      </c>
      <c r="V210" s="73" t="s">
        <v>5392</v>
      </c>
      <c r="W210" s="50" t="s">
        <v>5244</v>
      </c>
    </row>
    <row r="211" spans="1:23" s="25" customFormat="1" ht="6.95" customHeight="1" x14ac:dyDescent="0.25">
      <c r="A211" s="26">
        <v>187</v>
      </c>
      <c r="B211" s="30" t="s">
        <v>15</v>
      </c>
      <c r="C211" s="61" t="s">
        <v>5493</v>
      </c>
      <c r="D211" s="51" t="s">
        <v>5009</v>
      </c>
      <c r="E211" s="52" t="s">
        <v>6003</v>
      </c>
      <c r="F211" s="51" t="s">
        <v>692</v>
      </c>
      <c r="G211" s="52" t="s">
        <v>692</v>
      </c>
      <c r="H211" s="73" t="s">
        <v>966</v>
      </c>
      <c r="I211" s="50" t="s">
        <v>1053</v>
      </c>
      <c r="J211" s="73" t="s">
        <v>1112</v>
      </c>
      <c r="K211" s="50" t="str">
        <f t="shared" si="3"/>
        <v>"SEC"</v>
      </c>
      <c r="L211" s="73" t="s">
        <v>895</v>
      </c>
      <c r="M211" s="50" t="s">
        <v>5245</v>
      </c>
      <c r="N211" s="73" t="s">
        <v>3656</v>
      </c>
      <c r="O211" s="50" t="s">
        <v>5391</v>
      </c>
      <c r="P211" s="73" t="s">
        <v>3655</v>
      </c>
      <c r="Q211" s="50" t="s">
        <v>5391</v>
      </c>
      <c r="R211" s="73" t="s">
        <v>4906</v>
      </c>
      <c r="S211" s="50" t="s">
        <v>5391</v>
      </c>
      <c r="T211" s="73" t="s">
        <v>5006</v>
      </c>
      <c r="U211" s="50" t="s">
        <v>4961</v>
      </c>
      <c r="V211" s="73" t="s">
        <v>5392</v>
      </c>
      <c r="W211" s="50" t="s">
        <v>5245</v>
      </c>
    </row>
    <row r="212" spans="1:23" s="25" customFormat="1" ht="6.95" customHeight="1" x14ac:dyDescent="0.25">
      <c r="A212" s="26">
        <v>188</v>
      </c>
      <c r="B212" s="30" t="s">
        <v>78</v>
      </c>
      <c r="C212" s="61" t="s">
        <v>5493</v>
      </c>
      <c r="D212" s="51" t="s">
        <v>5009</v>
      </c>
      <c r="E212" s="52" t="s">
        <v>6003</v>
      </c>
      <c r="F212" s="51" t="s">
        <v>692</v>
      </c>
      <c r="G212" s="52" t="s">
        <v>692</v>
      </c>
      <c r="H212" s="73" t="s">
        <v>966</v>
      </c>
      <c r="I212" s="50" t="s">
        <v>1053</v>
      </c>
      <c r="J212" s="73" t="s">
        <v>1112</v>
      </c>
      <c r="K212" s="50" t="str">
        <f t="shared" si="3"/>
        <v>"SEG"</v>
      </c>
      <c r="L212" s="73" t="s">
        <v>895</v>
      </c>
      <c r="M212" s="50" t="s">
        <v>5246</v>
      </c>
      <c r="N212" s="73" t="s">
        <v>3656</v>
      </c>
      <c r="O212" s="50" t="s">
        <v>5391</v>
      </c>
      <c r="P212" s="73" t="s">
        <v>3655</v>
      </c>
      <c r="Q212" s="50" t="s">
        <v>5391</v>
      </c>
      <c r="R212" s="73" t="s">
        <v>4906</v>
      </c>
      <c r="S212" s="50" t="s">
        <v>5391</v>
      </c>
      <c r="T212" s="73" t="s">
        <v>5006</v>
      </c>
      <c r="U212" s="50" t="s">
        <v>4962</v>
      </c>
      <c r="V212" s="73" t="s">
        <v>5392</v>
      </c>
      <c r="W212" s="50" t="s">
        <v>5246</v>
      </c>
    </row>
    <row r="213" spans="1:23" s="25" customFormat="1" ht="6.95" customHeight="1" x14ac:dyDescent="0.25">
      <c r="A213" s="26">
        <v>189</v>
      </c>
      <c r="B213" s="30" t="s">
        <v>300</v>
      </c>
      <c r="C213" s="61" t="s">
        <v>5493</v>
      </c>
      <c r="D213" s="51" t="s">
        <v>5009</v>
      </c>
      <c r="E213" s="52" t="s">
        <v>6003</v>
      </c>
      <c r="F213" s="51" t="s">
        <v>692</v>
      </c>
      <c r="G213" s="52" t="s">
        <v>692</v>
      </c>
      <c r="H213" s="73" t="s">
        <v>966</v>
      </c>
      <c r="I213" s="50" t="s">
        <v>1053</v>
      </c>
      <c r="J213" s="73" t="s">
        <v>1112</v>
      </c>
      <c r="K213" s="50" t="str">
        <f t="shared" si="3"/>
        <v>"SOL"</v>
      </c>
      <c r="L213" s="73" t="s">
        <v>895</v>
      </c>
      <c r="M213" s="50" t="s">
        <v>5247</v>
      </c>
      <c r="N213" s="73" t="s">
        <v>3656</v>
      </c>
      <c r="O213" s="50" t="s">
        <v>5391</v>
      </c>
      <c r="P213" s="73" t="s">
        <v>3655</v>
      </c>
      <c r="Q213" s="50" t="s">
        <v>5391</v>
      </c>
      <c r="R213" s="73" t="s">
        <v>4906</v>
      </c>
      <c r="S213" s="50" t="s">
        <v>5391</v>
      </c>
      <c r="T213" s="73" t="s">
        <v>5006</v>
      </c>
      <c r="U213" s="50" t="s">
        <v>4963</v>
      </c>
      <c r="V213" s="73" t="s">
        <v>5392</v>
      </c>
      <c r="W213" s="50" t="s">
        <v>5247</v>
      </c>
    </row>
    <row r="214" spans="1:23" s="25" customFormat="1" ht="6.95" customHeight="1" x14ac:dyDescent="0.25">
      <c r="A214" s="26">
        <v>190</v>
      </c>
      <c r="B214" s="30" t="s">
        <v>20</v>
      </c>
      <c r="C214" s="61" t="s">
        <v>5493</v>
      </c>
      <c r="D214" s="51" t="s">
        <v>5009</v>
      </c>
      <c r="E214" s="52" t="s">
        <v>6003</v>
      </c>
      <c r="F214" s="51" t="s">
        <v>692</v>
      </c>
      <c r="G214" s="52" t="s">
        <v>692</v>
      </c>
      <c r="H214" s="73" t="s">
        <v>966</v>
      </c>
      <c r="I214" s="50" t="s">
        <v>1053</v>
      </c>
      <c r="J214" s="73" t="s">
        <v>1112</v>
      </c>
      <c r="K214" s="50" t="str">
        <f t="shared" si="3"/>
        <v>"SPO"</v>
      </c>
      <c r="L214" s="73" t="s">
        <v>895</v>
      </c>
      <c r="M214" s="50" t="s">
        <v>5248</v>
      </c>
      <c r="N214" s="73" t="s">
        <v>3656</v>
      </c>
      <c r="O214" s="50" t="s">
        <v>5391</v>
      </c>
      <c r="P214" s="73" t="s">
        <v>3655</v>
      </c>
      <c r="Q214" s="50" t="s">
        <v>5391</v>
      </c>
      <c r="R214" s="73" t="s">
        <v>4906</v>
      </c>
      <c r="S214" s="50" t="s">
        <v>5391</v>
      </c>
      <c r="T214" s="73" t="s">
        <v>5006</v>
      </c>
      <c r="U214" s="50" t="s">
        <v>4964</v>
      </c>
      <c r="V214" s="73" t="s">
        <v>5392</v>
      </c>
      <c r="W214" s="50" t="s">
        <v>5248</v>
      </c>
    </row>
    <row r="215" spans="1:23" s="25" customFormat="1" ht="6.95" customHeight="1" x14ac:dyDescent="0.25">
      <c r="A215" s="26">
        <v>191</v>
      </c>
      <c r="B215" s="30" t="s">
        <v>11</v>
      </c>
      <c r="C215" s="61" t="s">
        <v>5493</v>
      </c>
      <c r="D215" s="51" t="s">
        <v>5009</v>
      </c>
      <c r="E215" s="52" t="s">
        <v>6003</v>
      </c>
      <c r="F215" s="51" t="s">
        <v>692</v>
      </c>
      <c r="G215" s="52" t="s">
        <v>692</v>
      </c>
      <c r="H215" s="73" t="s">
        <v>966</v>
      </c>
      <c r="I215" s="50" t="s">
        <v>1053</v>
      </c>
      <c r="J215" s="73" t="s">
        <v>1112</v>
      </c>
      <c r="K215" s="50" t="str">
        <f t="shared" si="3"/>
        <v>"SUS"</v>
      </c>
      <c r="L215" s="73" t="s">
        <v>895</v>
      </c>
      <c r="M215" s="50" t="s">
        <v>5249</v>
      </c>
      <c r="N215" s="73" t="s">
        <v>3656</v>
      </c>
      <c r="O215" s="50" t="s">
        <v>5391</v>
      </c>
      <c r="P215" s="73" t="s">
        <v>3655</v>
      </c>
      <c r="Q215" s="50" t="s">
        <v>5391</v>
      </c>
      <c r="R215" s="73" t="s">
        <v>4906</v>
      </c>
      <c r="S215" s="50" t="s">
        <v>5391</v>
      </c>
      <c r="T215" s="73" t="s">
        <v>5006</v>
      </c>
      <c r="U215" s="50" t="s">
        <v>4965</v>
      </c>
      <c r="V215" s="73" t="s">
        <v>5392</v>
      </c>
      <c r="W215" s="50" t="s">
        <v>5249</v>
      </c>
    </row>
    <row r="216" spans="1:23" s="25" customFormat="1" ht="6.95" customHeight="1" x14ac:dyDescent="0.25">
      <c r="A216" s="26">
        <v>192</v>
      </c>
      <c r="B216" s="30" t="s">
        <v>207</v>
      </c>
      <c r="C216" s="61" t="s">
        <v>5493</v>
      </c>
      <c r="D216" s="51" t="s">
        <v>5009</v>
      </c>
      <c r="E216" s="52" t="s">
        <v>6003</v>
      </c>
      <c r="F216" s="51" t="s">
        <v>692</v>
      </c>
      <c r="G216" s="52" t="s">
        <v>692</v>
      </c>
      <c r="H216" s="73" t="s">
        <v>966</v>
      </c>
      <c r="I216" s="50" t="s">
        <v>1053</v>
      </c>
      <c r="J216" s="73" t="s">
        <v>1112</v>
      </c>
      <c r="K216" s="50" t="str">
        <f t="shared" si="3"/>
        <v>"VEN"</v>
      </c>
      <c r="L216" s="73" t="s">
        <v>895</v>
      </c>
      <c r="M216" s="50" t="s">
        <v>5250</v>
      </c>
      <c r="N216" s="73" t="s">
        <v>3656</v>
      </c>
      <c r="O216" s="50" t="s">
        <v>5391</v>
      </c>
      <c r="P216" s="73" t="s">
        <v>3655</v>
      </c>
      <c r="Q216" s="50" t="s">
        <v>5391</v>
      </c>
      <c r="R216" s="73" t="s">
        <v>4906</v>
      </c>
      <c r="S216" s="50" t="s">
        <v>5391</v>
      </c>
      <c r="T216" s="73" t="s">
        <v>5006</v>
      </c>
      <c r="U216" s="50" t="s">
        <v>4966</v>
      </c>
      <c r="V216" s="73" t="s">
        <v>5392</v>
      </c>
      <c r="W216" s="50" t="s">
        <v>5250</v>
      </c>
    </row>
    <row r="217" spans="1:23" s="25" customFormat="1" ht="6.95" customHeight="1" x14ac:dyDescent="0.25">
      <c r="A217" s="26">
        <v>193</v>
      </c>
      <c r="B217" s="30" t="s">
        <v>129</v>
      </c>
      <c r="C217" s="61" t="s">
        <v>5493</v>
      </c>
      <c r="D217" s="51" t="s">
        <v>5009</v>
      </c>
      <c r="E217" s="52" t="s">
        <v>6003</v>
      </c>
      <c r="F217" s="51" t="s">
        <v>692</v>
      </c>
      <c r="G217" s="52" t="s">
        <v>692</v>
      </c>
      <c r="H217" s="73" t="s">
        <v>966</v>
      </c>
      <c r="I217" s="50" t="s">
        <v>1053</v>
      </c>
      <c r="J217" s="73" t="s">
        <v>1112</v>
      </c>
      <c r="K217" s="50" t="str">
        <f t="shared" si="3"/>
        <v>"VEV"</v>
      </c>
      <c r="L217" s="73" t="s">
        <v>895</v>
      </c>
      <c r="M217" s="50" t="s">
        <v>5251</v>
      </c>
      <c r="N217" s="73" t="s">
        <v>3656</v>
      </c>
      <c r="O217" s="50" t="s">
        <v>5391</v>
      </c>
      <c r="P217" s="73" t="s">
        <v>3655</v>
      </c>
      <c r="Q217" s="50" t="s">
        <v>5391</v>
      </c>
      <c r="R217" s="73" t="s">
        <v>4906</v>
      </c>
      <c r="S217" s="50" t="s">
        <v>5391</v>
      </c>
      <c r="T217" s="73" t="s">
        <v>5006</v>
      </c>
      <c r="U217" s="50" t="s">
        <v>4967</v>
      </c>
      <c r="V217" s="73" t="s">
        <v>5392</v>
      </c>
      <c r="W217" s="50" t="s">
        <v>5251</v>
      </c>
    </row>
    <row r="218" spans="1:23" s="25" customFormat="1" ht="6.95" customHeight="1" x14ac:dyDescent="0.25">
      <c r="A218" s="26">
        <v>194</v>
      </c>
      <c r="B218" s="30" t="s">
        <v>205</v>
      </c>
      <c r="C218" s="61" t="s">
        <v>5493</v>
      </c>
      <c r="D218" s="51" t="s">
        <v>5009</v>
      </c>
      <c r="E218" s="52" t="s">
        <v>6003</v>
      </c>
      <c r="F218" s="51" t="s">
        <v>692</v>
      </c>
      <c r="G218" s="52" t="s">
        <v>692</v>
      </c>
      <c r="H218" s="73" t="s">
        <v>966</v>
      </c>
      <c r="I218" s="50" t="s">
        <v>1053</v>
      </c>
      <c r="J218" s="73" t="s">
        <v>1112</v>
      </c>
      <c r="K218" s="50" t="str">
        <f t="shared" si="3"/>
        <v>"VIV"</v>
      </c>
      <c r="L218" s="73" t="s">
        <v>895</v>
      </c>
      <c r="M218" s="50" t="s">
        <v>5381</v>
      </c>
      <c r="N218" s="73" t="s">
        <v>3656</v>
      </c>
      <c r="O218" s="50" t="s">
        <v>5391</v>
      </c>
      <c r="P218" s="73" t="s">
        <v>3655</v>
      </c>
      <c r="Q218" s="50" t="s">
        <v>5391</v>
      </c>
      <c r="R218" s="73" t="s">
        <v>4906</v>
      </c>
      <c r="S218" s="50" t="s">
        <v>5391</v>
      </c>
      <c r="T218" s="73" t="s">
        <v>5006</v>
      </c>
      <c r="U218" s="50" t="s">
        <v>4968</v>
      </c>
      <c r="V218" s="73" t="s">
        <v>5392</v>
      </c>
      <c r="W218" s="50" t="s">
        <v>5381</v>
      </c>
    </row>
    <row r="219" spans="1:23" s="25" customFormat="1" ht="6.95" customHeight="1" x14ac:dyDescent="0.25">
      <c r="A219" s="26">
        <v>195</v>
      </c>
      <c r="B219" s="30" t="s">
        <v>776</v>
      </c>
      <c r="C219" s="61" t="s">
        <v>5493</v>
      </c>
      <c r="D219" s="51" t="s">
        <v>5009</v>
      </c>
      <c r="E219" s="52" t="s">
        <v>6003</v>
      </c>
      <c r="F219" s="51" t="s">
        <v>692</v>
      </c>
      <c r="G219" s="52" t="s">
        <v>692</v>
      </c>
      <c r="H219" s="73" t="s">
        <v>966</v>
      </c>
      <c r="I219" s="50" t="s">
        <v>1053</v>
      </c>
      <c r="J219" s="73" t="s">
        <v>1112</v>
      </c>
      <c r="K219" s="50" t="str">
        <f t="shared" si="3"/>
        <v>"VSO"</v>
      </c>
      <c r="L219" s="73" t="s">
        <v>895</v>
      </c>
      <c r="M219" s="50" t="s">
        <v>5252</v>
      </c>
      <c r="N219" s="73" t="s">
        <v>3656</v>
      </c>
      <c r="O219" s="50" t="s">
        <v>5391</v>
      </c>
      <c r="P219" s="73" t="s">
        <v>3655</v>
      </c>
      <c r="Q219" s="50" t="s">
        <v>5391</v>
      </c>
      <c r="R219" s="73" t="s">
        <v>4906</v>
      </c>
      <c r="S219" s="50" t="s">
        <v>5391</v>
      </c>
      <c r="T219" s="73" t="s">
        <v>5006</v>
      </c>
      <c r="U219" s="50" t="s">
        <v>4969</v>
      </c>
      <c r="V219" s="73" t="s">
        <v>5392</v>
      </c>
      <c r="W219" s="50" t="s">
        <v>5252</v>
      </c>
    </row>
    <row r="220" spans="1:23" s="25" customFormat="1" ht="6.95" customHeight="1" x14ac:dyDescent="0.25">
      <c r="A220" s="26">
        <v>196</v>
      </c>
      <c r="B220" s="30" t="s">
        <v>616</v>
      </c>
      <c r="C220" s="61" t="s">
        <v>5493</v>
      </c>
      <c r="D220" s="51" t="s">
        <v>5009</v>
      </c>
      <c r="E220" s="52" t="s">
        <v>6003</v>
      </c>
      <c r="F220" s="51" t="s">
        <v>692</v>
      </c>
      <c r="G220" s="52" t="s">
        <v>692</v>
      </c>
      <c r="H220" s="73" t="s">
        <v>966</v>
      </c>
      <c r="I220" s="50" t="s">
        <v>1054</v>
      </c>
      <c r="J220" s="73" t="s">
        <v>1112</v>
      </c>
      <c r="K220" s="50" t="str">
        <f t="shared" si="3"/>
        <v>"ALT"</v>
      </c>
      <c r="L220" s="73" t="s">
        <v>895</v>
      </c>
      <c r="M220" s="50" t="s">
        <v>5253</v>
      </c>
      <c r="N220" s="73" t="s">
        <v>3656</v>
      </c>
      <c r="O220" s="50" t="s">
        <v>5391</v>
      </c>
      <c r="P220" s="73" t="s">
        <v>3655</v>
      </c>
      <c r="Q220" s="50" t="s">
        <v>5391</v>
      </c>
      <c r="R220" s="73" t="s">
        <v>4906</v>
      </c>
      <c r="S220" s="50" t="s">
        <v>5391</v>
      </c>
      <c r="T220" s="73" t="s">
        <v>5006</v>
      </c>
      <c r="U220" s="50" t="s">
        <v>4970</v>
      </c>
      <c r="V220" s="73" t="s">
        <v>5392</v>
      </c>
      <c r="W220" s="50" t="s">
        <v>5253</v>
      </c>
    </row>
    <row r="221" spans="1:23" s="25" customFormat="1" ht="6.95" customHeight="1" x14ac:dyDescent="0.25">
      <c r="A221" s="26">
        <v>197</v>
      </c>
      <c r="B221" s="30" t="s">
        <v>369</v>
      </c>
      <c r="C221" s="61" t="s">
        <v>5493</v>
      </c>
      <c r="D221" s="51" t="s">
        <v>5009</v>
      </c>
      <c r="E221" s="52" t="s">
        <v>6003</v>
      </c>
      <c r="F221" s="51" t="s">
        <v>692</v>
      </c>
      <c r="G221" s="52" t="s">
        <v>692</v>
      </c>
      <c r="H221" s="73" t="s">
        <v>966</v>
      </c>
      <c r="I221" s="50" t="s">
        <v>1054</v>
      </c>
      <c r="J221" s="73" t="s">
        <v>1112</v>
      </c>
      <c r="K221" s="50" t="str">
        <f t="shared" si="3"/>
        <v>"BXA"</v>
      </c>
      <c r="L221" s="73" t="s">
        <v>895</v>
      </c>
      <c r="M221" s="50" t="s">
        <v>5254</v>
      </c>
      <c r="N221" s="73" t="s">
        <v>3656</v>
      </c>
      <c r="O221" s="50" t="s">
        <v>5391</v>
      </c>
      <c r="P221" s="73" t="s">
        <v>3655</v>
      </c>
      <c r="Q221" s="50" t="s">
        <v>5391</v>
      </c>
      <c r="R221" s="73" t="s">
        <v>4906</v>
      </c>
      <c r="S221" s="50" t="s">
        <v>5391</v>
      </c>
      <c r="T221" s="73" t="s">
        <v>5006</v>
      </c>
      <c r="U221" s="50" t="s">
        <v>4971</v>
      </c>
      <c r="V221" s="73" t="s">
        <v>5392</v>
      </c>
      <c r="W221" s="50" t="s">
        <v>5254</v>
      </c>
    </row>
    <row r="222" spans="1:23" s="25" customFormat="1" ht="6.95" customHeight="1" x14ac:dyDescent="0.25">
      <c r="A222" s="26">
        <v>198</v>
      </c>
      <c r="B222" s="30" t="s">
        <v>64</v>
      </c>
      <c r="C222" s="61" t="s">
        <v>5493</v>
      </c>
      <c r="D222" s="51" t="s">
        <v>5009</v>
      </c>
      <c r="E222" s="52" t="s">
        <v>6003</v>
      </c>
      <c r="F222" s="51" t="s">
        <v>692</v>
      </c>
      <c r="G222" s="52" t="s">
        <v>692</v>
      </c>
      <c r="H222" s="73" t="s">
        <v>966</v>
      </c>
      <c r="I222" s="50" t="s">
        <v>1054</v>
      </c>
      <c r="J222" s="73" t="s">
        <v>1112</v>
      </c>
      <c r="K222" s="50" t="str">
        <f t="shared" si="3"/>
        <v>"EXT"</v>
      </c>
      <c r="L222" s="73" t="s">
        <v>895</v>
      </c>
      <c r="M222" s="50" t="s">
        <v>5255</v>
      </c>
      <c r="N222" s="73" t="s">
        <v>3656</v>
      </c>
      <c r="O222" s="50" t="s">
        <v>5391</v>
      </c>
      <c r="P222" s="73" t="s">
        <v>3655</v>
      </c>
      <c r="Q222" s="50" t="s">
        <v>5391</v>
      </c>
      <c r="R222" s="73" t="s">
        <v>4906</v>
      </c>
      <c r="S222" s="50" t="s">
        <v>5391</v>
      </c>
      <c r="T222" s="73" t="s">
        <v>5006</v>
      </c>
      <c r="U222" s="50" t="s">
        <v>4972</v>
      </c>
      <c r="V222" s="73" t="s">
        <v>5392</v>
      </c>
      <c r="W222" s="50" t="s">
        <v>5255</v>
      </c>
    </row>
    <row r="223" spans="1:23" s="25" customFormat="1" ht="6.95" customHeight="1" x14ac:dyDescent="0.25">
      <c r="A223" s="26">
        <v>199</v>
      </c>
      <c r="B223" s="30" t="s">
        <v>190</v>
      </c>
      <c r="C223" s="61" t="s">
        <v>5493</v>
      </c>
      <c r="D223" s="51" t="s">
        <v>5009</v>
      </c>
      <c r="E223" s="52" t="s">
        <v>6003</v>
      </c>
      <c r="F223" s="51" t="s">
        <v>692</v>
      </c>
      <c r="G223" s="52" t="s">
        <v>692</v>
      </c>
      <c r="H223" s="73" t="s">
        <v>966</v>
      </c>
      <c r="I223" s="50" t="s">
        <v>1054</v>
      </c>
      <c r="J223" s="73" t="s">
        <v>1112</v>
      </c>
      <c r="K223" s="50" t="str">
        <f t="shared" si="3"/>
        <v>"FRO"</v>
      </c>
      <c r="L223" s="73" t="s">
        <v>895</v>
      </c>
      <c r="M223" s="50" t="s">
        <v>5256</v>
      </c>
      <c r="N223" s="73" t="s">
        <v>3656</v>
      </c>
      <c r="O223" s="50" t="s">
        <v>5391</v>
      </c>
      <c r="P223" s="73" t="s">
        <v>3655</v>
      </c>
      <c r="Q223" s="50" t="s">
        <v>5391</v>
      </c>
      <c r="R223" s="73" t="s">
        <v>4906</v>
      </c>
      <c r="S223" s="50" t="s">
        <v>5391</v>
      </c>
      <c r="T223" s="73" t="s">
        <v>5006</v>
      </c>
      <c r="U223" s="50" t="s">
        <v>4973</v>
      </c>
      <c r="V223" s="73" t="s">
        <v>5392</v>
      </c>
      <c r="W223" s="50" t="s">
        <v>5256</v>
      </c>
    </row>
    <row r="224" spans="1:23" s="25" customFormat="1" ht="6.95" customHeight="1" x14ac:dyDescent="0.25">
      <c r="A224" s="26">
        <v>200</v>
      </c>
      <c r="B224" s="30" t="s">
        <v>349</v>
      </c>
      <c r="C224" s="61" t="s">
        <v>5493</v>
      </c>
      <c r="D224" s="51" t="s">
        <v>5009</v>
      </c>
      <c r="E224" s="52" t="s">
        <v>6003</v>
      </c>
      <c r="F224" s="51" t="s">
        <v>692</v>
      </c>
      <c r="G224" s="52" t="s">
        <v>692</v>
      </c>
      <c r="H224" s="73" t="s">
        <v>966</v>
      </c>
      <c r="I224" s="50" t="s">
        <v>1054</v>
      </c>
      <c r="J224" s="73" t="s">
        <v>1112</v>
      </c>
      <c r="K224" s="50" t="str">
        <f t="shared" si="3"/>
        <v>"HOR"</v>
      </c>
      <c r="L224" s="73" t="s">
        <v>895</v>
      </c>
      <c r="M224" s="50" t="s">
        <v>5257</v>
      </c>
      <c r="N224" s="73" t="s">
        <v>3656</v>
      </c>
      <c r="O224" s="50" t="s">
        <v>5391</v>
      </c>
      <c r="P224" s="73" t="s">
        <v>3655</v>
      </c>
      <c r="Q224" s="50" t="s">
        <v>5391</v>
      </c>
      <c r="R224" s="73" t="s">
        <v>4906</v>
      </c>
      <c r="S224" s="50" t="s">
        <v>5391</v>
      </c>
      <c r="T224" s="73" t="s">
        <v>5006</v>
      </c>
      <c r="U224" s="50" t="s">
        <v>4974</v>
      </c>
      <c r="V224" s="73" t="s">
        <v>5392</v>
      </c>
      <c r="W224" s="50" t="s">
        <v>5257</v>
      </c>
    </row>
    <row r="225" spans="1:23" s="25" customFormat="1" ht="6.95" customHeight="1" x14ac:dyDescent="0.25">
      <c r="A225" s="26">
        <v>201</v>
      </c>
      <c r="B225" s="30" t="s">
        <v>587</v>
      </c>
      <c r="C225" s="61" t="s">
        <v>5493</v>
      </c>
      <c r="D225" s="51" t="s">
        <v>5009</v>
      </c>
      <c r="E225" s="52" t="s">
        <v>6003</v>
      </c>
      <c r="F225" s="51" t="s">
        <v>692</v>
      </c>
      <c r="G225" s="52" t="s">
        <v>692</v>
      </c>
      <c r="H225" s="73" t="s">
        <v>966</v>
      </c>
      <c r="I225" s="50" t="s">
        <v>1054</v>
      </c>
      <c r="J225" s="73" t="s">
        <v>1112</v>
      </c>
      <c r="K225" s="50" t="str">
        <f t="shared" si="3"/>
        <v>"IEX"</v>
      </c>
      <c r="L225" s="73" t="s">
        <v>895</v>
      </c>
      <c r="M225" s="50" t="s">
        <v>5258</v>
      </c>
      <c r="N225" s="73" t="s">
        <v>3656</v>
      </c>
      <c r="O225" s="50" t="s">
        <v>5391</v>
      </c>
      <c r="P225" s="73" t="s">
        <v>3655</v>
      </c>
      <c r="Q225" s="50" t="s">
        <v>5391</v>
      </c>
      <c r="R225" s="73" t="s">
        <v>4906</v>
      </c>
      <c r="S225" s="50" t="s">
        <v>5391</v>
      </c>
      <c r="T225" s="73" t="s">
        <v>5006</v>
      </c>
      <c r="U225" s="50" t="s">
        <v>4975</v>
      </c>
      <c r="V225" s="73" t="s">
        <v>5392</v>
      </c>
      <c r="W225" s="50" t="s">
        <v>5258</v>
      </c>
    </row>
    <row r="226" spans="1:23" s="25" customFormat="1" ht="6.95" customHeight="1" x14ac:dyDescent="0.25">
      <c r="A226" s="26">
        <v>202</v>
      </c>
      <c r="B226" s="30" t="s">
        <v>786</v>
      </c>
      <c r="C226" s="61" t="s">
        <v>5493</v>
      </c>
      <c r="D226" s="51" t="s">
        <v>5009</v>
      </c>
      <c r="E226" s="52" t="s">
        <v>6003</v>
      </c>
      <c r="F226" s="51" t="s">
        <v>692</v>
      </c>
      <c r="G226" s="52" t="s">
        <v>692</v>
      </c>
      <c r="H226" s="73" t="s">
        <v>966</v>
      </c>
      <c r="I226" s="50" t="s">
        <v>1054</v>
      </c>
      <c r="J226" s="73" t="s">
        <v>1112</v>
      </c>
      <c r="K226" s="50" t="str">
        <f t="shared" si="3"/>
        <v>"IFR"</v>
      </c>
      <c r="L226" s="73" t="s">
        <v>895</v>
      </c>
      <c r="M226" s="50" t="s">
        <v>5259</v>
      </c>
      <c r="N226" s="73" t="s">
        <v>3656</v>
      </c>
      <c r="O226" s="50" t="s">
        <v>5391</v>
      </c>
      <c r="P226" s="73" t="s">
        <v>3655</v>
      </c>
      <c r="Q226" s="50" t="s">
        <v>5391</v>
      </c>
      <c r="R226" s="73" t="s">
        <v>4906</v>
      </c>
      <c r="S226" s="50" t="s">
        <v>5391</v>
      </c>
      <c r="T226" s="73" t="s">
        <v>5006</v>
      </c>
      <c r="U226" s="50" t="s">
        <v>4976</v>
      </c>
      <c r="V226" s="73" t="s">
        <v>5392</v>
      </c>
      <c r="W226" s="50" t="s">
        <v>5259</v>
      </c>
    </row>
    <row r="227" spans="1:23" s="25" customFormat="1" ht="6.95" customHeight="1" x14ac:dyDescent="0.25">
      <c r="A227" s="26">
        <v>203</v>
      </c>
      <c r="B227" s="30" t="s">
        <v>118</v>
      </c>
      <c r="C227" s="61" t="s">
        <v>5493</v>
      </c>
      <c r="D227" s="51" t="s">
        <v>5009</v>
      </c>
      <c r="E227" s="52" t="s">
        <v>6003</v>
      </c>
      <c r="F227" s="51" t="s">
        <v>692</v>
      </c>
      <c r="G227" s="52" t="s">
        <v>692</v>
      </c>
      <c r="H227" s="73" t="s">
        <v>966</v>
      </c>
      <c r="I227" s="50" t="s">
        <v>1054</v>
      </c>
      <c r="J227" s="73" t="s">
        <v>1112</v>
      </c>
      <c r="K227" s="50" t="str">
        <f t="shared" si="3"/>
        <v>"ILH"</v>
      </c>
      <c r="L227" s="73" t="s">
        <v>895</v>
      </c>
      <c r="M227" s="50" t="s">
        <v>5260</v>
      </c>
      <c r="N227" s="73" t="s">
        <v>3656</v>
      </c>
      <c r="O227" s="50" t="s">
        <v>5391</v>
      </c>
      <c r="P227" s="73" t="s">
        <v>3655</v>
      </c>
      <c r="Q227" s="50" t="s">
        <v>5391</v>
      </c>
      <c r="R227" s="73" t="s">
        <v>4906</v>
      </c>
      <c r="S227" s="50" t="s">
        <v>5391</v>
      </c>
      <c r="T227" s="73" t="s">
        <v>5006</v>
      </c>
      <c r="U227" s="50" t="s">
        <v>4977</v>
      </c>
      <c r="V227" s="73" t="s">
        <v>5392</v>
      </c>
      <c r="W227" s="50" t="s">
        <v>5260</v>
      </c>
    </row>
    <row r="228" spans="1:23" s="25" customFormat="1" ht="6.95" customHeight="1" x14ac:dyDescent="0.25">
      <c r="A228" s="26">
        <v>204</v>
      </c>
      <c r="B228" s="30" t="s">
        <v>45</v>
      </c>
      <c r="C228" s="61" t="s">
        <v>5493</v>
      </c>
      <c r="D228" s="51" t="s">
        <v>5009</v>
      </c>
      <c r="E228" s="52" t="s">
        <v>6003</v>
      </c>
      <c r="F228" s="51" t="s">
        <v>692</v>
      </c>
      <c r="G228" s="52" t="s">
        <v>692</v>
      </c>
      <c r="H228" s="73" t="s">
        <v>966</v>
      </c>
      <c r="I228" s="50" t="s">
        <v>1054</v>
      </c>
      <c r="J228" s="73" t="s">
        <v>1112</v>
      </c>
      <c r="K228" s="50" t="str">
        <f t="shared" si="3"/>
        <v>"INT"</v>
      </c>
      <c r="L228" s="73" t="s">
        <v>895</v>
      </c>
      <c r="M228" s="50" t="s">
        <v>5261</v>
      </c>
      <c r="N228" s="73" t="s">
        <v>3656</v>
      </c>
      <c r="O228" s="50" t="s">
        <v>5391</v>
      </c>
      <c r="P228" s="73" t="s">
        <v>3655</v>
      </c>
      <c r="Q228" s="50" t="s">
        <v>5391</v>
      </c>
      <c r="R228" s="73" t="s">
        <v>4906</v>
      </c>
      <c r="S228" s="50" t="s">
        <v>5391</v>
      </c>
      <c r="T228" s="73" t="s">
        <v>5006</v>
      </c>
      <c r="U228" s="50" t="s">
        <v>4978</v>
      </c>
      <c r="V228" s="73" t="s">
        <v>5392</v>
      </c>
      <c r="W228" s="50" t="s">
        <v>5261</v>
      </c>
    </row>
    <row r="229" spans="1:23" s="25" customFormat="1" ht="6.95" customHeight="1" x14ac:dyDescent="0.25">
      <c r="A229" s="26">
        <v>205</v>
      </c>
      <c r="B229" s="30" t="s">
        <v>189</v>
      </c>
      <c r="C229" s="61" t="s">
        <v>5493</v>
      </c>
      <c r="D229" s="51" t="s">
        <v>5009</v>
      </c>
      <c r="E229" s="52" t="s">
        <v>6003</v>
      </c>
      <c r="F229" s="51" t="s">
        <v>692</v>
      </c>
      <c r="G229" s="52" t="s">
        <v>692</v>
      </c>
      <c r="H229" s="73" t="s">
        <v>966</v>
      </c>
      <c r="I229" s="50" t="s">
        <v>1054</v>
      </c>
      <c r="J229" s="73" t="s">
        <v>1112</v>
      </c>
      <c r="K229" s="50" t="str">
        <f t="shared" si="3"/>
        <v>"LAT"</v>
      </c>
      <c r="L229" s="73" t="s">
        <v>895</v>
      </c>
      <c r="M229" s="50" t="s">
        <v>5262</v>
      </c>
      <c r="N229" s="73" t="s">
        <v>3656</v>
      </c>
      <c r="O229" s="50" t="s">
        <v>5391</v>
      </c>
      <c r="P229" s="73" t="s">
        <v>3655</v>
      </c>
      <c r="Q229" s="50" t="s">
        <v>5391</v>
      </c>
      <c r="R229" s="73" t="s">
        <v>4906</v>
      </c>
      <c r="S229" s="50" t="s">
        <v>5391</v>
      </c>
      <c r="T229" s="73" t="s">
        <v>5006</v>
      </c>
      <c r="U229" s="50" t="s">
        <v>4979</v>
      </c>
      <c r="V229" s="73" t="s">
        <v>5392</v>
      </c>
      <c r="W229" s="50" t="s">
        <v>5262</v>
      </c>
    </row>
    <row r="230" spans="1:23" s="25" customFormat="1" ht="6.95" customHeight="1" x14ac:dyDescent="0.25">
      <c r="A230" s="26">
        <v>206</v>
      </c>
      <c r="B230" s="30" t="s">
        <v>361</v>
      </c>
      <c r="C230" s="61" t="s">
        <v>5493</v>
      </c>
      <c r="D230" s="51" t="s">
        <v>5009</v>
      </c>
      <c r="E230" s="52" t="s">
        <v>6003</v>
      </c>
      <c r="F230" s="51" t="s">
        <v>692</v>
      </c>
      <c r="G230" s="52" t="s">
        <v>692</v>
      </c>
      <c r="H230" s="73" t="s">
        <v>966</v>
      </c>
      <c r="I230" s="50" t="s">
        <v>1054</v>
      </c>
      <c r="J230" s="73" t="s">
        <v>1112</v>
      </c>
      <c r="K230" s="50" t="str">
        <f t="shared" si="3"/>
        <v>"LYO"</v>
      </c>
      <c r="L230" s="73" t="s">
        <v>895</v>
      </c>
      <c r="M230" s="50" t="s">
        <v>5263</v>
      </c>
      <c r="N230" s="73" t="s">
        <v>3656</v>
      </c>
      <c r="O230" s="50" t="s">
        <v>5391</v>
      </c>
      <c r="P230" s="73" t="s">
        <v>3655</v>
      </c>
      <c r="Q230" s="50" t="s">
        <v>5391</v>
      </c>
      <c r="R230" s="73" t="s">
        <v>4906</v>
      </c>
      <c r="S230" s="50" t="s">
        <v>5391</v>
      </c>
      <c r="T230" s="73" t="s">
        <v>5006</v>
      </c>
      <c r="U230" s="50" t="s">
        <v>4980</v>
      </c>
      <c r="V230" s="73" t="s">
        <v>5392</v>
      </c>
      <c r="W230" s="50" t="s">
        <v>5263</v>
      </c>
    </row>
    <row r="231" spans="1:23" s="25" customFormat="1" ht="6.95" customHeight="1" x14ac:dyDescent="0.25">
      <c r="A231" s="26">
        <v>207</v>
      </c>
      <c r="B231" s="30" t="s">
        <v>286</v>
      </c>
      <c r="C231" s="61" t="s">
        <v>5493</v>
      </c>
      <c r="D231" s="51" t="s">
        <v>5009</v>
      </c>
      <c r="E231" s="52" t="s">
        <v>6003</v>
      </c>
      <c r="F231" s="51" t="s">
        <v>692</v>
      </c>
      <c r="G231" s="52" t="s">
        <v>692</v>
      </c>
      <c r="H231" s="73" t="s">
        <v>966</v>
      </c>
      <c r="I231" s="50" t="s">
        <v>1054</v>
      </c>
      <c r="J231" s="73" t="s">
        <v>1112</v>
      </c>
      <c r="K231" s="50" t="str">
        <f t="shared" si="3"/>
        <v>"MOD"</v>
      </c>
      <c r="L231" s="73" t="s">
        <v>895</v>
      </c>
      <c r="M231" s="50" t="s">
        <v>5264</v>
      </c>
      <c r="N231" s="73" t="s">
        <v>3656</v>
      </c>
      <c r="O231" s="50" t="s">
        <v>5391</v>
      </c>
      <c r="P231" s="73" t="s">
        <v>3655</v>
      </c>
      <c r="Q231" s="50" t="s">
        <v>5391</v>
      </c>
      <c r="R231" s="73" t="s">
        <v>4906</v>
      </c>
      <c r="S231" s="50" t="s">
        <v>5391</v>
      </c>
      <c r="T231" s="73" t="s">
        <v>5006</v>
      </c>
      <c r="U231" s="50" t="s">
        <v>4981</v>
      </c>
      <c r="V231" s="73" t="s">
        <v>5392</v>
      </c>
      <c r="W231" s="50" t="s">
        <v>5264</v>
      </c>
    </row>
    <row r="232" spans="1:23" s="25" customFormat="1" ht="6.95" customHeight="1" x14ac:dyDescent="0.25">
      <c r="A232" s="26">
        <v>208</v>
      </c>
      <c r="B232" s="30" t="s">
        <v>398</v>
      </c>
      <c r="C232" s="61" t="s">
        <v>5493</v>
      </c>
      <c r="D232" s="51" t="s">
        <v>5009</v>
      </c>
      <c r="E232" s="52" t="s">
        <v>6003</v>
      </c>
      <c r="F232" s="51" t="s">
        <v>692</v>
      </c>
      <c r="G232" s="52" t="s">
        <v>692</v>
      </c>
      <c r="H232" s="73" t="s">
        <v>966</v>
      </c>
      <c r="I232" s="50" t="s">
        <v>1054</v>
      </c>
      <c r="J232" s="73" t="s">
        <v>1112</v>
      </c>
      <c r="K232" s="50" t="str">
        <f t="shared" si="3"/>
        <v>"NOR"</v>
      </c>
      <c r="L232" s="73" t="s">
        <v>895</v>
      </c>
      <c r="M232" s="50" t="s">
        <v>5265</v>
      </c>
      <c r="N232" s="73" t="s">
        <v>3656</v>
      </c>
      <c r="O232" s="50" t="s">
        <v>5391</v>
      </c>
      <c r="P232" s="73" t="s">
        <v>3655</v>
      </c>
      <c r="Q232" s="50" t="s">
        <v>5391</v>
      </c>
      <c r="R232" s="73" t="s">
        <v>4906</v>
      </c>
      <c r="S232" s="50" t="s">
        <v>5391</v>
      </c>
      <c r="T232" s="73" t="s">
        <v>5006</v>
      </c>
      <c r="U232" s="50" t="s">
        <v>4982</v>
      </c>
      <c r="V232" s="73" t="s">
        <v>5392</v>
      </c>
      <c r="W232" s="50" t="s">
        <v>5265</v>
      </c>
    </row>
    <row r="233" spans="1:23" s="25" customFormat="1" ht="6.95" customHeight="1" x14ac:dyDescent="0.25">
      <c r="A233" s="26">
        <v>209</v>
      </c>
      <c r="B233" s="30" t="s">
        <v>238</v>
      </c>
      <c r="C233" s="61" t="s">
        <v>5493</v>
      </c>
      <c r="D233" s="51" t="s">
        <v>5009</v>
      </c>
      <c r="E233" s="52" t="s">
        <v>6003</v>
      </c>
      <c r="F233" s="51" t="s">
        <v>692</v>
      </c>
      <c r="G233" s="52" t="s">
        <v>692</v>
      </c>
      <c r="H233" s="73" t="s">
        <v>966</v>
      </c>
      <c r="I233" s="50" t="s">
        <v>1054</v>
      </c>
      <c r="J233" s="73" t="s">
        <v>1112</v>
      </c>
      <c r="K233" s="50" t="str">
        <f t="shared" si="3"/>
        <v>"PAD"</v>
      </c>
      <c r="L233" s="73" t="s">
        <v>895</v>
      </c>
      <c r="M233" s="50" t="s">
        <v>5266</v>
      </c>
      <c r="N233" s="73" t="s">
        <v>3656</v>
      </c>
      <c r="O233" s="50" t="s">
        <v>5391</v>
      </c>
      <c r="P233" s="73" t="s">
        <v>3655</v>
      </c>
      <c r="Q233" s="50" t="s">
        <v>5391</v>
      </c>
      <c r="R233" s="73" t="s">
        <v>4906</v>
      </c>
      <c r="S233" s="50" t="s">
        <v>5391</v>
      </c>
      <c r="T233" s="73" t="s">
        <v>5006</v>
      </c>
      <c r="U233" s="50" t="s">
        <v>4983</v>
      </c>
      <c r="V233" s="73" t="s">
        <v>5392</v>
      </c>
      <c r="W233" s="50" t="s">
        <v>5266</v>
      </c>
    </row>
    <row r="234" spans="1:23" s="25" customFormat="1" ht="6.95" customHeight="1" x14ac:dyDescent="0.25">
      <c r="A234" s="26">
        <v>210</v>
      </c>
      <c r="B234" s="30" t="s">
        <v>62</v>
      </c>
      <c r="C234" s="61" t="s">
        <v>5493</v>
      </c>
      <c r="D234" s="51" t="s">
        <v>5009</v>
      </c>
      <c r="E234" s="52" t="s">
        <v>6003</v>
      </c>
      <c r="F234" s="51" t="s">
        <v>692</v>
      </c>
      <c r="G234" s="52" t="s">
        <v>692</v>
      </c>
      <c r="H234" s="73" t="s">
        <v>966</v>
      </c>
      <c r="I234" s="50" t="s">
        <v>1054</v>
      </c>
      <c r="J234" s="73" t="s">
        <v>1112</v>
      </c>
      <c r="K234" s="50" t="str">
        <f t="shared" si="3"/>
        <v>"PON"</v>
      </c>
      <c r="L234" s="73" t="s">
        <v>895</v>
      </c>
      <c r="M234" s="50" t="s">
        <v>5267</v>
      </c>
      <c r="N234" s="73" t="s">
        <v>3656</v>
      </c>
      <c r="O234" s="50" t="s">
        <v>5391</v>
      </c>
      <c r="P234" s="73" t="s">
        <v>3655</v>
      </c>
      <c r="Q234" s="50" t="s">
        <v>5391</v>
      </c>
      <c r="R234" s="73" t="s">
        <v>4906</v>
      </c>
      <c r="S234" s="50" t="s">
        <v>5391</v>
      </c>
      <c r="T234" s="73" t="s">
        <v>5006</v>
      </c>
      <c r="U234" s="50" t="s">
        <v>4984</v>
      </c>
      <c r="V234" s="73" t="s">
        <v>5392</v>
      </c>
      <c r="W234" s="50" t="s">
        <v>5267</v>
      </c>
    </row>
    <row r="235" spans="1:23" s="25" customFormat="1" ht="6.95" customHeight="1" x14ac:dyDescent="0.25">
      <c r="A235" s="26">
        <v>211</v>
      </c>
      <c r="B235" s="30" t="s">
        <v>123</v>
      </c>
      <c r="C235" s="61" t="s">
        <v>5493</v>
      </c>
      <c r="D235" s="51" t="s">
        <v>5009</v>
      </c>
      <c r="E235" s="52" t="s">
        <v>6003</v>
      </c>
      <c r="F235" s="51" t="s">
        <v>692</v>
      </c>
      <c r="G235" s="52" t="s">
        <v>692</v>
      </c>
      <c r="H235" s="73" t="s">
        <v>966</v>
      </c>
      <c r="I235" s="50" t="s">
        <v>1054</v>
      </c>
      <c r="J235" s="73" t="s">
        <v>1112</v>
      </c>
      <c r="K235" s="50" t="str">
        <f t="shared" si="3"/>
        <v>"PRO"</v>
      </c>
      <c r="L235" s="73" t="s">
        <v>895</v>
      </c>
      <c r="M235" s="50" t="s">
        <v>5268</v>
      </c>
      <c r="N235" s="73" t="s">
        <v>3656</v>
      </c>
      <c r="O235" s="50" t="s">
        <v>5391</v>
      </c>
      <c r="P235" s="73" t="s">
        <v>3655</v>
      </c>
      <c r="Q235" s="50" t="s">
        <v>5391</v>
      </c>
      <c r="R235" s="73" t="s">
        <v>4906</v>
      </c>
      <c r="S235" s="50" t="s">
        <v>5391</v>
      </c>
      <c r="T235" s="73" t="s">
        <v>5006</v>
      </c>
      <c r="U235" s="50" t="s">
        <v>4985</v>
      </c>
      <c r="V235" s="73" t="s">
        <v>5392</v>
      </c>
      <c r="W235" s="50" t="s">
        <v>5268</v>
      </c>
    </row>
    <row r="236" spans="1:23" s="25" customFormat="1" ht="6.95" customHeight="1" x14ac:dyDescent="0.25">
      <c r="A236" s="26">
        <v>212</v>
      </c>
      <c r="B236" s="30" t="s">
        <v>288</v>
      </c>
      <c r="C236" s="61" t="s">
        <v>5493</v>
      </c>
      <c r="D236" s="51" t="s">
        <v>5009</v>
      </c>
      <c r="E236" s="52" t="s">
        <v>6003</v>
      </c>
      <c r="F236" s="51" t="s">
        <v>692</v>
      </c>
      <c r="G236" s="52" t="s">
        <v>692</v>
      </c>
      <c r="H236" s="73" t="s">
        <v>966</v>
      </c>
      <c r="I236" s="50" t="s">
        <v>1054</v>
      </c>
      <c r="J236" s="73" t="s">
        <v>1112</v>
      </c>
      <c r="K236" s="50" t="str">
        <f t="shared" si="3"/>
        <v>"REF"</v>
      </c>
      <c r="L236" s="73" t="s">
        <v>895</v>
      </c>
      <c r="M236" s="50" t="s">
        <v>5269</v>
      </c>
      <c r="N236" s="73" t="s">
        <v>3656</v>
      </c>
      <c r="O236" s="50" t="s">
        <v>5391</v>
      </c>
      <c r="P236" s="73" t="s">
        <v>3655</v>
      </c>
      <c r="Q236" s="50" t="s">
        <v>5391</v>
      </c>
      <c r="R236" s="73" t="s">
        <v>4906</v>
      </c>
      <c r="S236" s="50" t="s">
        <v>5391</v>
      </c>
      <c r="T236" s="73" t="s">
        <v>5006</v>
      </c>
      <c r="U236" s="50" t="s">
        <v>4986</v>
      </c>
      <c r="V236" s="73" t="s">
        <v>5392</v>
      </c>
      <c r="W236" s="50" t="s">
        <v>5269</v>
      </c>
    </row>
    <row r="237" spans="1:23" s="25" customFormat="1" ht="6.95" customHeight="1" x14ac:dyDescent="0.25">
      <c r="A237" s="26">
        <v>213</v>
      </c>
      <c r="B237" s="30" t="s">
        <v>756</v>
      </c>
      <c r="C237" s="61" t="s">
        <v>5493</v>
      </c>
      <c r="D237" s="51" t="s">
        <v>5009</v>
      </c>
      <c r="E237" s="52" t="s">
        <v>6003</v>
      </c>
      <c r="F237" s="51" t="s">
        <v>692</v>
      </c>
      <c r="G237" s="52" t="s">
        <v>692</v>
      </c>
      <c r="H237" s="73" t="s">
        <v>966</v>
      </c>
      <c r="I237" s="50" t="s">
        <v>1054</v>
      </c>
      <c r="J237" s="73" t="s">
        <v>1112</v>
      </c>
      <c r="K237" s="50" t="str">
        <f t="shared" si="3"/>
        <v>"SIR"</v>
      </c>
      <c r="L237" s="73" t="s">
        <v>895</v>
      </c>
      <c r="M237" s="50" t="s">
        <v>5270</v>
      </c>
      <c r="N237" s="73" t="s">
        <v>3656</v>
      </c>
      <c r="O237" s="50" t="s">
        <v>5391</v>
      </c>
      <c r="P237" s="73" t="s">
        <v>3655</v>
      </c>
      <c r="Q237" s="50" t="s">
        <v>5391</v>
      </c>
      <c r="R237" s="73" t="s">
        <v>4906</v>
      </c>
      <c r="S237" s="50" t="s">
        <v>5391</v>
      </c>
      <c r="T237" s="73" t="s">
        <v>5006</v>
      </c>
      <c r="U237" s="50" t="s">
        <v>4987</v>
      </c>
      <c r="V237" s="73" t="s">
        <v>5392</v>
      </c>
      <c r="W237" s="50" t="s">
        <v>5270</v>
      </c>
    </row>
    <row r="238" spans="1:23" s="25" customFormat="1" ht="6.95" customHeight="1" x14ac:dyDescent="0.25">
      <c r="A238" s="26">
        <v>214</v>
      </c>
      <c r="B238" s="30" t="s">
        <v>783</v>
      </c>
      <c r="C238" s="61" t="s">
        <v>5493</v>
      </c>
      <c r="D238" s="51" t="s">
        <v>5009</v>
      </c>
      <c r="E238" s="52" t="s">
        <v>6003</v>
      </c>
      <c r="F238" s="51" t="s">
        <v>692</v>
      </c>
      <c r="G238" s="52" t="s">
        <v>692</v>
      </c>
      <c r="H238" s="73" t="s">
        <v>966</v>
      </c>
      <c r="I238" s="50" t="s">
        <v>1054</v>
      </c>
      <c r="J238" s="73" t="s">
        <v>1112</v>
      </c>
      <c r="K238" s="50" t="str">
        <f t="shared" si="3"/>
        <v>"SUP"</v>
      </c>
      <c r="L238" s="73" t="s">
        <v>895</v>
      </c>
      <c r="M238" s="50" t="s">
        <v>5271</v>
      </c>
      <c r="N238" s="73" t="s">
        <v>3656</v>
      </c>
      <c r="O238" s="50" t="s">
        <v>5391</v>
      </c>
      <c r="P238" s="73" t="s">
        <v>3655</v>
      </c>
      <c r="Q238" s="50" t="s">
        <v>5391</v>
      </c>
      <c r="R238" s="73" t="s">
        <v>4906</v>
      </c>
      <c r="S238" s="50" t="s">
        <v>5391</v>
      </c>
      <c r="T238" s="73" t="s">
        <v>5006</v>
      </c>
      <c r="U238" s="50" t="s">
        <v>4988</v>
      </c>
      <c r="V238" s="73" t="s">
        <v>5392</v>
      </c>
      <c r="W238" s="50" t="s">
        <v>5271</v>
      </c>
    </row>
    <row r="239" spans="1:23" s="25" customFormat="1" ht="6.95" customHeight="1" x14ac:dyDescent="0.25">
      <c r="A239" s="26">
        <v>215</v>
      </c>
      <c r="B239" s="30" t="s">
        <v>808</v>
      </c>
      <c r="C239" s="61" t="s">
        <v>5493</v>
      </c>
      <c r="D239" s="51" t="s">
        <v>5009</v>
      </c>
      <c r="E239" s="52" t="s">
        <v>6003</v>
      </c>
      <c r="F239" s="51" t="s">
        <v>692</v>
      </c>
      <c r="G239" s="52" t="s">
        <v>692</v>
      </c>
      <c r="H239" s="73" t="s">
        <v>966</v>
      </c>
      <c r="I239" s="50" t="s">
        <v>1055</v>
      </c>
      <c r="J239" s="73" t="s">
        <v>1112</v>
      </c>
      <c r="K239" s="50" t="str">
        <f t="shared" si="3"/>
        <v>"ALU"</v>
      </c>
      <c r="L239" s="73" t="s">
        <v>895</v>
      </c>
      <c r="M239" s="50" t="s">
        <v>5354</v>
      </c>
      <c r="N239" s="73" t="s">
        <v>3656</v>
      </c>
      <c r="O239" s="50" t="s">
        <v>4901</v>
      </c>
      <c r="P239" s="73" t="s">
        <v>3655</v>
      </c>
      <c r="Q239" s="50" t="s">
        <v>4847</v>
      </c>
      <c r="R239" s="73" t="s">
        <v>4906</v>
      </c>
      <c r="S239" s="50" t="s">
        <v>5391</v>
      </c>
      <c r="T239" s="73" t="s">
        <v>692</v>
      </c>
      <c r="U239" s="50" t="s">
        <v>692</v>
      </c>
      <c r="V239" s="73" t="s">
        <v>5392</v>
      </c>
      <c r="W239" s="50" t="s">
        <v>5354</v>
      </c>
    </row>
    <row r="240" spans="1:23" s="25" customFormat="1" ht="6.95" customHeight="1" x14ac:dyDescent="0.25">
      <c r="A240" s="26">
        <v>216</v>
      </c>
      <c r="B240" s="30" t="s">
        <v>215</v>
      </c>
      <c r="C240" s="61" t="s">
        <v>5493</v>
      </c>
      <c r="D240" s="51" t="s">
        <v>5009</v>
      </c>
      <c r="E240" s="52" t="s">
        <v>6003</v>
      </c>
      <c r="F240" s="51" t="s">
        <v>692</v>
      </c>
      <c r="G240" s="52" t="s">
        <v>692</v>
      </c>
      <c r="H240" s="73" t="s">
        <v>966</v>
      </c>
      <c r="I240" s="50" t="s">
        <v>1055</v>
      </c>
      <c r="J240" s="73" t="s">
        <v>1112</v>
      </c>
      <c r="K240" s="50" t="str">
        <f t="shared" si="3"/>
        <v>"ARD"</v>
      </c>
      <c r="L240" s="73" t="s">
        <v>895</v>
      </c>
      <c r="M240" s="50" t="s">
        <v>5272</v>
      </c>
      <c r="N240" s="73" t="s">
        <v>3656</v>
      </c>
      <c r="O240" s="50" t="s">
        <v>4901</v>
      </c>
      <c r="P240" s="73" t="s">
        <v>3655</v>
      </c>
      <c r="Q240" s="50" t="s">
        <v>4847</v>
      </c>
      <c r="R240" s="73" t="s">
        <v>4906</v>
      </c>
      <c r="S240" s="50" t="s">
        <v>5391</v>
      </c>
      <c r="T240" s="73" t="s">
        <v>692</v>
      </c>
      <c r="U240" s="50" t="s">
        <v>692</v>
      </c>
      <c r="V240" s="73" t="s">
        <v>5392</v>
      </c>
      <c r="W240" s="50" t="s">
        <v>5272</v>
      </c>
    </row>
    <row r="241" spans="1:23" s="25" customFormat="1" ht="6.95" customHeight="1" x14ac:dyDescent="0.25">
      <c r="A241" s="26">
        <v>217</v>
      </c>
      <c r="B241" s="30" t="s">
        <v>380</v>
      </c>
      <c r="C241" s="61" t="s">
        <v>5493</v>
      </c>
      <c r="D241" s="51" t="s">
        <v>5009</v>
      </c>
      <c r="E241" s="52" t="s">
        <v>6003</v>
      </c>
      <c r="F241" s="51" t="s">
        <v>692</v>
      </c>
      <c r="G241" s="52" t="s">
        <v>692</v>
      </c>
      <c r="H241" s="73" t="s">
        <v>966</v>
      </c>
      <c r="I241" s="50" t="s">
        <v>1055</v>
      </c>
      <c r="J241" s="73" t="s">
        <v>1112</v>
      </c>
      <c r="K241" s="50" t="str">
        <f t="shared" si="3"/>
        <v>"AZU"</v>
      </c>
      <c r="L241" s="73" t="s">
        <v>895</v>
      </c>
      <c r="M241" s="50" t="s">
        <v>5273</v>
      </c>
      <c r="N241" s="73" t="s">
        <v>3656</v>
      </c>
      <c r="O241" s="50" t="s">
        <v>4901</v>
      </c>
      <c r="P241" s="73" t="s">
        <v>3655</v>
      </c>
      <c r="Q241" s="50" t="s">
        <v>4847</v>
      </c>
      <c r="R241" s="73" t="s">
        <v>4906</v>
      </c>
      <c r="S241" s="50" t="s">
        <v>5391</v>
      </c>
      <c r="T241" s="73" t="s">
        <v>692</v>
      </c>
      <c r="U241" s="50" t="s">
        <v>692</v>
      </c>
      <c r="V241" s="73" t="s">
        <v>5392</v>
      </c>
      <c r="W241" s="50" t="s">
        <v>5273</v>
      </c>
    </row>
    <row r="242" spans="1:23" s="25" customFormat="1" ht="6.95" customHeight="1" x14ac:dyDescent="0.25">
      <c r="A242" s="26">
        <v>218</v>
      </c>
      <c r="B242" s="30" t="s">
        <v>604</v>
      </c>
      <c r="C242" s="61" t="s">
        <v>5493</v>
      </c>
      <c r="D242" s="51" t="s">
        <v>5009</v>
      </c>
      <c r="E242" s="52" t="s">
        <v>6003</v>
      </c>
      <c r="F242" s="51" t="s">
        <v>692</v>
      </c>
      <c r="G242" s="52" t="s">
        <v>692</v>
      </c>
      <c r="H242" s="73" t="s">
        <v>966</v>
      </c>
      <c r="I242" s="50" t="s">
        <v>1055</v>
      </c>
      <c r="J242" s="73" t="s">
        <v>1112</v>
      </c>
      <c r="K242" s="50" t="str">
        <f t="shared" si="3"/>
        <v>"CEL"</v>
      </c>
      <c r="L242" s="73" t="s">
        <v>895</v>
      </c>
      <c r="M242" s="50" t="s">
        <v>5274</v>
      </c>
      <c r="N242" s="73" t="s">
        <v>3656</v>
      </c>
      <c r="O242" s="50" t="s">
        <v>4901</v>
      </c>
      <c r="P242" s="73" t="s">
        <v>3655</v>
      </c>
      <c r="Q242" s="50" t="s">
        <v>4847</v>
      </c>
      <c r="R242" s="73" t="s">
        <v>4906</v>
      </c>
      <c r="S242" s="50" t="s">
        <v>5391</v>
      </c>
      <c r="T242" s="73" t="s">
        <v>692</v>
      </c>
      <c r="U242" s="50" t="s">
        <v>692</v>
      </c>
      <c r="V242" s="73" t="s">
        <v>5392</v>
      </c>
      <c r="W242" s="50" t="s">
        <v>5274</v>
      </c>
    </row>
    <row r="243" spans="1:23" s="25" customFormat="1" ht="6.95" customHeight="1" x14ac:dyDescent="0.25">
      <c r="A243" s="26">
        <v>219</v>
      </c>
      <c r="B243" s="30" t="s">
        <v>571</v>
      </c>
      <c r="C243" s="61" t="s">
        <v>5493</v>
      </c>
      <c r="D243" s="51" t="s">
        <v>5009</v>
      </c>
      <c r="E243" s="52" t="s">
        <v>6003</v>
      </c>
      <c r="F243" s="51" t="s">
        <v>692</v>
      </c>
      <c r="G243" s="52" t="s">
        <v>692</v>
      </c>
      <c r="H243" s="73" t="s">
        <v>966</v>
      </c>
      <c r="I243" s="50" t="s">
        <v>1055</v>
      </c>
      <c r="J243" s="73" t="s">
        <v>1112</v>
      </c>
      <c r="K243" s="50" t="str">
        <f t="shared" si="3"/>
        <v>"CER"</v>
      </c>
      <c r="L243" s="73" t="s">
        <v>895</v>
      </c>
      <c r="M243" s="50" t="s">
        <v>5275</v>
      </c>
      <c r="N243" s="73" t="s">
        <v>3656</v>
      </c>
      <c r="O243" s="50" t="s">
        <v>4901</v>
      </c>
      <c r="P243" s="73" t="s">
        <v>3655</v>
      </c>
      <c r="Q243" s="50" t="s">
        <v>4847</v>
      </c>
      <c r="R243" s="73" t="s">
        <v>4906</v>
      </c>
      <c r="S243" s="50" t="s">
        <v>5391</v>
      </c>
      <c r="T243" s="73" t="s">
        <v>692</v>
      </c>
      <c r="U243" s="50" t="s">
        <v>692</v>
      </c>
      <c r="V243" s="73" t="s">
        <v>5392</v>
      </c>
      <c r="W243" s="50" t="s">
        <v>5275</v>
      </c>
    </row>
    <row r="244" spans="1:23" s="25" customFormat="1" ht="6.95" customHeight="1" x14ac:dyDescent="0.25">
      <c r="A244" s="26">
        <v>220</v>
      </c>
      <c r="B244" s="30" t="s">
        <v>236</v>
      </c>
      <c r="C244" s="61" t="s">
        <v>5493</v>
      </c>
      <c r="D244" s="51" t="s">
        <v>5009</v>
      </c>
      <c r="E244" s="52" t="s">
        <v>6003</v>
      </c>
      <c r="F244" s="51" t="s">
        <v>692</v>
      </c>
      <c r="G244" s="52" t="s">
        <v>692</v>
      </c>
      <c r="H244" s="73" t="s">
        <v>966</v>
      </c>
      <c r="I244" s="50" t="s">
        <v>1055</v>
      </c>
      <c r="J244" s="73" t="s">
        <v>1112</v>
      </c>
      <c r="K244" s="50" t="str">
        <f t="shared" si="3"/>
        <v>"CIM"</v>
      </c>
      <c r="L244" s="73" t="s">
        <v>895</v>
      </c>
      <c r="M244" s="50" t="s">
        <v>5276</v>
      </c>
      <c r="N244" s="73" t="s">
        <v>3656</v>
      </c>
      <c r="O244" s="50" t="s">
        <v>4901</v>
      </c>
      <c r="P244" s="73" t="s">
        <v>3655</v>
      </c>
      <c r="Q244" s="50" t="s">
        <v>4847</v>
      </c>
      <c r="R244" s="73" t="s">
        <v>4906</v>
      </c>
      <c r="S244" s="50" t="s">
        <v>5391</v>
      </c>
      <c r="T244" s="73" t="s">
        <v>692</v>
      </c>
      <c r="U244" s="50" t="s">
        <v>692</v>
      </c>
      <c r="V244" s="73" t="s">
        <v>5392</v>
      </c>
      <c r="W244" s="50" t="s">
        <v>5276</v>
      </c>
    </row>
    <row r="245" spans="1:23" s="25" customFormat="1" ht="6.95" customHeight="1" x14ac:dyDescent="0.25">
      <c r="A245" s="26">
        <v>221</v>
      </c>
      <c r="B245" s="30" t="s">
        <v>92</v>
      </c>
      <c r="C245" s="61" t="s">
        <v>5493</v>
      </c>
      <c r="D245" s="51" t="s">
        <v>5009</v>
      </c>
      <c r="E245" s="52" t="s">
        <v>6003</v>
      </c>
      <c r="F245" s="51" t="s">
        <v>692</v>
      </c>
      <c r="G245" s="52" t="s">
        <v>692</v>
      </c>
      <c r="H245" s="73" t="s">
        <v>966</v>
      </c>
      <c r="I245" s="50" t="s">
        <v>1055</v>
      </c>
      <c r="J245" s="73" t="s">
        <v>1112</v>
      </c>
      <c r="K245" s="50" t="str">
        <f t="shared" si="3"/>
        <v>"CON"</v>
      </c>
      <c r="L245" s="73" t="s">
        <v>895</v>
      </c>
      <c r="M245" s="50" t="s">
        <v>5277</v>
      </c>
      <c r="N245" s="73" t="s">
        <v>3656</v>
      </c>
      <c r="O245" s="50" t="s">
        <v>4901</v>
      </c>
      <c r="P245" s="73" t="s">
        <v>3655</v>
      </c>
      <c r="Q245" s="50" t="s">
        <v>4847</v>
      </c>
      <c r="R245" s="73" t="s">
        <v>4906</v>
      </c>
      <c r="S245" s="50" t="s">
        <v>5391</v>
      </c>
      <c r="T245" s="73" t="s">
        <v>692</v>
      </c>
      <c r="U245" s="50" t="s">
        <v>692</v>
      </c>
      <c r="V245" s="73" t="s">
        <v>5392</v>
      </c>
      <c r="W245" s="50" t="s">
        <v>5277</v>
      </c>
    </row>
    <row r="246" spans="1:23" s="25" customFormat="1" ht="6.95" customHeight="1" x14ac:dyDescent="0.25">
      <c r="A246" s="26">
        <v>222</v>
      </c>
      <c r="B246" s="30" t="s">
        <v>819</v>
      </c>
      <c r="C246" s="61" t="s">
        <v>5493</v>
      </c>
      <c r="D246" s="51" t="s">
        <v>5009</v>
      </c>
      <c r="E246" s="52" t="s">
        <v>6003</v>
      </c>
      <c r="F246" s="51" t="s">
        <v>692</v>
      </c>
      <c r="G246" s="52" t="s">
        <v>692</v>
      </c>
      <c r="H246" s="73" t="s">
        <v>966</v>
      </c>
      <c r="I246" s="50" t="s">
        <v>1055</v>
      </c>
      <c r="J246" s="73" t="s">
        <v>1112</v>
      </c>
      <c r="K246" s="50" t="str">
        <f t="shared" si="3"/>
        <v>"EUC"</v>
      </c>
      <c r="L246" s="73" t="s">
        <v>895</v>
      </c>
      <c r="M246" s="50" t="s">
        <v>5278</v>
      </c>
      <c r="N246" s="73" t="s">
        <v>3656</v>
      </c>
      <c r="O246" s="50" t="s">
        <v>4901</v>
      </c>
      <c r="P246" s="73" t="s">
        <v>3655</v>
      </c>
      <c r="Q246" s="50" t="s">
        <v>4847</v>
      </c>
      <c r="R246" s="73" t="s">
        <v>4906</v>
      </c>
      <c r="S246" s="50" t="s">
        <v>5391</v>
      </c>
      <c r="T246" s="73" t="s">
        <v>692</v>
      </c>
      <c r="U246" s="50" t="s">
        <v>692</v>
      </c>
      <c r="V246" s="73" t="s">
        <v>5392</v>
      </c>
      <c r="W246" s="50" t="s">
        <v>5278</v>
      </c>
    </row>
    <row r="247" spans="1:23" s="25" customFormat="1" ht="6.95" customHeight="1" x14ac:dyDescent="0.25">
      <c r="A247" s="26">
        <v>223</v>
      </c>
      <c r="B247" s="30" t="s">
        <v>231</v>
      </c>
      <c r="C247" s="61" t="s">
        <v>5493</v>
      </c>
      <c r="D247" s="51" t="s">
        <v>5009</v>
      </c>
      <c r="E247" s="52" t="s">
        <v>6003</v>
      </c>
      <c r="F247" s="51" t="s">
        <v>692</v>
      </c>
      <c r="G247" s="52" t="s">
        <v>692</v>
      </c>
      <c r="H247" s="73" t="s">
        <v>966</v>
      </c>
      <c r="I247" s="50" t="s">
        <v>1055</v>
      </c>
      <c r="J247" s="73" t="s">
        <v>1112</v>
      </c>
      <c r="K247" s="50" t="str">
        <f t="shared" si="3"/>
        <v>"GES"</v>
      </c>
      <c r="L247" s="73" t="s">
        <v>895</v>
      </c>
      <c r="M247" s="50" t="s">
        <v>5279</v>
      </c>
      <c r="N247" s="73" t="s">
        <v>3656</v>
      </c>
      <c r="O247" s="50" t="s">
        <v>4901</v>
      </c>
      <c r="P247" s="73" t="s">
        <v>3655</v>
      </c>
      <c r="Q247" s="50" t="s">
        <v>4847</v>
      </c>
      <c r="R247" s="73" t="s">
        <v>4906</v>
      </c>
      <c r="S247" s="50" t="s">
        <v>5391</v>
      </c>
      <c r="T247" s="73" t="s">
        <v>692</v>
      </c>
      <c r="U247" s="50" t="s">
        <v>692</v>
      </c>
      <c r="V247" s="73" t="s">
        <v>5392</v>
      </c>
      <c r="W247" s="50" t="s">
        <v>5279</v>
      </c>
    </row>
    <row r="248" spans="1:23" s="25" customFormat="1" ht="6.95" customHeight="1" x14ac:dyDescent="0.25">
      <c r="A248" s="26">
        <v>224</v>
      </c>
      <c r="B248" s="30" t="s">
        <v>671</v>
      </c>
      <c r="C248" s="61" t="s">
        <v>5493</v>
      </c>
      <c r="D248" s="51" t="s">
        <v>5009</v>
      </c>
      <c r="E248" s="52" t="s">
        <v>6003</v>
      </c>
      <c r="F248" s="51" t="s">
        <v>692</v>
      </c>
      <c r="G248" s="52" t="s">
        <v>692</v>
      </c>
      <c r="H248" s="73" t="s">
        <v>966</v>
      </c>
      <c r="I248" s="50" t="s">
        <v>1055</v>
      </c>
      <c r="J248" s="73" t="s">
        <v>1112</v>
      </c>
      <c r="K248" s="50" t="str">
        <f t="shared" si="3"/>
        <v>"GLT"</v>
      </c>
      <c r="L248" s="73" t="s">
        <v>895</v>
      </c>
      <c r="M248" s="50" t="s">
        <v>5280</v>
      </c>
      <c r="N248" s="73" t="s">
        <v>3656</v>
      </c>
      <c r="O248" s="50" t="s">
        <v>4901</v>
      </c>
      <c r="P248" s="73" t="s">
        <v>3655</v>
      </c>
      <c r="Q248" s="50" t="s">
        <v>4847</v>
      </c>
      <c r="R248" s="73" t="s">
        <v>4906</v>
      </c>
      <c r="S248" s="50" t="s">
        <v>5391</v>
      </c>
      <c r="T248" s="73" t="s">
        <v>692</v>
      </c>
      <c r="U248" s="50" t="s">
        <v>692</v>
      </c>
      <c r="V248" s="73" t="s">
        <v>5392</v>
      </c>
      <c r="W248" s="50" t="s">
        <v>5280</v>
      </c>
    </row>
    <row r="249" spans="1:23" s="25" customFormat="1" ht="6.95" customHeight="1" x14ac:dyDescent="0.25">
      <c r="A249" s="26">
        <v>225</v>
      </c>
      <c r="B249" s="30" t="s">
        <v>161</v>
      </c>
      <c r="C249" s="61" t="s">
        <v>5493</v>
      </c>
      <c r="D249" s="51" t="s">
        <v>5009</v>
      </c>
      <c r="E249" s="52" t="s">
        <v>6003</v>
      </c>
      <c r="F249" s="51" t="s">
        <v>692</v>
      </c>
      <c r="G249" s="52" t="s">
        <v>692</v>
      </c>
      <c r="H249" s="73" t="s">
        <v>966</v>
      </c>
      <c r="I249" s="50" t="s">
        <v>1055</v>
      </c>
      <c r="J249" s="73" t="s">
        <v>1112</v>
      </c>
      <c r="K249" s="50" t="str">
        <f t="shared" si="3"/>
        <v>"GRA"</v>
      </c>
      <c r="L249" s="73" t="s">
        <v>895</v>
      </c>
      <c r="M249" s="50" t="s">
        <v>5281</v>
      </c>
      <c r="N249" s="73" t="s">
        <v>3656</v>
      </c>
      <c r="O249" s="50" t="s">
        <v>4901</v>
      </c>
      <c r="P249" s="73" t="s">
        <v>3655</v>
      </c>
      <c r="Q249" s="50" t="s">
        <v>4847</v>
      </c>
      <c r="R249" s="73" t="s">
        <v>4906</v>
      </c>
      <c r="S249" s="50" t="s">
        <v>5391</v>
      </c>
      <c r="T249" s="73" t="s">
        <v>692</v>
      </c>
      <c r="U249" s="50" t="s">
        <v>692</v>
      </c>
      <c r="V249" s="73" t="s">
        <v>5392</v>
      </c>
      <c r="W249" s="50" t="s">
        <v>5281</v>
      </c>
    </row>
    <row r="250" spans="1:23" s="25" customFormat="1" ht="6.95" customHeight="1" x14ac:dyDescent="0.25">
      <c r="A250" s="26">
        <v>226</v>
      </c>
      <c r="B250" s="30" t="s">
        <v>216</v>
      </c>
      <c r="C250" s="61" t="s">
        <v>5493</v>
      </c>
      <c r="D250" s="51" t="s">
        <v>5009</v>
      </c>
      <c r="E250" s="52" t="s">
        <v>6003</v>
      </c>
      <c r="F250" s="51" t="s">
        <v>692</v>
      </c>
      <c r="G250" s="52" t="s">
        <v>692</v>
      </c>
      <c r="H250" s="73" t="s">
        <v>966</v>
      </c>
      <c r="I250" s="50" t="s">
        <v>1055</v>
      </c>
      <c r="J250" s="73" t="s">
        <v>1112</v>
      </c>
      <c r="K250" s="50" t="str">
        <f t="shared" si="3"/>
        <v>"LAM"</v>
      </c>
      <c r="L250" s="73" t="s">
        <v>895</v>
      </c>
      <c r="M250" s="50" t="s">
        <v>5282</v>
      </c>
      <c r="N250" s="73" t="s">
        <v>3656</v>
      </c>
      <c r="O250" s="50" t="s">
        <v>4901</v>
      </c>
      <c r="P250" s="73" t="s">
        <v>3655</v>
      </c>
      <c r="Q250" s="50" t="s">
        <v>4847</v>
      </c>
      <c r="R250" s="73" t="s">
        <v>4906</v>
      </c>
      <c r="S250" s="50" t="s">
        <v>5391</v>
      </c>
      <c r="T250" s="73" t="s">
        <v>692</v>
      </c>
      <c r="U250" s="50" t="s">
        <v>692</v>
      </c>
      <c r="V250" s="73" t="s">
        <v>5392</v>
      </c>
      <c r="W250" s="50" t="s">
        <v>5282</v>
      </c>
    </row>
    <row r="251" spans="1:23" s="25" customFormat="1" ht="6.95" customHeight="1" x14ac:dyDescent="0.25">
      <c r="A251" s="26">
        <v>227</v>
      </c>
      <c r="B251" s="30" t="s">
        <v>219</v>
      </c>
      <c r="C251" s="61" t="s">
        <v>5493</v>
      </c>
      <c r="D251" s="51" t="s">
        <v>5009</v>
      </c>
      <c r="E251" s="52" t="s">
        <v>6003</v>
      </c>
      <c r="F251" s="51" t="s">
        <v>692</v>
      </c>
      <c r="G251" s="52" t="s">
        <v>692</v>
      </c>
      <c r="H251" s="73" t="s">
        <v>966</v>
      </c>
      <c r="I251" s="50" t="s">
        <v>1055</v>
      </c>
      <c r="J251" s="73" t="s">
        <v>1112</v>
      </c>
      <c r="K251" s="50" t="str">
        <f t="shared" si="3"/>
        <v>"LHI"</v>
      </c>
      <c r="L251" s="73" t="s">
        <v>895</v>
      </c>
      <c r="M251" s="50" t="s">
        <v>5283</v>
      </c>
      <c r="N251" s="73" t="s">
        <v>3656</v>
      </c>
      <c r="O251" s="50" t="s">
        <v>4901</v>
      </c>
      <c r="P251" s="73" t="s">
        <v>3655</v>
      </c>
      <c r="Q251" s="50" t="s">
        <v>4847</v>
      </c>
      <c r="R251" s="73" t="s">
        <v>4906</v>
      </c>
      <c r="S251" s="50" t="s">
        <v>5391</v>
      </c>
      <c r="T251" s="73" t="s">
        <v>692</v>
      </c>
      <c r="U251" s="50" t="s">
        <v>692</v>
      </c>
      <c r="V251" s="73" t="s">
        <v>5392</v>
      </c>
      <c r="W251" s="50" t="s">
        <v>5283</v>
      </c>
    </row>
    <row r="252" spans="1:23" s="25" customFormat="1" ht="6.95" customHeight="1" x14ac:dyDescent="0.25">
      <c r="A252" s="26">
        <v>228</v>
      </c>
      <c r="B252" s="30" t="s">
        <v>810</v>
      </c>
      <c r="C252" s="61" t="s">
        <v>5493</v>
      </c>
      <c r="D252" s="51" t="s">
        <v>5009</v>
      </c>
      <c r="E252" s="52" t="s">
        <v>6003</v>
      </c>
      <c r="F252" s="51" t="s">
        <v>692</v>
      </c>
      <c r="G252" s="52" t="s">
        <v>692</v>
      </c>
      <c r="H252" s="73" t="s">
        <v>966</v>
      </c>
      <c r="I252" s="50" t="s">
        <v>1055</v>
      </c>
      <c r="J252" s="73" t="s">
        <v>1112</v>
      </c>
      <c r="K252" s="50" t="str">
        <f t="shared" si="3"/>
        <v>"MAD"</v>
      </c>
      <c r="L252" s="73" t="s">
        <v>895</v>
      </c>
      <c r="M252" s="50" t="s">
        <v>5284</v>
      </c>
      <c r="N252" s="73" t="s">
        <v>3656</v>
      </c>
      <c r="O252" s="50" t="s">
        <v>4901</v>
      </c>
      <c r="P252" s="73" t="s">
        <v>3655</v>
      </c>
      <c r="Q252" s="50" t="s">
        <v>4847</v>
      </c>
      <c r="R252" s="73" t="s">
        <v>4906</v>
      </c>
      <c r="S252" s="50" t="s">
        <v>5391</v>
      </c>
      <c r="T252" s="73" t="s">
        <v>692</v>
      </c>
      <c r="U252" s="50" t="s">
        <v>692</v>
      </c>
      <c r="V252" s="73" t="s">
        <v>5392</v>
      </c>
      <c r="W252" s="50" t="s">
        <v>5284</v>
      </c>
    </row>
    <row r="253" spans="1:23" s="25" customFormat="1" ht="6.95" customHeight="1" x14ac:dyDescent="0.25">
      <c r="A253" s="26">
        <v>229</v>
      </c>
      <c r="B253" s="30" t="s">
        <v>183</v>
      </c>
      <c r="C253" s="61" t="s">
        <v>5493</v>
      </c>
      <c r="D253" s="51" t="s">
        <v>5009</v>
      </c>
      <c r="E253" s="52" t="s">
        <v>6003</v>
      </c>
      <c r="F253" s="51" t="s">
        <v>692</v>
      </c>
      <c r="G253" s="52" t="s">
        <v>692</v>
      </c>
      <c r="H253" s="73" t="s">
        <v>966</v>
      </c>
      <c r="I253" s="50" t="s">
        <v>1055</v>
      </c>
      <c r="J253" s="73" t="s">
        <v>1112</v>
      </c>
      <c r="K253" s="50" t="str">
        <f t="shared" si="3"/>
        <v>"PMA"</v>
      </c>
      <c r="L253" s="73" t="s">
        <v>895</v>
      </c>
      <c r="M253" s="50" t="s">
        <v>5285</v>
      </c>
      <c r="N253" s="73" t="s">
        <v>3656</v>
      </c>
      <c r="O253" s="50" t="s">
        <v>4901</v>
      </c>
      <c r="P253" s="73" t="s">
        <v>3655</v>
      </c>
      <c r="Q253" s="50" t="s">
        <v>4847</v>
      </c>
      <c r="R253" s="73" t="s">
        <v>4906</v>
      </c>
      <c r="S253" s="50" t="s">
        <v>5391</v>
      </c>
      <c r="T253" s="73" t="s">
        <v>692</v>
      </c>
      <c r="U253" s="50" t="s">
        <v>692</v>
      </c>
      <c r="V253" s="73" t="s">
        <v>5392</v>
      </c>
      <c r="W253" s="50" t="s">
        <v>5285</v>
      </c>
    </row>
    <row r="254" spans="1:23" s="25" customFormat="1" ht="6.95" customHeight="1" x14ac:dyDescent="0.25">
      <c r="A254" s="26">
        <v>230</v>
      </c>
      <c r="B254" s="30" t="s">
        <v>313</v>
      </c>
      <c r="C254" s="61" t="s">
        <v>5493</v>
      </c>
      <c r="D254" s="51" t="s">
        <v>5009</v>
      </c>
      <c r="E254" s="52" t="s">
        <v>6003</v>
      </c>
      <c r="F254" s="51" t="s">
        <v>692</v>
      </c>
      <c r="G254" s="52" t="s">
        <v>692</v>
      </c>
      <c r="H254" s="73" t="s">
        <v>966</v>
      </c>
      <c r="I254" s="50" t="s">
        <v>1055</v>
      </c>
      <c r="J254" s="73" t="s">
        <v>1112</v>
      </c>
      <c r="K254" s="50" t="str">
        <f t="shared" si="3"/>
        <v>"MET"</v>
      </c>
      <c r="L254" s="73" t="s">
        <v>895</v>
      </c>
      <c r="M254" s="50" t="s">
        <v>5286</v>
      </c>
      <c r="N254" s="73" t="s">
        <v>3656</v>
      </c>
      <c r="O254" s="50" t="s">
        <v>4901</v>
      </c>
      <c r="P254" s="73" t="s">
        <v>3655</v>
      </c>
      <c r="Q254" s="50" t="s">
        <v>4847</v>
      </c>
      <c r="R254" s="73" t="s">
        <v>4906</v>
      </c>
      <c r="S254" s="50" t="s">
        <v>5391</v>
      </c>
      <c r="T254" s="73" t="s">
        <v>692</v>
      </c>
      <c r="U254" s="50" t="s">
        <v>692</v>
      </c>
      <c r="V254" s="73" t="s">
        <v>5392</v>
      </c>
      <c r="W254" s="50" t="s">
        <v>5286</v>
      </c>
    </row>
    <row r="255" spans="1:23" s="25" customFormat="1" ht="6.95" customHeight="1" x14ac:dyDescent="0.25">
      <c r="A255" s="26">
        <v>231</v>
      </c>
      <c r="B255" s="30" t="s">
        <v>674</v>
      </c>
      <c r="C255" s="61" t="s">
        <v>5493</v>
      </c>
      <c r="D255" s="51" t="s">
        <v>5009</v>
      </c>
      <c r="E255" s="52" t="s">
        <v>6003</v>
      </c>
      <c r="F255" s="51" t="s">
        <v>692</v>
      </c>
      <c r="G255" s="52" t="s">
        <v>692</v>
      </c>
      <c r="H255" s="73" t="s">
        <v>966</v>
      </c>
      <c r="I255" s="50" t="s">
        <v>1055</v>
      </c>
      <c r="J255" s="73" t="s">
        <v>1112</v>
      </c>
      <c r="K255" s="50" t="str">
        <f t="shared" si="3"/>
        <v>"PAS"</v>
      </c>
      <c r="L255" s="73" t="s">
        <v>895</v>
      </c>
      <c r="M255" s="50" t="s">
        <v>5287</v>
      </c>
      <c r="N255" s="73" t="s">
        <v>3656</v>
      </c>
      <c r="O255" s="50" t="s">
        <v>4901</v>
      </c>
      <c r="P255" s="73" t="s">
        <v>3655</v>
      </c>
      <c r="Q255" s="50" t="s">
        <v>4847</v>
      </c>
      <c r="R255" s="73" t="s">
        <v>4906</v>
      </c>
      <c r="S255" s="50" t="s">
        <v>5391</v>
      </c>
      <c r="T255" s="73" t="s">
        <v>692</v>
      </c>
      <c r="U255" s="50" t="s">
        <v>692</v>
      </c>
      <c r="V255" s="73" t="s">
        <v>5392</v>
      </c>
      <c r="W255" s="50" t="s">
        <v>5287</v>
      </c>
    </row>
    <row r="256" spans="1:23" s="25" customFormat="1" ht="6.95" customHeight="1" x14ac:dyDescent="0.25">
      <c r="A256" s="26">
        <v>232</v>
      </c>
      <c r="B256" s="30" t="s">
        <v>251</v>
      </c>
      <c r="C256" s="61" t="s">
        <v>5493</v>
      </c>
      <c r="D256" s="51" t="s">
        <v>5009</v>
      </c>
      <c r="E256" s="52" t="s">
        <v>6003</v>
      </c>
      <c r="F256" s="51" t="s">
        <v>692</v>
      </c>
      <c r="G256" s="52" t="s">
        <v>692</v>
      </c>
      <c r="H256" s="73" t="s">
        <v>966</v>
      </c>
      <c r="I256" s="50" t="s">
        <v>1055</v>
      </c>
      <c r="J256" s="73" t="s">
        <v>1112</v>
      </c>
      <c r="K256" s="50" t="str">
        <f t="shared" si="3"/>
        <v>"PDR"</v>
      </c>
      <c r="L256" s="73" t="s">
        <v>895</v>
      </c>
      <c r="M256" s="50" t="s">
        <v>5288</v>
      </c>
      <c r="N256" s="73" t="s">
        <v>3656</v>
      </c>
      <c r="O256" s="50" t="s">
        <v>4901</v>
      </c>
      <c r="P256" s="73" t="s">
        <v>3655</v>
      </c>
      <c r="Q256" s="50" t="s">
        <v>4847</v>
      </c>
      <c r="R256" s="73" t="s">
        <v>4906</v>
      </c>
      <c r="S256" s="50" t="s">
        <v>5391</v>
      </c>
      <c r="T256" s="73" t="s">
        <v>692</v>
      </c>
      <c r="U256" s="50" t="s">
        <v>692</v>
      </c>
      <c r="V256" s="73" t="s">
        <v>5392</v>
      </c>
      <c r="W256" s="50" t="s">
        <v>5288</v>
      </c>
    </row>
    <row r="257" spans="1:23" s="25" customFormat="1" ht="6.95" customHeight="1" x14ac:dyDescent="0.25">
      <c r="A257" s="26">
        <v>233</v>
      </c>
      <c r="B257" s="30" t="s">
        <v>805</v>
      </c>
      <c r="C257" s="61" t="s">
        <v>5493</v>
      </c>
      <c r="D257" s="51" t="s">
        <v>5009</v>
      </c>
      <c r="E257" s="52" t="s">
        <v>6003</v>
      </c>
      <c r="F257" s="51" t="s">
        <v>692</v>
      </c>
      <c r="G257" s="52" t="s">
        <v>692</v>
      </c>
      <c r="H257" s="73" t="s">
        <v>966</v>
      </c>
      <c r="I257" s="50" t="s">
        <v>1055</v>
      </c>
      <c r="J257" s="73" t="s">
        <v>1112</v>
      </c>
      <c r="K257" s="50" t="str">
        <f t="shared" si="3"/>
        <v>"PIN"</v>
      </c>
      <c r="L257" s="73" t="s">
        <v>895</v>
      </c>
      <c r="M257" s="50" t="s">
        <v>5289</v>
      </c>
      <c r="N257" s="73" t="s">
        <v>3656</v>
      </c>
      <c r="O257" s="50" t="s">
        <v>4901</v>
      </c>
      <c r="P257" s="73" t="s">
        <v>3655</v>
      </c>
      <c r="Q257" s="50" t="s">
        <v>4847</v>
      </c>
      <c r="R257" s="73" t="s">
        <v>4906</v>
      </c>
      <c r="S257" s="50" t="s">
        <v>5391</v>
      </c>
      <c r="T257" s="73" t="s">
        <v>692</v>
      </c>
      <c r="U257" s="50" t="s">
        <v>692</v>
      </c>
      <c r="V257" s="73" t="s">
        <v>5392</v>
      </c>
      <c r="W257" s="50" t="s">
        <v>5289</v>
      </c>
    </row>
    <row r="258" spans="1:23" s="25" customFormat="1" ht="6.95" customHeight="1" x14ac:dyDescent="0.25">
      <c r="A258" s="26">
        <v>234</v>
      </c>
      <c r="B258" s="30" t="s">
        <v>220</v>
      </c>
      <c r="C258" s="61" t="s">
        <v>5493</v>
      </c>
      <c r="D258" s="51" t="s">
        <v>5009</v>
      </c>
      <c r="E258" s="52" t="s">
        <v>6003</v>
      </c>
      <c r="F258" s="51" t="s">
        <v>692</v>
      </c>
      <c r="G258" s="52" t="s">
        <v>692</v>
      </c>
      <c r="H258" s="73" t="s">
        <v>966</v>
      </c>
      <c r="I258" s="50" t="s">
        <v>1055</v>
      </c>
      <c r="J258" s="73" t="s">
        <v>1112</v>
      </c>
      <c r="K258" s="50" t="str">
        <f t="shared" ref="K258:K321" si="4">_xlfn.CONCAT("""",B258,"""")</f>
        <v>"PQT"</v>
      </c>
      <c r="L258" s="73" t="s">
        <v>895</v>
      </c>
      <c r="M258" s="50" t="s">
        <v>5290</v>
      </c>
      <c r="N258" s="73" t="s">
        <v>3656</v>
      </c>
      <c r="O258" s="50" t="s">
        <v>4901</v>
      </c>
      <c r="P258" s="73" t="s">
        <v>3655</v>
      </c>
      <c r="Q258" s="50" t="s">
        <v>4847</v>
      </c>
      <c r="R258" s="73" t="s">
        <v>4906</v>
      </c>
      <c r="S258" s="50" t="s">
        <v>5391</v>
      </c>
      <c r="T258" s="73" t="s">
        <v>692</v>
      </c>
      <c r="U258" s="50" t="s">
        <v>692</v>
      </c>
      <c r="V258" s="73" t="s">
        <v>5392</v>
      </c>
      <c r="W258" s="50" t="s">
        <v>5290</v>
      </c>
    </row>
    <row r="259" spans="1:23" s="25" customFormat="1" ht="6.95" customHeight="1" x14ac:dyDescent="0.25">
      <c r="A259" s="26">
        <v>235</v>
      </c>
      <c r="B259" s="30" t="s">
        <v>290</v>
      </c>
      <c r="C259" s="61" t="s">
        <v>5493</v>
      </c>
      <c r="D259" s="51" t="s">
        <v>5009</v>
      </c>
      <c r="E259" s="52" t="s">
        <v>6003</v>
      </c>
      <c r="F259" s="51" t="s">
        <v>692</v>
      </c>
      <c r="G259" s="52" t="s">
        <v>692</v>
      </c>
      <c r="H259" s="73" t="s">
        <v>966</v>
      </c>
      <c r="I259" s="50" t="s">
        <v>1055</v>
      </c>
      <c r="J259" s="73" t="s">
        <v>1112</v>
      </c>
      <c r="K259" s="50" t="str">
        <f t="shared" si="4"/>
        <v>"SIL"</v>
      </c>
      <c r="L259" s="73" t="s">
        <v>895</v>
      </c>
      <c r="M259" s="50" t="s">
        <v>5291</v>
      </c>
      <c r="N259" s="73" t="s">
        <v>3656</v>
      </c>
      <c r="O259" s="50" t="s">
        <v>4901</v>
      </c>
      <c r="P259" s="73" t="s">
        <v>3655</v>
      </c>
      <c r="Q259" s="50" t="s">
        <v>4847</v>
      </c>
      <c r="R259" s="73" t="s">
        <v>4906</v>
      </c>
      <c r="S259" s="50" t="s">
        <v>5391</v>
      </c>
      <c r="T259" s="73" t="s">
        <v>692</v>
      </c>
      <c r="U259" s="50" t="s">
        <v>692</v>
      </c>
      <c r="V259" s="73" t="s">
        <v>5392</v>
      </c>
      <c r="W259" s="50" t="s">
        <v>5291</v>
      </c>
    </row>
    <row r="260" spans="1:23" s="25" customFormat="1" ht="6.95" customHeight="1" x14ac:dyDescent="0.25">
      <c r="A260" s="26">
        <v>236</v>
      </c>
      <c r="B260" s="30" t="s">
        <v>234</v>
      </c>
      <c r="C260" s="61" t="s">
        <v>5493</v>
      </c>
      <c r="D260" s="51" t="s">
        <v>5009</v>
      </c>
      <c r="E260" s="52" t="s">
        <v>6003</v>
      </c>
      <c r="F260" s="51" t="s">
        <v>692</v>
      </c>
      <c r="G260" s="52" t="s">
        <v>692</v>
      </c>
      <c r="H260" s="73" t="s">
        <v>966</v>
      </c>
      <c r="I260" s="50" t="s">
        <v>1055</v>
      </c>
      <c r="J260" s="73" t="s">
        <v>1112</v>
      </c>
      <c r="K260" s="50" t="str">
        <f t="shared" si="4"/>
        <v>"TAB"</v>
      </c>
      <c r="L260" s="73" t="s">
        <v>895</v>
      </c>
      <c r="M260" s="50" t="s">
        <v>5292</v>
      </c>
      <c r="N260" s="73" t="s">
        <v>3656</v>
      </c>
      <c r="O260" s="50" t="s">
        <v>4901</v>
      </c>
      <c r="P260" s="73" t="s">
        <v>3655</v>
      </c>
      <c r="Q260" s="50" t="s">
        <v>4847</v>
      </c>
      <c r="R260" s="73" t="s">
        <v>4906</v>
      </c>
      <c r="S260" s="50" t="s">
        <v>5391</v>
      </c>
      <c r="T260" s="73" t="s">
        <v>692</v>
      </c>
      <c r="U260" s="50" t="s">
        <v>692</v>
      </c>
      <c r="V260" s="73" t="s">
        <v>5392</v>
      </c>
      <c r="W260" s="50" t="s">
        <v>5292</v>
      </c>
    </row>
    <row r="261" spans="1:23" s="25" customFormat="1" ht="6.95" customHeight="1" x14ac:dyDescent="0.25">
      <c r="A261" s="26">
        <v>237</v>
      </c>
      <c r="B261" s="30" t="s">
        <v>344</v>
      </c>
      <c r="C261" s="61" t="s">
        <v>5493</v>
      </c>
      <c r="D261" s="51" t="s">
        <v>5009</v>
      </c>
      <c r="E261" s="52" t="s">
        <v>6003</v>
      </c>
      <c r="F261" s="51" t="s">
        <v>692</v>
      </c>
      <c r="G261" s="52" t="s">
        <v>692</v>
      </c>
      <c r="H261" s="73" t="s">
        <v>966</v>
      </c>
      <c r="I261" s="50" t="s">
        <v>1055</v>
      </c>
      <c r="J261" s="73" t="s">
        <v>1112</v>
      </c>
      <c r="K261" s="50" t="str">
        <f t="shared" si="4"/>
        <v>"TAC"</v>
      </c>
      <c r="L261" s="73" t="s">
        <v>895</v>
      </c>
      <c r="M261" s="50" t="s">
        <v>5293</v>
      </c>
      <c r="N261" s="73" t="s">
        <v>3656</v>
      </c>
      <c r="O261" s="50" t="s">
        <v>4901</v>
      </c>
      <c r="P261" s="73" t="s">
        <v>3655</v>
      </c>
      <c r="Q261" s="50" t="s">
        <v>4847</v>
      </c>
      <c r="R261" s="73" t="s">
        <v>4906</v>
      </c>
      <c r="S261" s="50" t="s">
        <v>5391</v>
      </c>
      <c r="T261" s="73" t="s">
        <v>692</v>
      </c>
      <c r="U261" s="50" t="s">
        <v>692</v>
      </c>
      <c r="V261" s="73" t="s">
        <v>5392</v>
      </c>
      <c r="W261" s="50" t="s">
        <v>5293</v>
      </c>
    </row>
    <row r="262" spans="1:23" s="25" customFormat="1" ht="6.95" customHeight="1" x14ac:dyDescent="0.25">
      <c r="A262" s="26">
        <v>238</v>
      </c>
      <c r="B262" s="30" t="s">
        <v>673</v>
      </c>
      <c r="C262" s="61" t="s">
        <v>5493</v>
      </c>
      <c r="D262" s="51" t="s">
        <v>5009</v>
      </c>
      <c r="E262" s="52" t="s">
        <v>6003</v>
      </c>
      <c r="F262" s="51" t="s">
        <v>692</v>
      </c>
      <c r="G262" s="52" t="s">
        <v>692</v>
      </c>
      <c r="H262" s="73" t="s">
        <v>966</v>
      </c>
      <c r="I262" s="50" t="s">
        <v>1055</v>
      </c>
      <c r="J262" s="73" t="s">
        <v>1112</v>
      </c>
      <c r="K262" s="50" t="str">
        <f t="shared" si="4"/>
        <v>"TCO"</v>
      </c>
      <c r="L262" s="73" t="s">
        <v>895</v>
      </c>
      <c r="M262" s="50" t="s">
        <v>5294</v>
      </c>
      <c r="N262" s="73" t="s">
        <v>3656</v>
      </c>
      <c r="O262" s="50" t="s">
        <v>4901</v>
      </c>
      <c r="P262" s="73" t="s">
        <v>3655</v>
      </c>
      <c r="Q262" s="50" t="s">
        <v>4847</v>
      </c>
      <c r="R262" s="73" t="s">
        <v>4906</v>
      </c>
      <c r="S262" s="50" t="s">
        <v>5391</v>
      </c>
      <c r="T262" s="73" t="s">
        <v>692</v>
      </c>
      <c r="U262" s="50" t="s">
        <v>692</v>
      </c>
      <c r="V262" s="73" t="s">
        <v>5392</v>
      </c>
      <c r="W262" s="50" t="s">
        <v>5294</v>
      </c>
    </row>
    <row r="263" spans="1:23" s="25" customFormat="1" ht="6.95" customHeight="1" x14ac:dyDescent="0.25">
      <c r="A263" s="26">
        <v>239</v>
      </c>
      <c r="B263" s="30" t="s">
        <v>815</v>
      </c>
      <c r="C263" s="61" t="s">
        <v>5493</v>
      </c>
      <c r="D263" s="51" t="s">
        <v>5009</v>
      </c>
      <c r="E263" s="52" t="s">
        <v>6003</v>
      </c>
      <c r="F263" s="51" t="s">
        <v>692</v>
      </c>
      <c r="G263" s="52" t="s">
        <v>692</v>
      </c>
      <c r="H263" s="73" t="s">
        <v>966</v>
      </c>
      <c r="I263" s="50" t="s">
        <v>1055</v>
      </c>
      <c r="J263" s="73" t="s">
        <v>1112</v>
      </c>
      <c r="K263" s="50" t="str">
        <f t="shared" si="4"/>
        <v>"VER"</v>
      </c>
      <c r="L263" s="73" t="s">
        <v>895</v>
      </c>
      <c r="M263" s="50" t="s">
        <v>5355</v>
      </c>
      <c r="N263" s="73" t="s">
        <v>3656</v>
      </c>
      <c r="O263" s="50" t="s">
        <v>4901</v>
      </c>
      <c r="P263" s="73" t="s">
        <v>3655</v>
      </c>
      <c r="Q263" s="50" t="s">
        <v>4847</v>
      </c>
      <c r="R263" s="73" t="s">
        <v>4906</v>
      </c>
      <c r="S263" s="50" t="s">
        <v>5391</v>
      </c>
      <c r="T263" s="73" t="s">
        <v>692</v>
      </c>
      <c r="U263" s="50" t="s">
        <v>692</v>
      </c>
      <c r="V263" s="73" t="s">
        <v>5392</v>
      </c>
      <c r="W263" s="50" t="s">
        <v>5355</v>
      </c>
    </row>
    <row r="264" spans="1:23" s="25" customFormat="1" ht="6.95" customHeight="1" x14ac:dyDescent="0.25">
      <c r="A264" s="26">
        <v>240</v>
      </c>
      <c r="B264" s="30" t="s">
        <v>817</v>
      </c>
      <c r="C264" s="61" t="s">
        <v>5493</v>
      </c>
      <c r="D264" s="51" t="s">
        <v>5009</v>
      </c>
      <c r="E264" s="52" t="s">
        <v>6003</v>
      </c>
      <c r="F264" s="51" t="s">
        <v>692</v>
      </c>
      <c r="G264" s="52" t="s">
        <v>692</v>
      </c>
      <c r="H264" s="73" t="s">
        <v>966</v>
      </c>
      <c r="I264" s="50" t="s">
        <v>1055</v>
      </c>
      <c r="J264" s="73" t="s">
        <v>1112</v>
      </c>
      <c r="K264" s="50" t="str">
        <f t="shared" si="4"/>
        <v>"VID"</v>
      </c>
      <c r="L264" s="73" t="s">
        <v>895</v>
      </c>
      <c r="M264" s="50" t="s">
        <v>5295</v>
      </c>
      <c r="N264" s="73" t="s">
        <v>3656</v>
      </c>
      <c r="O264" s="50" t="s">
        <v>4901</v>
      </c>
      <c r="P264" s="73" t="s">
        <v>3655</v>
      </c>
      <c r="Q264" s="50" t="s">
        <v>4847</v>
      </c>
      <c r="R264" s="73" t="s">
        <v>4906</v>
      </c>
      <c r="S264" s="50" t="s">
        <v>5391</v>
      </c>
      <c r="T264" s="73" t="s">
        <v>692</v>
      </c>
      <c r="U264" s="50" t="s">
        <v>692</v>
      </c>
      <c r="V264" s="73" t="s">
        <v>5392</v>
      </c>
      <c r="W264" s="50" t="s">
        <v>5295</v>
      </c>
    </row>
    <row r="265" spans="1:23" s="25" customFormat="1" ht="6.95" customHeight="1" x14ac:dyDescent="0.25">
      <c r="A265" s="26">
        <v>241</v>
      </c>
      <c r="B265" s="30" t="s">
        <v>813</v>
      </c>
      <c r="C265" s="61" t="s">
        <v>5493</v>
      </c>
      <c r="D265" s="51" t="s">
        <v>5009</v>
      </c>
      <c r="E265" s="52" t="s">
        <v>6003</v>
      </c>
      <c r="F265" s="51" t="s">
        <v>692</v>
      </c>
      <c r="G265" s="52" t="s">
        <v>692</v>
      </c>
      <c r="H265" s="73" t="s">
        <v>966</v>
      </c>
      <c r="I265" s="50" t="s">
        <v>1055</v>
      </c>
      <c r="J265" s="73" t="s">
        <v>1112</v>
      </c>
      <c r="K265" s="50" t="str">
        <f t="shared" si="4"/>
        <v>"VIN"</v>
      </c>
      <c r="L265" s="73" t="s">
        <v>895</v>
      </c>
      <c r="M265" s="50" t="s">
        <v>5296</v>
      </c>
      <c r="N265" s="73" t="s">
        <v>3656</v>
      </c>
      <c r="O265" s="50" t="s">
        <v>4901</v>
      </c>
      <c r="P265" s="73" t="s">
        <v>3655</v>
      </c>
      <c r="Q265" s="50" t="s">
        <v>4847</v>
      </c>
      <c r="R265" s="73" t="s">
        <v>4906</v>
      </c>
      <c r="S265" s="50" t="s">
        <v>5391</v>
      </c>
      <c r="T265" s="73" t="s">
        <v>692</v>
      </c>
      <c r="U265" s="50" t="s">
        <v>692</v>
      </c>
      <c r="V265" s="73" t="s">
        <v>5392</v>
      </c>
      <c r="W265" s="50" t="s">
        <v>5296</v>
      </c>
    </row>
    <row r="266" spans="1:23" s="25" customFormat="1" ht="6.95" customHeight="1" x14ac:dyDescent="0.25">
      <c r="A266" s="26">
        <v>242</v>
      </c>
      <c r="B266" s="30" t="s">
        <v>355</v>
      </c>
      <c r="C266" s="61" t="s">
        <v>5493</v>
      </c>
      <c r="D266" s="51" t="s">
        <v>5009</v>
      </c>
      <c r="E266" s="52" t="s">
        <v>6003</v>
      </c>
      <c r="F266" s="51" t="s">
        <v>692</v>
      </c>
      <c r="G266" s="52" t="s">
        <v>692</v>
      </c>
      <c r="H266" s="73" t="s">
        <v>966</v>
      </c>
      <c r="I266" s="50" t="s">
        <v>1056</v>
      </c>
      <c r="J266" s="73" t="s">
        <v>1112</v>
      </c>
      <c r="K266" s="50" t="str">
        <f t="shared" si="4"/>
        <v>"ACD"</v>
      </c>
      <c r="L266" s="73" t="s">
        <v>895</v>
      </c>
      <c r="M266" s="50" t="s">
        <v>5297</v>
      </c>
      <c r="N266" s="73" t="s">
        <v>3656</v>
      </c>
      <c r="O266" s="50" t="s">
        <v>3683</v>
      </c>
      <c r="P266" s="73" t="s">
        <v>3655</v>
      </c>
      <c r="Q266" s="50" t="s">
        <v>3684</v>
      </c>
      <c r="R266" s="73" t="s">
        <v>4906</v>
      </c>
      <c r="S266" s="50" t="s">
        <v>5391</v>
      </c>
      <c r="T266" s="73" t="s">
        <v>692</v>
      </c>
      <c r="U266" s="50" t="s">
        <v>692</v>
      </c>
      <c r="V266" s="73" t="s">
        <v>5392</v>
      </c>
      <c r="W266" s="50" t="s">
        <v>5297</v>
      </c>
    </row>
    <row r="267" spans="1:23" s="25" customFormat="1" ht="6.95" customHeight="1" x14ac:dyDescent="0.25">
      <c r="A267" s="26">
        <v>243</v>
      </c>
      <c r="B267" s="30" t="s">
        <v>46</v>
      </c>
      <c r="C267" s="61" t="s">
        <v>5493</v>
      </c>
      <c r="D267" s="51" t="s">
        <v>5009</v>
      </c>
      <c r="E267" s="52" t="s">
        <v>6003</v>
      </c>
      <c r="F267" s="51" t="s">
        <v>692</v>
      </c>
      <c r="G267" s="52" t="s">
        <v>692</v>
      </c>
      <c r="H267" s="73" t="s">
        <v>966</v>
      </c>
      <c r="I267" s="50" t="s">
        <v>1056</v>
      </c>
      <c r="J267" s="73" t="s">
        <v>1112</v>
      </c>
      <c r="K267" s="50" t="str">
        <f t="shared" si="4"/>
        <v>"ACE"</v>
      </c>
      <c r="L267" s="73" t="s">
        <v>895</v>
      </c>
      <c r="M267" s="50" t="s">
        <v>5356</v>
      </c>
      <c r="N267" s="73" t="s">
        <v>3656</v>
      </c>
      <c r="O267" s="50" t="s">
        <v>3683</v>
      </c>
      <c r="P267" s="73" t="s">
        <v>3655</v>
      </c>
      <c r="Q267" s="50" t="s">
        <v>3684</v>
      </c>
      <c r="R267" s="73" t="s">
        <v>4906</v>
      </c>
      <c r="S267" s="50" t="s">
        <v>5391</v>
      </c>
      <c r="T267" s="73" t="s">
        <v>692</v>
      </c>
      <c r="U267" s="50" t="s">
        <v>692</v>
      </c>
      <c r="V267" s="73" t="s">
        <v>5392</v>
      </c>
      <c r="W267" s="50" t="s">
        <v>5356</v>
      </c>
    </row>
    <row r="268" spans="1:23" s="25" customFormat="1" ht="6.95" customHeight="1" x14ac:dyDescent="0.25">
      <c r="A268" s="26">
        <v>244</v>
      </c>
      <c r="B268" s="30" t="s">
        <v>826</v>
      </c>
      <c r="C268" s="61" t="s">
        <v>5493</v>
      </c>
      <c r="D268" s="51" t="s">
        <v>5009</v>
      </c>
      <c r="E268" s="52" t="s">
        <v>6003</v>
      </c>
      <c r="F268" s="51" t="s">
        <v>692</v>
      </c>
      <c r="G268" s="52" t="s">
        <v>692</v>
      </c>
      <c r="H268" s="73" t="s">
        <v>966</v>
      </c>
      <c r="I268" s="50" t="s">
        <v>1056</v>
      </c>
      <c r="J268" s="73" t="s">
        <v>1112</v>
      </c>
      <c r="K268" s="50" t="str">
        <f t="shared" si="4"/>
        <v>"APC"</v>
      </c>
      <c r="L268" s="73" t="s">
        <v>895</v>
      </c>
      <c r="M268" s="50" t="s">
        <v>5298</v>
      </c>
      <c r="N268" s="73" t="s">
        <v>3656</v>
      </c>
      <c r="O268" s="50" t="s">
        <v>3683</v>
      </c>
      <c r="P268" s="73" t="s">
        <v>3655</v>
      </c>
      <c r="Q268" s="50" t="s">
        <v>3684</v>
      </c>
      <c r="R268" s="73" t="s">
        <v>4906</v>
      </c>
      <c r="S268" s="50" t="s">
        <v>5391</v>
      </c>
      <c r="T268" s="73" t="s">
        <v>692</v>
      </c>
      <c r="U268" s="50" t="s">
        <v>692</v>
      </c>
      <c r="V268" s="73" t="s">
        <v>5392</v>
      </c>
      <c r="W268" s="50" t="s">
        <v>5298</v>
      </c>
    </row>
    <row r="269" spans="1:23" s="25" customFormat="1" ht="6.95" customHeight="1" x14ac:dyDescent="0.25">
      <c r="A269" s="26">
        <v>245</v>
      </c>
      <c r="B269" s="30" t="s">
        <v>48</v>
      </c>
      <c r="C269" s="61" t="s">
        <v>5493</v>
      </c>
      <c r="D269" s="51" t="s">
        <v>5009</v>
      </c>
      <c r="E269" s="52" t="s">
        <v>6003</v>
      </c>
      <c r="F269" s="51" t="s">
        <v>692</v>
      </c>
      <c r="G269" s="52" t="s">
        <v>692</v>
      </c>
      <c r="H269" s="73" t="s">
        <v>966</v>
      </c>
      <c r="I269" s="50" t="s">
        <v>1056</v>
      </c>
      <c r="J269" s="73" t="s">
        <v>1112</v>
      </c>
      <c r="K269" s="50" t="str">
        <f t="shared" si="4"/>
        <v>"APP"</v>
      </c>
      <c r="L269" s="73" t="s">
        <v>895</v>
      </c>
      <c r="M269" s="50" t="s">
        <v>5299</v>
      </c>
      <c r="N269" s="73" t="s">
        <v>3656</v>
      </c>
      <c r="O269" s="50" t="s">
        <v>3683</v>
      </c>
      <c r="P269" s="73" t="s">
        <v>3655</v>
      </c>
      <c r="Q269" s="50" t="s">
        <v>3684</v>
      </c>
      <c r="R269" s="73" t="s">
        <v>4906</v>
      </c>
      <c r="S269" s="50" t="s">
        <v>5391</v>
      </c>
      <c r="T269" s="73" t="s">
        <v>692</v>
      </c>
      <c r="U269" s="50" t="s">
        <v>692</v>
      </c>
      <c r="V269" s="73" t="s">
        <v>5392</v>
      </c>
      <c r="W269" s="50" t="s">
        <v>5299</v>
      </c>
    </row>
    <row r="270" spans="1:23" s="25" customFormat="1" ht="6.95" customHeight="1" x14ac:dyDescent="0.25">
      <c r="A270" s="26">
        <v>246</v>
      </c>
      <c r="B270" s="30" t="s">
        <v>136</v>
      </c>
      <c r="C270" s="61" t="s">
        <v>5493</v>
      </c>
      <c r="D270" s="51" t="s">
        <v>5009</v>
      </c>
      <c r="E270" s="52" t="s">
        <v>6003</v>
      </c>
      <c r="F270" s="51" t="s">
        <v>692</v>
      </c>
      <c r="G270" s="52" t="s">
        <v>692</v>
      </c>
      <c r="H270" s="73" t="s">
        <v>966</v>
      </c>
      <c r="I270" s="50" t="s">
        <v>1056</v>
      </c>
      <c r="J270" s="73" t="s">
        <v>1112</v>
      </c>
      <c r="K270" s="50" t="str">
        <f t="shared" si="4"/>
        <v>"ACS"</v>
      </c>
      <c r="L270" s="73" t="s">
        <v>895</v>
      </c>
      <c r="M270" s="50" t="s">
        <v>5357</v>
      </c>
      <c r="N270" s="73" t="s">
        <v>3656</v>
      </c>
      <c r="O270" s="50" t="s">
        <v>3683</v>
      </c>
      <c r="P270" s="73" t="s">
        <v>3655</v>
      </c>
      <c r="Q270" s="50" t="s">
        <v>3684</v>
      </c>
      <c r="R270" s="73" t="s">
        <v>4906</v>
      </c>
      <c r="S270" s="50" t="s">
        <v>5391</v>
      </c>
      <c r="T270" s="73" t="s">
        <v>692</v>
      </c>
      <c r="U270" s="50" t="s">
        <v>692</v>
      </c>
      <c r="V270" s="73" t="s">
        <v>5392</v>
      </c>
      <c r="W270" s="50" t="s">
        <v>5357</v>
      </c>
    </row>
    <row r="271" spans="1:23" s="25" customFormat="1" ht="6.95" customHeight="1" x14ac:dyDescent="0.25">
      <c r="A271" s="26">
        <v>247</v>
      </c>
      <c r="B271" s="30" t="s">
        <v>613</v>
      </c>
      <c r="C271" s="61" t="s">
        <v>5493</v>
      </c>
      <c r="D271" s="51" t="s">
        <v>5009</v>
      </c>
      <c r="E271" s="52" t="s">
        <v>6003</v>
      </c>
      <c r="F271" s="51" t="s">
        <v>692</v>
      </c>
      <c r="G271" s="52" t="s">
        <v>692</v>
      </c>
      <c r="H271" s="73" t="s">
        <v>966</v>
      </c>
      <c r="I271" s="50" t="s">
        <v>1056</v>
      </c>
      <c r="J271" s="73" t="s">
        <v>1112</v>
      </c>
      <c r="K271" s="50" t="str">
        <f t="shared" si="4"/>
        <v>"ANT"</v>
      </c>
      <c r="L271" s="73" t="s">
        <v>895</v>
      </c>
      <c r="M271" s="50" t="s">
        <v>925</v>
      </c>
      <c r="N271" s="73" t="s">
        <v>3656</v>
      </c>
      <c r="O271" s="50" t="s">
        <v>3683</v>
      </c>
      <c r="P271" s="73" t="s">
        <v>3655</v>
      </c>
      <c r="Q271" s="50" t="s">
        <v>3684</v>
      </c>
      <c r="R271" s="73" t="s">
        <v>4906</v>
      </c>
      <c r="S271" s="50" t="s">
        <v>5391</v>
      </c>
      <c r="T271" s="73" t="s">
        <v>692</v>
      </c>
      <c r="U271" s="50" t="s">
        <v>692</v>
      </c>
      <c r="V271" s="73" t="s">
        <v>5392</v>
      </c>
      <c r="W271" s="50" t="s">
        <v>925</v>
      </c>
    </row>
    <row r="272" spans="1:23" s="25" customFormat="1" ht="6.95" customHeight="1" x14ac:dyDescent="0.25">
      <c r="A272" s="26">
        <v>248</v>
      </c>
      <c r="B272" s="30" t="s">
        <v>245</v>
      </c>
      <c r="C272" s="61" t="s">
        <v>5493</v>
      </c>
      <c r="D272" s="51" t="s">
        <v>5009</v>
      </c>
      <c r="E272" s="52" t="s">
        <v>6003</v>
      </c>
      <c r="F272" s="51" t="s">
        <v>692</v>
      </c>
      <c r="G272" s="52" t="s">
        <v>692</v>
      </c>
      <c r="H272" s="73" t="s">
        <v>966</v>
      </c>
      <c r="I272" s="50" t="s">
        <v>1056</v>
      </c>
      <c r="J272" s="73" t="s">
        <v>1112</v>
      </c>
      <c r="K272" s="50" t="str">
        <f t="shared" si="4"/>
        <v>"AUD"</v>
      </c>
      <c r="L272" s="73" t="s">
        <v>895</v>
      </c>
      <c r="M272" s="50" t="s">
        <v>926</v>
      </c>
      <c r="N272" s="73" t="s">
        <v>3656</v>
      </c>
      <c r="O272" s="50" t="s">
        <v>3683</v>
      </c>
      <c r="P272" s="73" t="s">
        <v>3655</v>
      </c>
      <c r="Q272" s="50" t="s">
        <v>3684</v>
      </c>
      <c r="R272" s="73" t="s">
        <v>4906</v>
      </c>
      <c r="S272" s="50" t="s">
        <v>5391</v>
      </c>
      <c r="T272" s="73" t="s">
        <v>692</v>
      </c>
      <c r="U272" s="50" t="s">
        <v>692</v>
      </c>
      <c r="V272" s="73" t="s">
        <v>5392</v>
      </c>
      <c r="W272" s="50" t="s">
        <v>926</v>
      </c>
    </row>
    <row r="273" spans="1:23" s="25" customFormat="1" ht="6.95" customHeight="1" x14ac:dyDescent="0.25">
      <c r="A273" s="26">
        <v>249</v>
      </c>
      <c r="B273" s="30" t="s">
        <v>732</v>
      </c>
      <c r="C273" s="61" t="s">
        <v>5493</v>
      </c>
      <c r="D273" s="51" t="s">
        <v>5009</v>
      </c>
      <c r="E273" s="52" t="s">
        <v>6003</v>
      </c>
      <c r="F273" s="51" t="s">
        <v>692</v>
      </c>
      <c r="G273" s="52" t="s">
        <v>692</v>
      </c>
      <c r="H273" s="73" t="s">
        <v>966</v>
      </c>
      <c r="I273" s="50" t="s">
        <v>1056</v>
      </c>
      <c r="J273" s="73" t="s">
        <v>1112</v>
      </c>
      <c r="K273" s="50" t="str">
        <f t="shared" si="4"/>
        <v>"BIB"</v>
      </c>
      <c r="L273" s="73" t="s">
        <v>895</v>
      </c>
      <c r="M273" s="50" t="s">
        <v>927</v>
      </c>
      <c r="N273" s="73" t="s">
        <v>3656</v>
      </c>
      <c r="O273" s="50" t="s">
        <v>3683</v>
      </c>
      <c r="P273" s="73" t="s">
        <v>3655</v>
      </c>
      <c r="Q273" s="50" t="s">
        <v>3684</v>
      </c>
      <c r="R273" s="73" t="s">
        <v>4906</v>
      </c>
      <c r="S273" s="50" t="s">
        <v>5391</v>
      </c>
      <c r="T273" s="73" t="s">
        <v>692</v>
      </c>
      <c r="U273" s="50" t="s">
        <v>692</v>
      </c>
      <c r="V273" s="73" t="s">
        <v>5392</v>
      </c>
      <c r="W273" s="50" t="s">
        <v>927</v>
      </c>
    </row>
    <row r="274" spans="1:23" s="25" customFormat="1" ht="6.95" customHeight="1" x14ac:dyDescent="0.25">
      <c r="A274" s="26">
        <v>250</v>
      </c>
      <c r="B274" s="30" t="s">
        <v>121</v>
      </c>
      <c r="C274" s="61" t="s">
        <v>5493</v>
      </c>
      <c r="D274" s="51" t="s">
        <v>5009</v>
      </c>
      <c r="E274" s="52" t="s">
        <v>6003</v>
      </c>
      <c r="F274" s="51" t="s">
        <v>692</v>
      </c>
      <c r="G274" s="52" t="s">
        <v>692</v>
      </c>
      <c r="H274" s="73" t="s">
        <v>966</v>
      </c>
      <c r="I274" s="50" t="s">
        <v>1056</v>
      </c>
      <c r="J274" s="73" t="s">
        <v>1112</v>
      </c>
      <c r="K274" s="50" t="str">
        <f t="shared" si="4"/>
        <v>"CAB"</v>
      </c>
      <c r="L274" s="73" t="s">
        <v>895</v>
      </c>
      <c r="M274" s="50" t="s">
        <v>928</v>
      </c>
      <c r="N274" s="73" t="s">
        <v>3656</v>
      </c>
      <c r="O274" s="50" t="s">
        <v>3683</v>
      </c>
      <c r="P274" s="73" t="s">
        <v>3655</v>
      </c>
      <c r="Q274" s="50" t="s">
        <v>3684</v>
      </c>
      <c r="R274" s="73" t="s">
        <v>4906</v>
      </c>
      <c r="S274" s="50" t="s">
        <v>5391</v>
      </c>
      <c r="T274" s="73" t="s">
        <v>692</v>
      </c>
      <c r="U274" s="50" t="s">
        <v>692</v>
      </c>
      <c r="V274" s="73" t="s">
        <v>5392</v>
      </c>
      <c r="W274" s="50" t="s">
        <v>928</v>
      </c>
    </row>
    <row r="275" spans="1:23" s="25" customFormat="1" ht="6.95" customHeight="1" x14ac:dyDescent="0.25">
      <c r="A275" s="26">
        <v>251</v>
      </c>
      <c r="B275" s="30" t="s">
        <v>572</v>
      </c>
      <c r="C275" s="61" t="s">
        <v>5493</v>
      </c>
      <c r="D275" s="51" t="s">
        <v>5009</v>
      </c>
      <c r="E275" s="52" t="s">
        <v>6003</v>
      </c>
      <c r="F275" s="51" t="s">
        <v>692</v>
      </c>
      <c r="G275" s="52" t="s">
        <v>692</v>
      </c>
      <c r="H275" s="73" t="s">
        <v>966</v>
      </c>
      <c r="I275" s="50" t="s">
        <v>1056</v>
      </c>
      <c r="J275" s="73" t="s">
        <v>1112</v>
      </c>
      <c r="K275" s="50" t="str">
        <f t="shared" si="4"/>
        <v>"CCI"</v>
      </c>
      <c r="L275" s="73" t="s">
        <v>895</v>
      </c>
      <c r="M275" s="50" t="s">
        <v>929</v>
      </c>
      <c r="N275" s="73" t="s">
        <v>3656</v>
      </c>
      <c r="O275" s="50" t="s">
        <v>3683</v>
      </c>
      <c r="P275" s="73" t="s">
        <v>3655</v>
      </c>
      <c r="Q275" s="50" t="s">
        <v>3684</v>
      </c>
      <c r="R275" s="73" t="s">
        <v>4906</v>
      </c>
      <c r="S275" s="50" t="s">
        <v>5391</v>
      </c>
      <c r="T275" s="73" t="s">
        <v>692</v>
      </c>
      <c r="U275" s="50" t="s">
        <v>692</v>
      </c>
      <c r="V275" s="73" t="s">
        <v>5392</v>
      </c>
      <c r="W275" s="50" t="s">
        <v>929</v>
      </c>
    </row>
    <row r="276" spans="1:23" s="25" customFormat="1" ht="6.95" customHeight="1" x14ac:dyDescent="0.25">
      <c r="A276" s="26">
        <v>252</v>
      </c>
      <c r="B276" s="30" t="s">
        <v>34</v>
      </c>
      <c r="C276" s="61" t="s">
        <v>5493</v>
      </c>
      <c r="D276" s="51" t="s">
        <v>5009</v>
      </c>
      <c r="E276" s="52" t="s">
        <v>6003</v>
      </c>
      <c r="F276" s="51" t="s">
        <v>692</v>
      </c>
      <c r="G276" s="52" t="s">
        <v>692</v>
      </c>
      <c r="H276" s="73" t="s">
        <v>966</v>
      </c>
      <c r="I276" s="50" t="s">
        <v>1056</v>
      </c>
      <c r="J276" s="73" t="s">
        <v>1112</v>
      </c>
      <c r="K276" s="50" t="str">
        <f t="shared" si="4"/>
        <v>"COP"</v>
      </c>
      <c r="L276" s="73" t="s">
        <v>895</v>
      </c>
      <c r="M276" s="50" t="s">
        <v>930</v>
      </c>
      <c r="N276" s="73" t="s">
        <v>3656</v>
      </c>
      <c r="O276" s="50" t="s">
        <v>3683</v>
      </c>
      <c r="P276" s="73" t="s">
        <v>3655</v>
      </c>
      <c r="Q276" s="50" t="s">
        <v>3684</v>
      </c>
      <c r="R276" s="73" t="s">
        <v>4906</v>
      </c>
      <c r="S276" s="50" t="s">
        <v>5391</v>
      </c>
      <c r="T276" s="73" t="s">
        <v>692</v>
      </c>
      <c r="U276" s="50" t="s">
        <v>692</v>
      </c>
      <c r="V276" s="73" t="s">
        <v>5392</v>
      </c>
      <c r="W276" s="50" t="s">
        <v>930</v>
      </c>
    </row>
    <row r="277" spans="1:23" s="25" customFormat="1" ht="6.95" customHeight="1" x14ac:dyDescent="0.25">
      <c r="A277" s="26">
        <v>253</v>
      </c>
      <c r="B277" s="30" t="s">
        <v>33</v>
      </c>
      <c r="C277" s="61" t="s">
        <v>5493</v>
      </c>
      <c r="D277" s="51" t="s">
        <v>5009</v>
      </c>
      <c r="E277" s="52" t="s">
        <v>6003</v>
      </c>
      <c r="F277" s="51" t="s">
        <v>692</v>
      </c>
      <c r="G277" s="52" t="s">
        <v>692</v>
      </c>
      <c r="H277" s="73" t="s">
        <v>966</v>
      </c>
      <c r="I277" s="50" t="s">
        <v>1056</v>
      </c>
      <c r="J277" s="73" t="s">
        <v>1112</v>
      </c>
      <c r="K277" s="50" t="str">
        <f t="shared" si="4"/>
        <v>"COZ"</v>
      </c>
      <c r="L277" s="73" t="s">
        <v>895</v>
      </c>
      <c r="M277" s="50" t="s">
        <v>931</v>
      </c>
      <c r="N277" s="73" t="s">
        <v>3656</v>
      </c>
      <c r="O277" s="50" t="s">
        <v>3683</v>
      </c>
      <c r="P277" s="73" t="s">
        <v>3655</v>
      </c>
      <c r="Q277" s="50" t="s">
        <v>3684</v>
      </c>
      <c r="R277" s="73" t="s">
        <v>4906</v>
      </c>
      <c r="S277" s="50" t="s">
        <v>5391</v>
      </c>
      <c r="T277" s="73" t="s">
        <v>692</v>
      </c>
      <c r="U277" s="50" t="s">
        <v>692</v>
      </c>
      <c r="V277" s="73" t="s">
        <v>5392</v>
      </c>
      <c r="W277" s="50" t="s">
        <v>931</v>
      </c>
    </row>
    <row r="278" spans="1:23" s="25" customFormat="1" ht="6.95" customHeight="1" x14ac:dyDescent="0.25">
      <c r="A278" s="26">
        <v>254</v>
      </c>
      <c r="B278" s="30" t="s">
        <v>50</v>
      </c>
      <c r="C278" s="61" t="s">
        <v>5493</v>
      </c>
      <c r="D278" s="51" t="s">
        <v>5009</v>
      </c>
      <c r="E278" s="52" t="s">
        <v>6003</v>
      </c>
      <c r="F278" s="51" t="s">
        <v>692</v>
      </c>
      <c r="G278" s="52" t="s">
        <v>692</v>
      </c>
      <c r="H278" s="73" t="s">
        <v>966</v>
      </c>
      <c r="I278" s="50" t="s">
        <v>1056</v>
      </c>
      <c r="J278" s="73" t="s">
        <v>1112</v>
      </c>
      <c r="K278" s="50" t="str">
        <f t="shared" si="4"/>
        <v>"GAB"</v>
      </c>
      <c r="L278" s="73" t="s">
        <v>895</v>
      </c>
      <c r="M278" s="50" t="s">
        <v>932</v>
      </c>
      <c r="N278" s="73" t="s">
        <v>3656</v>
      </c>
      <c r="O278" s="50" t="s">
        <v>3683</v>
      </c>
      <c r="P278" s="73" t="s">
        <v>3655</v>
      </c>
      <c r="Q278" s="50" t="s">
        <v>3684</v>
      </c>
      <c r="R278" s="73" t="s">
        <v>4906</v>
      </c>
      <c r="S278" s="50" t="s">
        <v>5391</v>
      </c>
      <c r="T278" s="73" t="s">
        <v>692</v>
      </c>
      <c r="U278" s="50" t="s">
        <v>692</v>
      </c>
      <c r="V278" s="73" t="s">
        <v>5392</v>
      </c>
      <c r="W278" s="50" t="s">
        <v>932</v>
      </c>
    </row>
    <row r="279" spans="1:23" s="25" customFormat="1" ht="6.95" customHeight="1" x14ac:dyDescent="0.25">
      <c r="A279" s="26">
        <v>255</v>
      </c>
      <c r="B279" s="30" t="s">
        <v>122</v>
      </c>
      <c r="C279" s="61" t="s">
        <v>5493</v>
      </c>
      <c r="D279" s="51" t="s">
        <v>5009</v>
      </c>
      <c r="E279" s="52" t="s">
        <v>6003</v>
      </c>
      <c r="F279" s="51" t="s">
        <v>692</v>
      </c>
      <c r="G279" s="52" t="s">
        <v>692</v>
      </c>
      <c r="H279" s="73" t="s">
        <v>966</v>
      </c>
      <c r="I279" s="50" t="s">
        <v>1056</v>
      </c>
      <c r="J279" s="73" t="s">
        <v>1112</v>
      </c>
      <c r="K279" s="50" t="str">
        <f t="shared" si="4"/>
        <v>"GUA"</v>
      </c>
      <c r="L279" s="73" t="s">
        <v>895</v>
      </c>
      <c r="M279" s="50" t="s">
        <v>933</v>
      </c>
      <c r="N279" s="73" t="s">
        <v>3656</v>
      </c>
      <c r="O279" s="50" t="s">
        <v>3683</v>
      </c>
      <c r="P279" s="73" t="s">
        <v>3655</v>
      </c>
      <c r="Q279" s="50" t="s">
        <v>3684</v>
      </c>
      <c r="R279" s="73" t="s">
        <v>4906</v>
      </c>
      <c r="S279" s="50" t="s">
        <v>5391</v>
      </c>
      <c r="T279" s="73" t="s">
        <v>692</v>
      </c>
      <c r="U279" s="50" t="s">
        <v>692</v>
      </c>
      <c r="V279" s="73" t="s">
        <v>5392</v>
      </c>
      <c r="W279" s="50" t="s">
        <v>933</v>
      </c>
    </row>
    <row r="280" spans="1:23" s="25" customFormat="1" ht="6.95" customHeight="1" x14ac:dyDescent="0.25">
      <c r="A280" s="26">
        <v>256</v>
      </c>
      <c r="B280" s="30" t="s">
        <v>370</v>
      </c>
      <c r="C280" s="61" t="s">
        <v>5493</v>
      </c>
      <c r="D280" s="51" t="s">
        <v>5009</v>
      </c>
      <c r="E280" s="52" t="s">
        <v>6003</v>
      </c>
      <c r="F280" s="51" t="s">
        <v>692</v>
      </c>
      <c r="G280" s="52" t="s">
        <v>692</v>
      </c>
      <c r="H280" s="73" t="s">
        <v>966</v>
      </c>
      <c r="I280" s="50" t="s">
        <v>1056</v>
      </c>
      <c r="J280" s="73" t="s">
        <v>1112</v>
      </c>
      <c r="K280" s="50" t="str">
        <f t="shared" si="4"/>
        <v>"JAR"</v>
      </c>
      <c r="L280" s="73" t="s">
        <v>895</v>
      </c>
      <c r="M280" s="50" t="s">
        <v>934</v>
      </c>
      <c r="N280" s="73" t="s">
        <v>3656</v>
      </c>
      <c r="O280" s="50" t="s">
        <v>3683</v>
      </c>
      <c r="P280" s="73" t="s">
        <v>3655</v>
      </c>
      <c r="Q280" s="50" t="s">
        <v>3684</v>
      </c>
      <c r="R280" s="73" t="s">
        <v>4906</v>
      </c>
      <c r="S280" s="50" t="s">
        <v>5391</v>
      </c>
      <c r="T280" s="73" t="s">
        <v>692</v>
      </c>
      <c r="U280" s="50" t="s">
        <v>692</v>
      </c>
      <c r="V280" s="73" t="s">
        <v>5392</v>
      </c>
      <c r="W280" s="50" t="s">
        <v>934</v>
      </c>
    </row>
    <row r="281" spans="1:23" s="25" customFormat="1" ht="6.95" customHeight="1" x14ac:dyDescent="0.25">
      <c r="A281" s="26">
        <v>257</v>
      </c>
      <c r="B281" s="30" t="s">
        <v>35</v>
      </c>
      <c r="C281" s="61" t="s">
        <v>5493</v>
      </c>
      <c r="D281" s="51" t="s">
        <v>5009</v>
      </c>
      <c r="E281" s="52" t="s">
        <v>6003</v>
      </c>
      <c r="F281" s="51" t="s">
        <v>692</v>
      </c>
      <c r="G281" s="52" t="s">
        <v>692</v>
      </c>
      <c r="H281" s="73" t="s">
        <v>966</v>
      </c>
      <c r="I281" s="50" t="s">
        <v>1056</v>
      </c>
      <c r="J281" s="73" t="s">
        <v>1112</v>
      </c>
      <c r="K281" s="50" t="str">
        <f t="shared" si="4"/>
        <v>"LAB"</v>
      </c>
      <c r="L281" s="73" t="s">
        <v>895</v>
      </c>
      <c r="M281" s="50" t="s">
        <v>935</v>
      </c>
      <c r="N281" s="73" t="s">
        <v>3656</v>
      </c>
      <c r="O281" s="50" t="s">
        <v>3683</v>
      </c>
      <c r="P281" s="73" t="s">
        <v>3655</v>
      </c>
      <c r="Q281" s="50" t="s">
        <v>3684</v>
      </c>
      <c r="R281" s="73" t="s">
        <v>4906</v>
      </c>
      <c r="S281" s="50" t="s">
        <v>5391</v>
      </c>
      <c r="T281" s="73" t="s">
        <v>692</v>
      </c>
      <c r="U281" s="50" t="s">
        <v>692</v>
      </c>
      <c r="V281" s="73" t="s">
        <v>5392</v>
      </c>
      <c r="W281" s="50" t="s">
        <v>935</v>
      </c>
    </row>
    <row r="282" spans="1:23" s="25" customFormat="1" ht="6.95" customHeight="1" x14ac:dyDescent="0.25">
      <c r="A282" s="26">
        <v>258</v>
      </c>
      <c r="B282" s="30" t="s">
        <v>699</v>
      </c>
      <c r="C282" s="61" t="s">
        <v>5493</v>
      </c>
      <c r="D282" s="51" t="s">
        <v>5009</v>
      </c>
      <c r="E282" s="52" t="s">
        <v>6003</v>
      </c>
      <c r="F282" s="51" t="s">
        <v>692</v>
      </c>
      <c r="G282" s="52" t="s">
        <v>692</v>
      </c>
      <c r="H282" s="73" t="s">
        <v>966</v>
      </c>
      <c r="I282" s="50" t="s">
        <v>1056</v>
      </c>
      <c r="J282" s="73" t="s">
        <v>1112</v>
      </c>
      <c r="K282" s="50" t="str">
        <f t="shared" si="4"/>
        <v>"LIG"</v>
      </c>
      <c r="L282" s="73" t="s">
        <v>895</v>
      </c>
      <c r="M282" s="50" t="s">
        <v>936</v>
      </c>
      <c r="N282" s="73" t="s">
        <v>3656</v>
      </c>
      <c r="O282" s="50" t="s">
        <v>3683</v>
      </c>
      <c r="P282" s="73" t="s">
        <v>3655</v>
      </c>
      <c r="Q282" s="50" t="s">
        <v>3684</v>
      </c>
      <c r="R282" s="73" t="s">
        <v>4906</v>
      </c>
      <c r="S282" s="50" t="s">
        <v>5391</v>
      </c>
      <c r="T282" s="73" t="s">
        <v>692</v>
      </c>
      <c r="U282" s="50" t="s">
        <v>692</v>
      </c>
      <c r="V282" s="73" t="s">
        <v>5392</v>
      </c>
      <c r="W282" s="50" t="s">
        <v>936</v>
      </c>
    </row>
    <row r="283" spans="1:23" s="25" customFormat="1" ht="6.95" customHeight="1" x14ac:dyDescent="0.25">
      <c r="A283" s="26">
        <v>259</v>
      </c>
      <c r="B283" s="30" t="s">
        <v>253</v>
      </c>
      <c r="C283" s="61" t="s">
        <v>5493</v>
      </c>
      <c r="D283" s="51" t="s">
        <v>5009</v>
      </c>
      <c r="E283" s="52" t="s">
        <v>6003</v>
      </c>
      <c r="F283" s="51" t="s">
        <v>692</v>
      </c>
      <c r="G283" s="52" t="s">
        <v>692</v>
      </c>
      <c r="H283" s="73" t="s">
        <v>966</v>
      </c>
      <c r="I283" s="50" t="s">
        <v>1056</v>
      </c>
      <c r="J283" s="73" t="s">
        <v>1112</v>
      </c>
      <c r="K283" s="50" t="str">
        <f t="shared" si="4"/>
        <v>"NUC"</v>
      </c>
      <c r="L283" s="73" t="s">
        <v>895</v>
      </c>
      <c r="M283" s="50" t="s">
        <v>5300</v>
      </c>
      <c r="N283" s="73" t="s">
        <v>3656</v>
      </c>
      <c r="O283" s="50" t="s">
        <v>3683</v>
      </c>
      <c r="P283" s="73" t="s">
        <v>3655</v>
      </c>
      <c r="Q283" s="50" t="s">
        <v>3684</v>
      </c>
      <c r="R283" s="73" t="s">
        <v>4906</v>
      </c>
      <c r="S283" s="50" t="s">
        <v>5391</v>
      </c>
      <c r="T283" s="73" t="s">
        <v>692</v>
      </c>
      <c r="U283" s="50" t="s">
        <v>692</v>
      </c>
      <c r="V283" s="73" t="s">
        <v>5392</v>
      </c>
      <c r="W283" s="50" t="s">
        <v>5300</v>
      </c>
    </row>
    <row r="284" spans="1:23" s="25" customFormat="1" ht="6.95" customHeight="1" x14ac:dyDescent="0.25">
      <c r="A284" s="26">
        <v>260</v>
      </c>
      <c r="B284" s="30" t="s">
        <v>565</v>
      </c>
      <c r="C284" s="61" t="s">
        <v>5493</v>
      </c>
      <c r="D284" s="51" t="s">
        <v>5009</v>
      </c>
      <c r="E284" s="52" t="s">
        <v>6003</v>
      </c>
      <c r="F284" s="51" t="s">
        <v>692</v>
      </c>
      <c r="G284" s="52" t="s">
        <v>692</v>
      </c>
      <c r="H284" s="73" t="s">
        <v>966</v>
      </c>
      <c r="I284" s="50" t="s">
        <v>1056</v>
      </c>
      <c r="J284" s="73" t="s">
        <v>1112</v>
      </c>
      <c r="K284" s="50" t="str">
        <f t="shared" si="4"/>
        <v>"POV"</v>
      </c>
      <c r="L284" s="73" t="s">
        <v>895</v>
      </c>
      <c r="M284" s="50" t="s">
        <v>5301</v>
      </c>
      <c r="N284" s="73" t="s">
        <v>3656</v>
      </c>
      <c r="O284" s="50" t="s">
        <v>3683</v>
      </c>
      <c r="P284" s="73" t="s">
        <v>3655</v>
      </c>
      <c r="Q284" s="50" t="s">
        <v>3684</v>
      </c>
      <c r="R284" s="73" t="s">
        <v>4906</v>
      </c>
      <c r="S284" s="50" t="s">
        <v>5391</v>
      </c>
      <c r="T284" s="73" t="s">
        <v>692</v>
      </c>
      <c r="U284" s="50" t="s">
        <v>692</v>
      </c>
      <c r="V284" s="73" t="s">
        <v>5392</v>
      </c>
      <c r="W284" s="50" t="s">
        <v>5301</v>
      </c>
    </row>
    <row r="285" spans="1:23" s="25" customFormat="1" ht="6.95" customHeight="1" x14ac:dyDescent="0.25">
      <c r="A285" s="26">
        <v>261</v>
      </c>
      <c r="B285" s="30" t="s">
        <v>802</v>
      </c>
      <c r="C285" s="61" t="s">
        <v>5493</v>
      </c>
      <c r="D285" s="51" t="s">
        <v>5009</v>
      </c>
      <c r="E285" s="52" t="s">
        <v>6003</v>
      </c>
      <c r="F285" s="51" t="s">
        <v>692</v>
      </c>
      <c r="G285" s="52" t="s">
        <v>692</v>
      </c>
      <c r="H285" s="73" t="s">
        <v>966</v>
      </c>
      <c r="I285" s="50" t="s">
        <v>1056</v>
      </c>
      <c r="J285" s="73" t="s">
        <v>1112</v>
      </c>
      <c r="K285" s="50" t="str">
        <f t="shared" si="4"/>
        <v>"RES"</v>
      </c>
      <c r="L285" s="73" t="s">
        <v>895</v>
      </c>
      <c r="M285" s="50" t="s">
        <v>937</v>
      </c>
      <c r="N285" s="73" t="s">
        <v>3656</v>
      </c>
      <c r="O285" s="50" t="s">
        <v>3683</v>
      </c>
      <c r="P285" s="73" t="s">
        <v>3655</v>
      </c>
      <c r="Q285" s="50" t="s">
        <v>3684</v>
      </c>
      <c r="R285" s="73" t="s">
        <v>4906</v>
      </c>
      <c r="S285" s="50" t="s">
        <v>5391</v>
      </c>
      <c r="T285" s="73" t="s">
        <v>692</v>
      </c>
      <c r="U285" s="50" t="s">
        <v>692</v>
      </c>
      <c r="V285" s="73" t="s">
        <v>5392</v>
      </c>
      <c r="W285" s="50" t="s">
        <v>937</v>
      </c>
    </row>
    <row r="286" spans="1:23" s="25" customFormat="1" ht="6.95" customHeight="1" x14ac:dyDescent="0.25">
      <c r="A286" s="26">
        <v>262</v>
      </c>
      <c r="B286" s="30" t="s">
        <v>752</v>
      </c>
      <c r="C286" s="61" t="s">
        <v>5493</v>
      </c>
      <c r="D286" s="51" t="s">
        <v>5009</v>
      </c>
      <c r="E286" s="52" t="s">
        <v>6003</v>
      </c>
      <c r="F286" s="51" t="s">
        <v>692</v>
      </c>
      <c r="G286" s="52" t="s">
        <v>692</v>
      </c>
      <c r="H286" s="73" t="s">
        <v>966</v>
      </c>
      <c r="I286" s="50" t="s">
        <v>1056</v>
      </c>
      <c r="J286" s="73" t="s">
        <v>1112</v>
      </c>
      <c r="K286" s="50" t="str">
        <f t="shared" si="4"/>
        <v>"SEN"</v>
      </c>
      <c r="L286" s="73" t="s">
        <v>895</v>
      </c>
      <c r="M286" s="50" t="s">
        <v>5358</v>
      </c>
      <c r="N286" s="73" t="s">
        <v>3656</v>
      </c>
      <c r="O286" s="50" t="s">
        <v>3683</v>
      </c>
      <c r="P286" s="73" t="s">
        <v>3655</v>
      </c>
      <c r="Q286" s="50" t="s">
        <v>3684</v>
      </c>
      <c r="R286" s="73" t="s">
        <v>4906</v>
      </c>
      <c r="S286" s="50" t="s">
        <v>5391</v>
      </c>
      <c r="T286" s="73" t="s">
        <v>692</v>
      </c>
      <c r="U286" s="50" t="s">
        <v>692</v>
      </c>
      <c r="V286" s="73" t="s">
        <v>5392</v>
      </c>
      <c r="W286" s="50" t="s">
        <v>5358</v>
      </c>
    </row>
    <row r="287" spans="1:23" s="25" customFormat="1" ht="6.95" customHeight="1" x14ac:dyDescent="0.25">
      <c r="A287" s="26">
        <v>263</v>
      </c>
      <c r="B287" s="30" t="s">
        <v>754</v>
      </c>
      <c r="C287" s="61" t="s">
        <v>5493</v>
      </c>
      <c r="D287" s="51" t="s">
        <v>5009</v>
      </c>
      <c r="E287" s="52" t="s">
        <v>6003</v>
      </c>
      <c r="F287" s="51" t="s">
        <v>692</v>
      </c>
      <c r="G287" s="52" t="s">
        <v>692</v>
      </c>
      <c r="H287" s="73" t="s">
        <v>966</v>
      </c>
      <c r="I287" s="50" t="s">
        <v>1056</v>
      </c>
      <c r="J287" s="73" t="s">
        <v>1112</v>
      </c>
      <c r="K287" s="50" t="str">
        <f t="shared" si="4"/>
        <v>"SER"</v>
      </c>
      <c r="L287" s="73" t="s">
        <v>895</v>
      </c>
      <c r="M287" s="50" t="s">
        <v>5359</v>
      </c>
      <c r="N287" s="73" t="s">
        <v>3656</v>
      </c>
      <c r="O287" s="50" t="s">
        <v>3683</v>
      </c>
      <c r="P287" s="73" t="s">
        <v>3655</v>
      </c>
      <c r="Q287" s="50" t="s">
        <v>3684</v>
      </c>
      <c r="R287" s="73" t="s">
        <v>4906</v>
      </c>
      <c r="S287" s="50" t="s">
        <v>5391</v>
      </c>
      <c r="T287" s="73" t="s">
        <v>692</v>
      </c>
      <c r="U287" s="50" t="s">
        <v>692</v>
      </c>
      <c r="V287" s="73" t="s">
        <v>5392</v>
      </c>
      <c r="W287" s="50" t="s">
        <v>5359</v>
      </c>
    </row>
    <row r="288" spans="1:23" s="25" customFormat="1" ht="6.95" customHeight="1" x14ac:dyDescent="0.25">
      <c r="A288" s="26">
        <v>264</v>
      </c>
      <c r="B288" s="30" t="s">
        <v>751</v>
      </c>
      <c r="C288" s="61" t="s">
        <v>5493</v>
      </c>
      <c r="D288" s="51" t="s">
        <v>5009</v>
      </c>
      <c r="E288" s="52" t="s">
        <v>6003</v>
      </c>
      <c r="F288" s="51" t="s">
        <v>692</v>
      </c>
      <c r="G288" s="52" t="s">
        <v>692</v>
      </c>
      <c r="H288" s="73" t="s">
        <v>966</v>
      </c>
      <c r="I288" s="50" t="s">
        <v>1056</v>
      </c>
      <c r="J288" s="73" t="s">
        <v>1112</v>
      </c>
      <c r="K288" s="50" t="str">
        <f t="shared" si="4"/>
        <v>"SES"</v>
      </c>
      <c r="L288" s="73" t="s">
        <v>895</v>
      </c>
      <c r="M288" s="50" t="s">
        <v>5360</v>
      </c>
      <c r="N288" s="73" t="s">
        <v>3656</v>
      </c>
      <c r="O288" s="50" t="s">
        <v>3683</v>
      </c>
      <c r="P288" s="73" t="s">
        <v>3655</v>
      </c>
      <c r="Q288" s="50" t="s">
        <v>3684</v>
      </c>
      <c r="R288" s="73" t="s">
        <v>4906</v>
      </c>
      <c r="S288" s="50" t="s">
        <v>5391</v>
      </c>
      <c r="T288" s="73" t="s">
        <v>692</v>
      </c>
      <c r="U288" s="50" t="s">
        <v>692</v>
      </c>
      <c r="V288" s="73" t="s">
        <v>5392</v>
      </c>
      <c r="W288" s="50" t="s">
        <v>5360</v>
      </c>
    </row>
    <row r="289" spans="1:23" s="25" customFormat="1" ht="6.95" customHeight="1" x14ac:dyDescent="0.25">
      <c r="A289" s="26">
        <v>265</v>
      </c>
      <c r="B289" s="30" t="s">
        <v>44</v>
      </c>
      <c r="C289" s="61" t="s">
        <v>5493</v>
      </c>
      <c r="D289" s="51" t="s">
        <v>5009</v>
      </c>
      <c r="E289" s="52" t="s">
        <v>6003</v>
      </c>
      <c r="F289" s="51" t="s">
        <v>692</v>
      </c>
      <c r="G289" s="52" t="s">
        <v>692</v>
      </c>
      <c r="H289" s="73" t="s">
        <v>966</v>
      </c>
      <c r="I289" s="50" t="s">
        <v>1056</v>
      </c>
      <c r="J289" s="73" t="s">
        <v>1112</v>
      </c>
      <c r="K289" s="50" t="str">
        <f t="shared" si="4"/>
        <v>"SHA"</v>
      </c>
      <c r="L289" s="73" t="s">
        <v>895</v>
      </c>
      <c r="M289" s="50" t="s">
        <v>938</v>
      </c>
      <c r="N289" s="73" t="s">
        <v>3656</v>
      </c>
      <c r="O289" s="50" t="s">
        <v>3691</v>
      </c>
      <c r="P289" s="73" t="s">
        <v>3655</v>
      </c>
      <c r="Q289" s="50" t="s">
        <v>3692</v>
      </c>
      <c r="R289" s="73" t="s">
        <v>4906</v>
      </c>
      <c r="S289" s="50" t="s">
        <v>5391</v>
      </c>
      <c r="T289" s="73" t="s">
        <v>692</v>
      </c>
      <c r="U289" s="50" t="s">
        <v>692</v>
      </c>
      <c r="V289" s="73" t="s">
        <v>5392</v>
      </c>
      <c r="W289" s="50" t="s">
        <v>938</v>
      </c>
    </row>
    <row r="290" spans="1:23" s="25" customFormat="1" ht="6.95" customHeight="1" x14ac:dyDescent="0.25">
      <c r="A290" s="26">
        <v>266</v>
      </c>
      <c r="B290" s="30" t="s">
        <v>697</v>
      </c>
      <c r="C290" s="61" t="s">
        <v>5493</v>
      </c>
      <c r="D290" s="51" t="s">
        <v>5009</v>
      </c>
      <c r="E290" s="52" t="s">
        <v>6003</v>
      </c>
      <c r="F290" s="51" t="s">
        <v>692</v>
      </c>
      <c r="G290" s="52" t="s">
        <v>692</v>
      </c>
      <c r="H290" s="73" t="s">
        <v>966</v>
      </c>
      <c r="I290" s="50" t="s">
        <v>1056</v>
      </c>
      <c r="J290" s="73" t="s">
        <v>1112</v>
      </c>
      <c r="K290" s="50" t="str">
        <f t="shared" si="4"/>
        <v>"SLA"</v>
      </c>
      <c r="L290" s="73" t="s">
        <v>895</v>
      </c>
      <c r="M290" s="50" t="s">
        <v>5361</v>
      </c>
      <c r="N290" s="73" t="s">
        <v>3656</v>
      </c>
      <c r="O290" s="50" t="s">
        <v>3683</v>
      </c>
      <c r="P290" s="73" t="s">
        <v>3655</v>
      </c>
      <c r="Q290" s="50" t="s">
        <v>3684</v>
      </c>
      <c r="R290" s="73" t="s">
        <v>4906</v>
      </c>
      <c r="S290" s="50" t="s">
        <v>5391</v>
      </c>
      <c r="T290" s="73" t="s">
        <v>692</v>
      </c>
      <c r="U290" s="50" t="s">
        <v>692</v>
      </c>
      <c r="V290" s="73" t="s">
        <v>5392</v>
      </c>
      <c r="W290" s="50" t="s">
        <v>5361</v>
      </c>
    </row>
    <row r="291" spans="1:23" s="25" customFormat="1" ht="6.95" customHeight="1" x14ac:dyDescent="0.25">
      <c r="A291" s="26">
        <v>267</v>
      </c>
      <c r="B291" s="30" t="s">
        <v>753</v>
      </c>
      <c r="C291" s="61" t="s">
        <v>5493</v>
      </c>
      <c r="D291" s="51" t="s">
        <v>5009</v>
      </c>
      <c r="E291" s="52" t="s">
        <v>6003</v>
      </c>
      <c r="F291" s="51" t="s">
        <v>692</v>
      </c>
      <c r="G291" s="52" t="s">
        <v>692</v>
      </c>
      <c r="H291" s="73" t="s">
        <v>966</v>
      </c>
      <c r="I291" s="50" t="s">
        <v>1056</v>
      </c>
      <c r="J291" s="73" t="s">
        <v>1112</v>
      </c>
      <c r="K291" s="50" t="str">
        <f t="shared" si="4"/>
        <v>"SPE"</v>
      </c>
      <c r="L291" s="73" t="s">
        <v>895</v>
      </c>
      <c r="M291" s="50" t="s">
        <v>5362</v>
      </c>
      <c r="N291" s="73" t="s">
        <v>3656</v>
      </c>
      <c r="O291" s="50" t="s">
        <v>3683</v>
      </c>
      <c r="P291" s="73" t="s">
        <v>3655</v>
      </c>
      <c r="Q291" s="50" t="s">
        <v>3684</v>
      </c>
      <c r="R291" s="73" t="s">
        <v>4906</v>
      </c>
      <c r="S291" s="50" t="s">
        <v>5391</v>
      </c>
      <c r="T291" s="73" t="s">
        <v>692</v>
      </c>
      <c r="U291" s="50" t="s">
        <v>692</v>
      </c>
      <c r="V291" s="73" t="s">
        <v>5392</v>
      </c>
      <c r="W291" s="50" t="s">
        <v>5362</v>
      </c>
    </row>
    <row r="292" spans="1:23" s="25" customFormat="1" ht="6.95" customHeight="1" x14ac:dyDescent="0.25">
      <c r="A292" s="26">
        <v>268</v>
      </c>
      <c r="B292" s="30" t="s">
        <v>568</v>
      </c>
      <c r="C292" s="61" t="s">
        <v>5493</v>
      </c>
      <c r="D292" s="51" t="s">
        <v>5009</v>
      </c>
      <c r="E292" s="52" t="s">
        <v>6003</v>
      </c>
      <c r="F292" s="51" t="s">
        <v>692</v>
      </c>
      <c r="G292" s="52" t="s">
        <v>692</v>
      </c>
      <c r="H292" s="73" t="s">
        <v>966</v>
      </c>
      <c r="I292" s="50" t="s">
        <v>1056</v>
      </c>
      <c r="J292" s="73" t="s">
        <v>1112</v>
      </c>
      <c r="K292" s="50" t="str">
        <f t="shared" si="4"/>
        <v>"STR"</v>
      </c>
      <c r="L292" s="73" t="s">
        <v>895</v>
      </c>
      <c r="M292" s="50" t="s">
        <v>5363</v>
      </c>
      <c r="N292" s="73" t="s">
        <v>3656</v>
      </c>
      <c r="O292" s="50" t="s">
        <v>3683</v>
      </c>
      <c r="P292" s="73" t="s">
        <v>3655</v>
      </c>
      <c r="Q292" s="50" t="s">
        <v>3684</v>
      </c>
      <c r="R292" s="73" t="s">
        <v>4906</v>
      </c>
      <c r="S292" s="50" t="s">
        <v>5391</v>
      </c>
      <c r="T292" s="73" t="s">
        <v>692</v>
      </c>
      <c r="U292" s="50" t="s">
        <v>692</v>
      </c>
      <c r="V292" s="73" t="s">
        <v>5392</v>
      </c>
      <c r="W292" s="50" t="s">
        <v>5363</v>
      </c>
    </row>
    <row r="293" spans="1:23" s="25" customFormat="1" ht="6.95" customHeight="1" x14ac:dyDescent="0.25">
      <c r="A293" s="26">
        <v>269</v>
      </c>
      <c r="B293" s="30" t="s">
        <v>755</v>
      </c>
      <c r="C293" s="61" t="s">
        <v>5493</v>
      </c>
      <c r="D293" s="51" t="s">
        <v>5009</v>
      </c>
      <c r="E293" s="52" t="s">
        <v>6003</v>
      </c>
      <c r="F293" s="51" t="s">
        <v>692</v>
      </c>
      <c r="G293" s="52" t="s">
        <v>692</v>
      </c>
      <c r="H293" s="73" t="s">
        <v>966</v>
      </c>
      <c r="I293" s="50" t="s">
        <v>1056</v>
      </c>
      <c r="J293" s="73" t="s">
        <v>1112</v>
      </c>
      <c r="K293" s="50" t="str">
        <f t="shared" si="4"/>
        <v>"SVI"</v>
      </c>
      <c r="L293" s="73" t="s">
        <v>895</v>
      </c>
      <c r="M293" s="50" t="s">
        <v>5364</v>
      </c>
      <c r="N293" s="73" t="s">
        <v>3656</v>
      </c>
      <c r="O293" s="50" t="s">
        <v>3683</v>
      </c>
      <c r="P293" s="73" t="s">
        <v>3655</v>
      </c>
      <c r="Q293" s="50" t="s">
        <v>3684</v>
      </c>
      <c r="R293" s="73" t="s">
        <v>4906</v>
      </c>
      <c r="S293" s="50" t="s">
        <v>5391</v>
      </c>
      <c r="T293" s="73" t="s">
        <v>692</v>
      </c>
      <c r="U293" s="50" t="s">
        <v>692</v>
      </c>
      <c r="V293" s="73" t="s">
        <v>5392</v>
      </c>
      <c r="W293" s="50" t="s">
        <v>5364</v>
      </c>
    </row>
    <row r="294" spans="1:23" s="25" customFormat="1" ht="6.95" customHeight="1" x14ac:dyDescent="0.25">
      <c r="A294" s="26">
        <v>270</v>
      </c>
      <c r="B294" s="30" t="s">
        <v>39</v>
      </c>
      <c r="C294" s="61" t="s">
        <v>5493</v>
      </c>
      <c r="D294" s="51" t="s">
        <v>5009</v>
      </c>
      <c r="E294" s="52" t="s">
        <v>6003</v>
      </c>
      <c r="F294" s="51" t="s">
        <v>692</v>
      </c>
      <c r="G294" s="52" t="s">
        <v>692</v>
      </c>
      <c r="H294" s="73" t="s">
        <v>966</v>
      </c>
      <c r="I294" s="50" t="s">
        <v>1057</v>
      </c>
      <c r="J294" s="73" t="s">
        <v>1112</v>
      </c>
      <c r="K294" s="50" t="str">
        <f t="shared" si="4"/>
        <v>"BIO"</v>
      </c>
      <c r="L294" s="73" t="s">
        <v>895</v>
      </c>
      <c r="M294" s="50" t="s">
        <v>915</v>
      </c>
      <c r="N294" s="73" t="s">
        <v>3656</v>
      </c>
      <c r="O294" s="50" t="s">
        <v>5391</v>
      </c>
      <c r="P294" s="73" t="s">
        <v>3655</v>
      </c>
      <c r="Q294" s="50" t="s">
        <v>5391</v>
      </c>
      <c r="R294" s="73" t="s">
        <v>4906</v>
      </c>
      <c r="S294" s="50" t="s">
        <v>5391</v>
      </c>
      <c r="T294" s="73" t="s">
        <v>5006</v>
      </c>
      <c r="U294" s="50" t="s">
        <v>915</v>
      </c>
      <c r="V294" s="73" t="s">
        <v>5392</v>
      </c>
      <c r="W294" s="50" t="s">
        <v>915</v>
      </c>
    </row>
    <row r="295" spans="1:23" s="25" customFormat="1" ht="6.95" customHeight="1" x14ac:dyDescent="0.25">
      <c r="A295" s="26">
        <v>271</v>
      </c>
      <c r="B295" s="30" t="s">
        <v>607</v>
      </c>
      <c r="C295" s="61" t="s">
        <v>5493</v>
      </c>
      <c r="D295" s="51" t="s">
        <v>5009</v>
      </c>
      <c r="E295" s="52" t="s">
        <v>6003</v>
      </c>
      <c r="F295" s="51" t="s">
        <v>692</v>
      </c>
      <c r="G295" s="52" t="s">
        <v>692</v>
      </c>
      <c r="H295" s="73" t="s">
        <v>966</v>
      </c>
      <c r="I295" s="50" t="s">
        <v>1057</v>
      </c>
      <c r="J295" s="73" t="s">
        <v>1112</v>
      </c>
      <c r="K295" s="50" t="str">
        <f t="shared" si="4"/>
        <v>"ENT"</v>
      </c>
      <c r="L295" s="73" t="s">
        <v>895</v>
      </c>
      <c r="M295" s="50" t="s">
        <v>916</v>
      </c>
      <c r="N295" s="73" t="s">
        <v>3656</v>
      </c>
      <c r="O295" s="50" t="s">
        <v>5391</v>
      </c>
      <c r="P295" s="73" t="s">
        <v>3655</v>
      </c>
      <c r="Q295" s="50" t="s">
        <v>5391</v>
      </c>
      <c r="R295" s="73" t="s">
        <v>4906</v>
      </c>
      <c r="S295" s="50" t="s">
        <v>5391</v>
      </c>
      <c r="T295" s="73" t="s">
        <v>5006</v>
      </c>
      <c r="U295" s="50" t="s">
        <v>916</v>
      </c>
      <c r="V295" s="73" t="s">
        <v>5392</v>
      </c>
      <c r="W295" s="50" t="s">
        <v>916</v>
      </c>
    </row>
    <row r="296" spans="1:23" s="25" customFormat="1" ht="6.95" customHeight="1" x14ac:dyDescent="0.25">
      <c r="A296" s="26">
        <v>272</v>
      </c>
      <c r="B296" s="30" t="s">
        <v>609</v>
      </c>
      <c r="C296" s="61" t="s">
        <v>5493</v>
      </c>
      <c r="D296" s="51" t="s">
        <v>5009</v>
      </c>
      <c r="E296" s="52" t="s">
        <v>6003</v>
      </c>
      <c r="F296" s="51" t="s">
        <v>692</v>
      </c>
      <c r="G296" s="52" t="s">
        <v>692</v>
      </c>
      <c r="H296" s="73" t="s">
        <v>966</v>
      </c>
      <c r="I296" s="50" t="s">
        <v>1057</v>
      </c>
      <c r="J296" s="73" t="s">
        <v>1112</v>
      </c>
      <c r="K296" s="50" t="str">
        <f t="shared" si="4"/>
        <v>"FIS"</v>
      </c>
      <c r="L296" s="73" t="s">
        <v>895</v>
      </c>
      <c r="M296" s="50" t="s">
        <v>917</v>
      </c>
      <c r="N296" s="73" t="s">
        <v>3656</v>
      </c>
      <c r="O296" s="50" t="s">
        <v>5391</v>
      </c>
      <c r="P296" s="73" t="s">
        <v>3655</v>
      </c>
      <c r="Q296" s="50" t="s">
        <v>5391</v>
      </c>
      <c r="R296" s="73" t="s">
        <v>4906</v>
      </c>
      <c r="S296" s="50" t="s">
        <v>5391</v>
      </c>
      <c r="T296" s="73" t="s">
        <v>5006</v>
      </c>
      <c r="U296" s="50" t="s">
        <v>917</v>
      </c>
      <c r="V296" s="73" t="s">
        <v>5392</v>
      </c>
      <c r="W296" s="50" t="s">
        <v>917</v>
      </c>
    </row>
    <row r="297" spans="1:23" s="25" customFormat="1" ht="6.95" customHeight="1" x14ac:dyDescent="0.25">
      <c r="A297" s="26">
        <v>273</v>
      </c>
      <c r="B297" s="30" t="s">
        <v>41</v>
      </c>
      <c r="C297" s="61" t="s">
        <v>5493</v>
      </c>
      <c r="D297" s="51" t="s">
        <v>5009</v>
      </c>
      <c r="E297" s="52" t="s">
        <v>6003</v>
      </c>
      <c r="F297" s="51" t="s">
        <v>692</v>
      </c>
      <c r="G297" s="52" t="s">
        <v>692</v>
      </c>
      <c r="H297" s="73" t="s">
        <v>966</v>
      </c>
      <c r="I297" s="50" t="s">
        <v>1057</v>
      </c>
      <c r="J297" s="73" t="s">
        <v>1112</v>
      </c>
      <c r="K297" s="50" t="str">
        <f t="shared" si="4"/>
        <v>"INF"</v>
      </c>
      <c r="L297" s="73" t="s">
        <v>895</v>
      </c>
      <c r="M297" s="50" t="s">
        <v>918</v>
      </c>
      <c r="N297" s="73" t="s">
        <v>3656</v>
      </c>
      <c r="O297" s="50" t="s">
        <v>5391</v>
      </c>
      <c r="P297" s="73" t="s">
        <v>3655</v>
      </c>
      <c r="Q297" s="50" t="s">
        <v>5391</v>
      </c>
      <c r="R297" s="73" t="s">
        <v>4906</v>
      </c>
      <c r="S297" s="50" t="s">
        <v>5391</v>
      </c>
      <c r="T297" s="73" t="s">
        <v>5006</v>
      </c>
      <c r="U297" s="50" t="s">
        <v>918</v>
      </c>
      <c r="V297" s="73" t="s">
        <v>5392</v>
      </c>
      <c r="W297" s="50" t="s">
        <v>918</v>
      </c>
    </row>
    <row r="298" spans="1:23" s="25" customFormat="1" ht="6.95" customHeight="1" x14ac:dyDescent="0.25">
      <c r="A298" s="26">
        <v>274</v>
      </c>
      <c r="B298" s="30" t="s">
        <v>610</v>
      </c>
      <c r="C298" s="61" t="s">
        <v>5493</v>
      </c>
      <c r="D298" s="51" t="s">
        <v>5009</v>
      </c>
      <c r="E298" s="52" t="s">
        <v>6003</v>
      </c>
      <c r="F298" s="51" t="s">
        <v>692</v>
      </c>
      <c r="G298" s="52" t="s">
        <v>692</v>
      </c>
      <c r="H298" s="73" t="s">
        <v>966</v>
      </c>
      <c r="I298" s="50" t="s">
        <v>1057</v>
      </c>
      <c r="J298" s="73" t="s">
        <v>1112</v>
      </c>
      <c r="K298" s="50" t="str">
        <f t="shared" si="4"/>
        <v>"MAG"</v>
      </c>
      <c r="L298" s="73" t="s">
        <v>895</v>
      </c>
      <c r="M298" s="50" t="s">
        <v>919</v>
      </c>
      <c r="N298" s="73" t="s">
        <v>3656</v>
      </c>
      <c r="O298" s="50" t="s">
        <v>5391</v>
      </c>
      <c r="P298" s="73" t="s">
        <v>3655</v>
      </c>
      <c r="Q298" s="50" t="s">
        <v>5391</v>
      </c>
      <c r="R298" s="73" t="s">
        <v>4906</v>
      </c>
      <c r="S298" s="50" t="s">
        <v>5391</v>
      </c>
      <c r="T298" s="73" t="s">
        <v>5006</v>
      </c>
      <c r="U298" s="50" t="s">
        <v>919</v>
      </c>
      <c r="V298" s="73" t="s">
        <v>5392</v>
      </c>
      <c r="W298" s="50" t="s">
        <v>919</v>
      </c>
    </row>
    <row r="299" spans="1:23" s="25" customFormat="1" ht="6.95" customHeight="1" x14ac:dyDescent="0.25">
      <c r="A299" s="26">
        <v>275</v>
      </c>
      <c r="B299" s="30" t="s">
        <v>608</v>
      </c>
      <c r="C299" s="61" t="s">
        <v>5493</v>
      </c>
      <c r="D299" s="51" t="s">
        <v>5009</v>
      </c>
      <c r="E299" s="52" t="s">
        <v>6003</v>
      </c>
      <c r="F299" s="51" t="s">
        <v>692</v>
      </c>
      <c r="G299" s="52" t="s">
        <v>692</v>
      </c>
      <c r="H299" s="73" t="s">
        <v>966</v>
      </c>
      <c r="I299" s="50" t="s">
        <v>1057</v>
      </c>
      <c r="J299" s="73" t="s">
        <v>1112</v>
      </c>
      <c r="K299" s="50" t="str">
        <f t="shared" si="4"/>
        <v>"MOL"</v>
      </c>
      <c r="L299" s="73" t="s">
        <v>895</v>
      </c>
      <c r="M299" s="50" t="s">
        <v>5302</v>
      </c>
      <c r="N299" s="73" t="s">
        <v>3656</v>
      </c>
      <c r="O299" s="50" t="s">
        <v>5391</v>
      </c>
      <c r="P299" s="73" t="s">
        <v>3655</v>
      </c>
      <c r="Q299" s="50" t="s">
        <v>5391</v>
      </c>
      <c r="R299" s="73" t="s">
        <v>4906</v>
      </c>
      <c r="S299" s="50" t="s">
        <v>5391</v>
      </c>
      <c r="T299" s="73" t="s">
        <v>5006</v>
      </c>
      <c r="U299" s="50" t="s">
        <v>920</v>
      </c>
      <c r="V299" s="73" t="s">
        <v>5392</v>
      </c>
      <c r="W299" s="50" t="s">
        <v>920</v>
      </c>
    </row>
    <row r="300" spans="1:23" s="25" customFormat="1" ht="6.95" customHeight="1" x14ac:dyDescent="0.25">
      <c r="A300" s="26">
        <v>276</v>
      </c>
      <c r="B300" s="30" t="s">
        <v>611</v>
      </c>
      <c r="C300" s="61" t="s">
        <v>5493</v>
      </c>
      <c r="D300" s="51" t="s">
        <v>5009</v>
      </c>
      <c r="E300" s="52" t="s">
        <v>6003</v>
      </c>
      <c r="F300" s="51" t="s">
        <v>692</v>
      </c>
      <c r="G300" s="52" t="s">
        <v>692</v>
      </c>
      <c r="H300" s="73" t="s">
        <v>966</v>
      </c>
      <c r="I300" s="50" t="s">
        <v>1057</v>
      </c>
      <c r="J300" s="73" t="s">
        <v>1112</v>
      </c>
      <c r="K300" s="50" t="str">
        <f t="shared" si="4"/>
        <v>"QUI"</v>
      </c>
      <c r="L300" s="73" t="s">
        <v>895</v>
      </c>
      <c r="M300" s="50" t="s">
        <v>921</v>
      </c>
      <c r="N300" s="73" t="s">
        <v>3656</v>
      </c>
      <c r="O300" s="50" t="s">
        <v>5391</v>
      </c>
      <c r="P300" s="73" t="s">
        <v>3655</v>
      </c>
      <c r="Q300" s="50" t="s">
        <v>5391</v>
      </c>
      <c r="R300" s="73" t="s">
        <v>4906</v>
      </c>
      <c r="S300" s="50" t="s">
        <v>5391</v>
      </c>
      <c r="T300" s="73" t="s">
        <v>5006</v>
      </c>
      <c r="U300" s="50" t="s">
        <v>921</v>
      </c>
      <c r="V300" s="73" t="s">
        <v>5392</v>
      </c>
      <c r="W300" s="50" t="s">
        <v>921</v>
      </c>
    </row>
    <row r="301" spans="1:23" s="25" customFormat="1" ht="6.95" customHeight="1" x14ac:dyDescent="0.25">
      <c r="A301" s="26">
        <v>277</v>
      </c>
      <c r="B301" s="30" t="s">
        <v>612</v>
      </c>
      <c r="C301" s="61" t="s">
        <v>5493</v>
      </c>
      <c r="D301" s="51" t="s">
        <v>5009</v>
      </c>
      <c r="E301" s="52" t="s">
        <v>6003</v>
      </c>
      <c r="F301" s="51" t="s">
        <v>692</v>
      </c>
      <c r="G301" s="52" t="s">
        <v>692</v>
      </c>
      <c r="H301" s="73" t="s">
        <v>966</v>
      </c>
      <c r="I301" s="50" t="s">
        <v>1057</v>
      </c>
      <c r="J301" s="73" t="s">
        <v>1112</v>
      </c>
      <c r="K301" s="50" t="str">
        <f t="shared" si="4"/>
        <v>"QUP"</v>
      </c>
      <c r="L301" s="73" t="s">
        <v>895</v>
      </c>
      <c r="M301" s="50" t="s">
        <v>5303</v>
      </c>
      <c r="N301" s="73" t="s">
        <v>3656</v>
      </c>
      <c r="O301" s="50" t="s">
        <v>5391</v>
      </c>
      <c r="P301" s="73" t="s">
        <v>3655</v>
      </c>
      <c r="Q301" s="50" t="s">
        <v>5391</v>
      </c>
      <c r="R301" s="73" t="s">
        <v>4906</v>
      </c>
      <c r="S301" s="50" t="s">
        <v>5391</v>
      </c>
      <c r="T301" s="73" t="s">
        <v>5006</v>
      </c>
      <c r="U301" s="50" t="s">
        <v>922</v>
      </c>
      <c r="V301" s="73" t="s">
        <v>5392</v>
      </c>
      <c r="W301" s="50" t="s">
        <v>922</v>
      </c>
    </row>
    <row r="302" spans="1:23" s="25" customFormat="1" ht="6.95" customHeight="1" x14ac:dyDescent="0.25">
      <c r="A302" s="26">
        <v>278</v>
      </c>
      <c r="B302" s="30" t="s">
        <v>734</v>
      </c>
      <c r="C302" s="61" t="s">
        <v>5493</v>
      </c>
      <c r="D302" s="51" t="s">
        <v>5009</v>
      </c>
      <c r="E302" s="52" t="s">
        <v>6003</v>
      </c>
      <c r="F302" s="51" t="s">
        <v>692</v>
      </c>
      <c r="G302" s="52" t="s">
        <v>692</v>
      </c>
      <c r="H302" s="73" t="s">
        <v>966</v>
      </c>
      <c r="I302" s="50" t="s">
        <v>1057</v>
      </c>
      <c r="J302" s="73" t="s">
        <v>1112</v>
      </c>
      <c r="K302" s="50" t="str">
        <f t="shared" si="4"/>
        <v>"SET"</v>
      </c>
      <c r="L302" s="73" t="s">
        <v>895</v>
      </c>
      <c r="M302" s="50" t="s">
        <v>923</v>
      </c>
      <c r="N302" s="73" t="s">
        <v>3656</v>
      </c>
      <c r="O302" s="50" t="s">
        <v>5391</v>
      </c>
      <c r="P302" s="73" t="s">
        <v>3655</v>
      </c>
      <c r="Q302" s="50" t="s">
        <v>5391</v>
      </c>
      <c r="R302" s="73" t="s">
        <v>4906</v>
      </c>
      <c r="S302" s="50" t="s">
        <v>5391</v>
      </c>
      <c r="T302" s="73" t="s">
        <v>5006</v>
      </c>
      <c r="U302" s="50" t="s">
        <v>923</v>
      </c>
      <c r="V302" s="73" t="s">
        <v>5392</v>
      </c>
      <c r="W302" s="50" t="s">
        <v>923</v>
      </c>
    </row>
    <row r="303" spans="1:23" s="25" customFormat="1" ht="6.95" customHeight="1" x14ac:dyDescent="0.25">
      <c r="A303" s="26">
        <v>279</v>
      </c>
      <c r="B303" s="30" t="s">
        <v>573</v>
      </c>
      <c r="C303" s="61" t="s">
        <v>5493</v>
      </c>
      <c r="D303" s="51" t="s">
        <v>5009</v>
      </c>
      <c r="E303" s="52" t="s">
        <v>6003</v>
      </c>
      <c r="F303" s="51" t="s">
        <v>692</v>
      </c>
      <c r="G303" s="52" t="s">
        <v>692</v>
      </c>
      <c r="H303" s="73" t="s">
        <v>966</v>
      </c>
      <c r="I303" s="50" t="s">
        <v>1057</v>
      </c>
      <c r="J303" s="73" t="s">
        <v>1112</v>
      </c>
      <c r="K303" s="50" t="str">
        <f t="shared" si="4"/>
        <v>"CEN"</v>
      </c>
      <c r="L303" s="73" t="s">
        <v>895</v>
      </c>
      <c r="M303" s="50" t="s">
        <v>924</v>
      </c>
      <c r="N303" s="73" t="s">
        <v>3656</v>
      </c>
      <c r="O303" s="50" t="s">
        <v>5391</v>
      </c>
      <c r="P303" s="73" t="s">
        <v>3655</v>
      </c>
      <c r="Q303" s="50" t="s">
        <v>5391</v>
      </c>
      <c r="R303" s="73" t="s">
        <v>4906</v>
      </c>
      <c r="S303" s="50" t="s">
        <v>5391</v>
      </c>
      <c r="T303" s="73" t="s">
        <v>5006</v>
      </c>
      <c r="U303" s="50" t="s">
        <v>924</v>
      </c>
      <c r="V303" s="73" t="s">
        <v>5392</v>
      </c>
      <c r="W303" s="50" t="s">
        <v>924</v>
      </c>
    </row>
    <row r="304" spans="1:23" s="25" customFormat="1" ht="6.95" customHeight="1" x14ac:dyDescent="0.25">
      <c r="A304" s="26">
        <v>280</v>
      </c>
      <c r="B304" s="30" t="s">
        <v>261</v>
      </c>
      <c r="C304" s="61" t="s">
        <v>5493</v>
      </c>
      <c r="D304" s="51" t="s">
        <v>5009</v>
      </c>
      <c r="E304" s="52" t="s">
        <v>6003</v>
      </c>
      <c r="F304" s="51" t="s">
        <v>692</v>
      </c>
      <c r="G304" s="52" t="s">
        <v>692</v>
      </c>
      <c r="H304" s="73" t="s">
        <v>966</v>
      </c>
      <c r="I304" s="50" t="s">
        <v>1058</v>
      </c>
      <c r="J304" s="73" t="s">
        <v>1112</v>
      </c>
      <c r="K304" s="50" t="str">
        <f t="shared" si="4"/>
        <v>"1PA"</v>
      </c>
      <c r="L304" s="73" t="s">
        <v>895</v>
      </c>
      <c r="M304" s="50" t="s">
        <v>5304</v>
      </c>
      <c r="N304" s="73" t="s">
        <v>3656</v>
      </c>
      <c r="O304" s="50" t="s">
        <v>3681</v>
      </c>
      <c r="P304" s="73" t="s">
        <v>3655</v>
      </c>
      <c r="Q304" s="50" t="s">
        <v>3682</v>
      </c>
      <c r="R304" s="73" t="s">
        <v>4906</v>
      </c>
      <c r="S304" s="50" t="s">
        <v>5391</v>
      </c>
      <c r="T304" s="73" t="s">
        <v>692</v>
      </c>
      <c r="U304" s="50" t="s">
        <v>692</v>
      </c>
      <c r="V304" s="73" t="s">
        <v>5392</v>
      </c>
      <c r="W304" s="50" t="s">
        <v>5304</v>
      </c>
    </row>
    <row r="305" spans="1:23" s="25" customFormat="1" ht="6.95" customHeight="1" x14ac:dyDescent="0.25">
      <c r="A305" s="26">
        <v>281</v>
      </c>
      <c r="B305" s="30" t="s">
        <v>681</v>
      </c>
      <c r="C305" s="61" t="s">
        <v>5493</v>
      </c>
      <c r="D305" s="51" t="s">
        <v>5009</v>
      </c>
      <c r="E305" s="52" t="s">
        <v>6003</v>
      </c>
      <c r="F305" s="51" t="s">
        <v>692</v>
      </c>
      <c r="G305" s="52" t="s">
        <v>692</v>
      </c>
      <c r="H305" s="73" t="s">
        <v>966</v>
      </c>
      <c r="I305" s="50" t="s">
        <v>1058</v>
      </c>
      <c r="J305" s="73" t="s">
        <v>1112</v>
      </c>
      <c r="K305" s="50" t="str">
        <f t="shared" si="4"/>
        <v>"2PA"</v>
      </c>
      <c r="L305" s="73" t="s">
        <v>895</v>
      </c>
      <c r="M305" s="50" t="s">
        <v>5305</v>
      </c>
      <c r="N305" s="73" t="s">
        <v>3656</v>
      </c>
      <c r="O305" s="50" t="s">
        <v>3681</v>
      </c>
      <c r="P305" s="73" t="s">
        <v>3655</v>
      </c>
      <c r="Q305" s="50" t="s">
        <v>3682</v>
      </c>
      <c r="R305" s="73" t="s">
        <v>4906</v>
      </c>
      <c r="S305" s="50" t="s">
        <v>5391</v>
      </c>
      <c r="T305" s="73" t="s">
        <v>692</v>
      </c>
      <c r="U305" s="50" t="s">
        <v>692</v>
      </c>
      <c r="V305" s="73" t="s">
        <v>5392</v>
      </c>
      <c r="W305" s="50" t="s">
        <v>5305</v>
      </c>
    </row>
    <row r="306" spans="1:23" s="25" customFormat="1" ht="6.95" customHeight="1" x14ac:dyDescent="0.25">
      <c r="A306" s="26">
        <v>282</v>
      </c>
      <c r="B306" s="30" t="s">
        <v>682</v>
      </c>
      <c r="C306" s="61" t="s">
        <v>5493</v>
      </c>
      <c r="D306" s="51" t="s">
        <v>5009</v>
      </c>
      <c r="E306" s="52" t="s">
        <v>6003</v>
      </c>
      <c r="F306" s="51" t="s">
        <v>692</v>
      </c>
      <c r="G306" s="52" t="s">
        <v>692</v>
      </c>
      <c r="H306" s="73" t="s">
        <v>966</v>
      </c>
      <c r="I306" s="50" t="s">
        <v>1058</v>
      </c>
      <c r="J306" s="73" t="s">
        <v>1112</v>
      </c>
      <c r="K306" s="50" t="str">
        <f t="shared" si="4"/>
        <v>"3PA"</v>
      </c>
      <c r="L306" s="73" t="s">
        <v>895</v>
      </c>
      <c r="M306" s="50" t="s">
        <v>5306</v>
      </c>
      <c r="N306" s="73" t="s">
        <v>3656</v>
      </c>
      <c r="O306" s="50" t="s">
        <v>3681</v>
      </c>
      <c r="P306" s="73" t="s">
        <v>3655</v>
      </c>
      <c r="Q306" s="50" t="s">
        <v>3682</v>
      </c>
      <c r="R306" s="73" t="s">
        <v>4906</v>
      </c>
      <c r="S306" s="50" t="s">
        <v>5391</v>
      </c>
      <c r="T306" s="73" t="s">
        <v>692</v>
      </c>
      <c r="U306" s="50" t="s">
        <v>692</v>
      </c>
      <c r="V306" s="73" t="s">
        <v>5392</v>
      </c>
      <c r="W306" s="50" t="s">
        <v>5306</v>
      </c>
    </row>
    <row r="307" spans="1:23" s="25" customFormat="1" ht="6.95" customHeight="1" x14ac:dyDescent="0.25">
      <c r="A307" s="26">
        <v>283</v>
      </c>
      <c r="B307" s="30" t="s">
        <v>683</v>
      </c>
      <c r="C307" s="61" t="s">
        <v>5493</v>
      </c>
      <c r="D307" s="51" t="s">
        <v>5009</v>
      </c>
      <c r="E307" s="52" t="s">
        <v>6003</v>
      </c>
      <c r="F307" s="51" t="s">
        <v>692</v>
      </c>
      <c r="G307" s="52" t="s">
        <v>692</v>
      </c>
      <c r="H307" s="73" t="s">
        <v>966</v>
      </c>
      <c r="I307" s="50" t="s">
        <v>1058</v>
      </c>
      <c r="J307" s="73" t="s">
        <v>1112</v>
      </c>
      <c r="K307" s="50" t="str">
        <f t="shared" si="4"/>
        <v>"4PA"</v>
      </c>
      <c r="L307" s="73" t="s">
        <v>895</v>
      </c>
      <c r="M307" s="50" t="s">
        <v>5307</v>
      </c>
      <c r="N307" s="73" t="s">
        <v>3656</v>
      </c>
      <c r="O307" s="50" t="s">
        <v>3681</v>
      </c>
      <c r="P307" s="73" t="s">
        <v>3655</v>
      </c>
      <c r="Q307" s="50" t="s">
        <v>3682</v>
      </c>
      <c r="R307" s="73" t="s">
        <v>4906</v>
      </c>
      <c r="S307" s="50" t="s">
        <v>5391</v>
      </c>
      <c r="T307" s="73" t="s">
        <v>692</v>
      </c>
      <c r="U307" s="50" t="s">
        <v>692</v>
      </c>
      <c r="V307" s="73" t="s">
        <v>5392</v>
      </c>
      <c r="W307" s="50" t="s">
        <v>5307</v>
      </c>
    </row>
    <row r="308" spans="1:23" s="25" customFormat="1" ht="6.95" customHeight="1" x14ac:dyDescent="0.25">
      <c r="A308" s="26">
        <v>284</v>
      </c>
      <c r="B308" s="30" t="s">
        <v>684</v>
      </c>
      <c r="C308" s="61" t="s">
        <v>5493</v>
      </c>
      <c r="D308" s="51" t="s">
        <v>5009</v>
      </c>
      <c r="E308" s="52" t="s">
        <v>6003</v>
      </c>
      <c r="F308" s="51" t="s">
        <v>692</v>
      </c>
      <c r="G308" s="52" t="s">
        <v>692</v>
      </c>
      <c r="H308" s="73" t="s">
        <v>966</v>
      </c>
      <c r="I308" s="50" t="s">
        <v>1058</v>
      </c>
      <c r="J308" s="73" t="s">
        <v>1112</v>
      </c>
      <c r="K308" s="50" t="str">
        <f t="shared" si="4"/>
        <v>"5PA"</v>
      </c>
      <c r="L308" s="73" t="s">
        <v>895</v>
      </c>
      <c r="M308" s="50" t="s">
        <v>5308</v>
      </c>
      <c r="N308" s="73" t="s">
        <v>3656</v>
      </c>
      <c r="O308" s="50" t="s">
        <v>3681</v>
      </c>
      <c r="P308" s="73" t="s">
        <v>3655</v>
      </c>
      <c r="Q308" s="50" t="s">
        <v>3682</v>
      </c>
      <c r="R308" s="73" t="s">
        <v>4906</v>
      </c>
      <c r="S308" s="50" t="s">
        <v>5391</v>
      </c>
      <c r="T308" s="73" t="s">
        <v>692</v>
      </c>
      <c r="U308" s="50" t="s">
        <v>692</v>
      </c>
      <c r="V308" s="73" t="s">
        <v>5392</v>
      </c>
      <c r="W308" s="50" t="s">
        <v>5308</v>
      </c>
    </row>
    <row r="309" spans="1:23" s="25" customFormat="1" ht="6.95" customHeight="1" x14ac:dyDescent="0.25">
      <c r="A309" s="26">
        <v>285</v>
      </c>
      <c r="B309" s="30" t="s">
        <v>685</v>
      </c>
      <c r="C309" s="61" t="s">
        <v>5493</v>
      </c>
      <c r="D309" s="51" t="s">
        <v>5009</v>
      </c>
      <c r="E309" s="52" t="s">
        <v>6003</v>
      </c>
      <c r="F309" s="51" t="s">
        <v>692</v>
      </c>
      <c r="G309" s="52" t="s">
        <v>692</v>
      </c>
      <c r="H309" s="73" t="s">
        <v>966</v>
      </c>
      <c r="I309" s="50" t="s">
        <v>1058</v>
      </c>
      <c r="J309" s="73" t="s">
        <v>1112</v>
      </c>
      <c r="K309" s="50" t="str">
        <f t="shared" si="4"/>
        <v>"6PA"</v>
      </c>
      <c r="L309" s="73" t="s">
        <v>895</v>
      </c>
      <c r="M309" s="50" t="s">
        <v>5309</v>
      </c>
      <c r="N309" s="73" t="s">
        <v>3656</v>
      </c>
      <c r="O309" s="50" t="s">
        <v>3681</v>
      </c>
      <c r="P309" s="73" t="s">
        <v>3655</v>
      </c>
      <c r="Q309" s="50" t="s">
        <v>3682</v>
      </c>
      <c r="R309" s="73" t="s">
        <v>4906</v>
      </c>
      <c r="S309" s="50" t="s">
        <v>5391</v>
      </c>
      <c r="T309" s="73" t="s">
        <v>692</v>
      </c>
      <c r="U309" s="50" t="s">
        <v>692</v>
      </c>
      <c r="V309" s="73" t="s">
        <v>5392</v>
      </c>
      <c r="W309" s="50" t="s">
        <v>5309</v>
      </c>
    </row>
    <row r="310" spans="1:23" s="25" customFormat="1" ht="6.95" customHeight="1" x14ac:dyDescent="0.25">
      <c r="A310" s="26">
        <v>286</v>
      </c>
      <c r="B310" s="30" t="s">
        <v>105</v>
      </c>
      <c r="C310" s="61" t="s">
        <v>5493</v>
      </c>
      <c r="D310" s="51" t="s">
        <v>5009</v>
      </c>
      <c r="E310" s="52" t="s">
        <v>6003</v>
      </c>
      <c r="F310" s="51" t="s">
        <v>692</v>
      </c>
      <c r="G310" s="52" t="s">
        <v>692</v>
      </c>
      <c r="H310" s="73" t="s">
        <v>966</v>
      </c>
      <c r="I310" s="50" t="s">
        <v>1058</v>
      </c>
      <c r="J310" s="73" t="s">
        <v>1112</v>
      </c>
      <c r="K310" s="50" t="str">
        <f t="shared" si="4"/>
        <v>"1PI"</v>
      </c>
      <c r="L310" s="73" t="s">
        <v>895</v>
      </c>
      <c r="M310" s="50" t="s">
        <v>5310</v>
      </c>
      <c r="N310" s="73" t="s">
        <v>3656</v>
      </c>
      <c r="O310" s="50" t="s">
        <v>3679</v>
      </c>
      <c r="P310" s="73" t="s">
        <v>3655</v>
      </c>
      <c r="Q310" s="50" t="s">
        <v>3680</v>
      </c>
      <c r="R310" s="73" t="s">
        <v>4906</v>
      </c>
      <c r="S310" s="50" t="s">
        <v>5391</v>
      </c>
      <c r="T310" s="73" t="s">
        <v>5008</v>
      </c>
      <c r="U310" s="50">
        <v>1</v>
      </c>
      <c r="V310" s="73" t="s">
        <v>5392</v>
      </c>
      <c r="W310" s="50" t="s">
        <v>5393</v>
      </c>
    </row>
    <row r="311" spans="1:23" s="25" customFormat="1" ht="6.95" customHeight="1" x14ac:dyDescent="0.25">
      <c r="A311" s="26">
        <v>287</v>
      </c>
      <c r="B311" s="30" t="s">
        <v>107</v>
      </c>
      <c r="C311" s="61" t="s">
        <v>5493</v>
      </c>
      <c r="D311" s="51" t="s">
        <v>5009</v>
      </c>
      <c r="E311" s="52" t="s">
        <v>6003</v>
      </c>
      <c r="F311" s="51" t="s">
        <v>692</v>
      </c>
      <c r="G311" s="52" t="s">
        <v>692</v>
      </c>
      <c r="H311" s="73" t="s">
        <v>966</v>
      </c>
      <c r="I311" s="50" t="s">
        <v>1058</v>
      </c>
      <c r="J311" s="73" t="s">
        <v>1112</v>
      </c>
      <c r="K311" s="50" t="str">
        <f t="shared" si="4"/>
        <v>"2PI"</v>
      </c>
      <c r="L311" s="73" t="s">
        <v>895</v>
      </c>
      <c r="M311" s="50" t="s">
        <v>5311</v>
      </c>
      <c r="N311" s="73" t="s">
        <v>3656</v>
      </c>
      <c r="O311" s="50" t="s">
        <v>3679</v>
      </c>
      <c r="P311" s="73" t="s">
        <v>3655</v>
      </c>
      <c r="Q311" s="50" t="s">
        <v>3680</v>
      </c>
      <c r="R311" s="73" t="s">
        <v>4906</v>
      </c>
      <c r="S311" s="50" t="s">
        <v>5391</v>
      </c>
      <c r="T311" s="73" t="s">
        <v>5008</v>
      </c>
      <c r="U311" s="50">
        <v>2</v>
      </c>
      <c r="V311" s="73" t="s">
        <v>5392</v>
      </c>
      <c r="W311" s="50" t="s">
        <v>5393</v>
      </c>
    </row>
    <row r="312" spans="1:23" s="25" customFormat="1" ht="6.95" customHeight="1" x14ac:dyDescent="0.25">
      <c r="A312" s="26">
        <v>288</v>
      </c>
      <c r="B312" s="30" t="s">
        <v>108</v>
      </c>
      <c r="C312" s="61" t="s">
        <v>5493</v>
      </c>
      <c r="D312" s="51" t="s">
        <v>5009</v>
      </c>
      <c r="E312" s="52" t="s">
        <v>6003</v>
      </c>
      <c r="F312" s="51" t="s">
        <v>692</v>
      </c>
      <c r="G312" s="52" t="s">
        <v>692</v>
      </c>
      <c r="H312" s="73" t="s">
        <v>966</v>
      </c>
      <c r="I312" s="50" t="s">
        <v>1058</v>
      </c>
      <c r="J312" s="73" t="s">
        <v>1112</v>
      </c>
      <c r="K312" s="50" t="str">
        <f t="shared" si="4"/>
        <v>"3PI"</v>
      </c>
      <c r="L312" s="73" t="s">
        <v>895</v>
      </c>
      <c r="M312" s="50" t="s">
        <v>5312</v>
      </c>
      <c r="N312" s="73" t="s">
        <v>3656</v>
      </c>
      <c r="O312" s="50" t="s">
        <v>3679</v>
      </c>
      <c r="P312" s="73" t="s">
        <v>3655</v>
      </c>
      <c r="Q312" s="50" t="s">
        <v>3680</v>
      </c>
      <c r="R312" s="73" t="s">
        <v>4906</v>
      </c>
      <c r="S312" s="50" t="s">
        <v>5391</v>
      </c>
      <c r="T312" s="73" t="s">
        <v>5008</v>
      </c>
      <c r="U312" s="50">
        <v>3</v>
      </c>
      <c r="V312" s="73" t="s">
        <v>5392</v>
      </c>
      <c r="W312" s="50" t="s">
        <v>5393</v>
      </c>
    </row>
    <row r="313" spans="1:23" s="25" customFormat="1" ht="6.95" customHeight="1" x14ac:dyDescent="0.25">
      <c r="A313" s="26">
        <v>289</v>
      </c>
      <c r="B313" s="30" t="s">
        <v>109</v>
      </c>
      <c r="C313" s="61" t="s">
        <v>5493</v>
      </c>
      <c r="D313" s="51" t="s">
        <v>5009</v>
      </c>
      <c r="E313" s="52" t="s">
        <v>6003</v>
      </c>
      <c r="F313" s="51" t="s">
        <v>692</v>
      </c>
      <c r="G313" s="52" t="s">
        <v>692</v>
      </c>
      <c r="H313" s="73" t="s">
        <v>966</v>
      </c>
      <c r="I313" s="50" t="s">
        <v>1058</v>
      </c>
      <c r="J313" s="73" t="s">
        <v>1112</v>
      </c>
      <c r="K313" s="50" t="str">
        <f t="shared" si="4"/>
        <v>"4PI"</v>
      </c>
      <c r="L313" s="73" t="s">
        <v>895</v>
      </c>
      <c r="M313" s="50" t="s">
        <v>5313</v>
      </c>
      <c r="N313" s="73" t="s">
        <v>3656</v>
      </c>
      <c r="O313" s="50" t="s">
        <v>3679</v>
      </c>
      <c r="P313" s="73" t="s">
        <v>3655</v>
      </c>
      <c r="Q313" s="50" t="s">
        <v>3680</v>
      </c>
      <c r="R313" s="73" t="s">
        <v>4906</v>
      </c>
      <c r="S313" s="50" t="s">
        <v>5391</v>
      </c>
      <c r="T313" s="73" t="s">
        <v>5008</v>
      </c>
      <c r="U313" s="50">
        <v>4</v>
      </c>
      <c r="V313" s="73" t="s">
        <v>5392</v>
      </c>
      <c r="W313" s="50" t="s">
        <v>5393</v>
      </c>
    </row>
    <row r="314" spans="1:23" s="25" customFormat="1" ht="6.95" customHeight="1" x14ac:dyDescent="0.25">
      <c r="A314" s="26">
        <v>290</v>
      </c>
      <c r="B314" s="30" t="s">
        <v>1097</v>
      </c>
      <c r="C314" s="61" t="s">
        <v>5493</v>
      </c>
      <c r="D314" s="51" t="s">
        <v>5009</v>
      </c>
      <c r="E314" s="52" t="s">
        <v>6003</v>
      </c>
      <c r="F314" s="51" t="s">
        <v>692</v>
      </c>
      <c r="G314" s="52" t="s">
        <v>692</v>
      </c>
      <c r="H314" s="73" t="s">
        <v>966</v>
      </c>
      <c r="I314" s="50" t="s">
        <v>1102</v>
      </c>
      <c r="J314" s="73" t="s">
        <v>1112</v>
      </c>
      <c r="K314" s="50" t="str">
        <f t="shared" si="4"/>
        <v>"MO1"</v>
      </c>
      <c r="L314" s="73" t="s">
        <v>895</v>
      </c>
      <c r="M314" s="50" t="s">
        <v>5314</v>
      </c>
      <c r="N314" s="73" t="s">
        <v>3656</v>
      </c>
      <c r="O314" s="50" t="s">
        <v>5391</v>
      </c>
      <c r="P314" s="73" t="s">
        <v>3655</v>
      </c>
      <c r="Q314" s="50" t="s">
        <v>5391</v>
      </c>
      <c r="R314" s="73" t="s">
        <v>4906</v>
      </c>
      <c r="S314" s="50" t="s">
        <v>5391</v>
      </c>
      <c r="T314" s="73" t="s">
        <v>5008</v>
      </c>
      <c r="U314" s="50">
        <v>1</v>
      </c>
      <c r="V314" s="73" t="s">
        <v>5392</v>
      </c>
      <c r="W314" s="50" t="s">
        <v>5393</v>
      </c>
    </row>
    <row r="315" spans="1:23" s="25" customFormat="1" ht="6.95" customHeight="1" x14ac:dyDescent="0.25">
      <c r="A315" s="26">
        <v>291</v>
      </c>
      <c r="B315" s="30" t="s">
        <v>1098</v>
      </c>
      <c r="C315" s="61" t="s">
        <v>5493</v>
      </c>
      <c r="D315" s="51" t="s">
        <v>5009</v>
      </c>
      <c r="E315" s="52" t="s">
        <v>6003</v>
      </c>
      <c r="F315" s="51" t="s">
        <v>692</v>
      </c>
      <c r="G315" s="52" t="s">
        <v>692</v>
      </c>
      <c r="H315" s="73" t="s">
        <v>966</v>
      </c>
      <c r="I315" s="50" t="s">
        <v>1102</v>
      </c>
      <c r="J315" s="73" t="s">
        <v>1112</v>
      </c>
      <c r="K315" s="50" t="str">
        <f t="shared" si="4"/>
        <v>"MO2"</v>
      </c>
      <c r="L315" s="73" t="s">
        <v>895</v>
      </c>
      <c r="M315" s="50" t="s">
        <v>5315</v>
      </c>
      <c r="N315" s="73" t="s">
        <v>3656</v>
      </c>
      <c r="O315" s="50" t="s">
        <v>5391</v>
      </c>
      <c r="P315" s="73" t="s">
        <v>3655</v>
      </c>
      <c r="Q315" s="50" t="s">
        <v>5391</v>
      </c>
      <c r="R315" s="73" t="s">
        <v>4906</v>
      </c>
      <c r="S315" s="50" t="s">
        <v>5391</v>
      </c>
      <c r="T315" s="73" t="s">
        <v>5008</v>
      </c>
      <c r="U315" s="50">
        <v>2</v>
      </c>
      <c r="V315" s="73" t="s">
        <v>5392</v>
      </c>
      <c r="W315" s="50" t="s">
        <v>5393</v>
      </c>
    </row>
    <row r="316" spans="1:23" s="25" customFormat="1" ht="6.95" customHeight="1" x14ac:dyDescent="0.25">
      <c r="A316" s="26">
        <v>292</v>
      </c>
      <c r="B316" s="30" t="s">
        <v>1099</v>
      </c>
      <c r="C316" s="61" t="s">
        <v>5493</v>
      </c>
      <c r="D316" s="51" t="s">
        <v>5009</v>
      </c>
      <c r="E316" s="52" t="s">
        <v>6003</v>
      </c>
      <c r="F316" s="51" t="s">
        <v>692</v>
      </c>
      <c r="G316" s="52" t="s">
        <v>692</v>
      </c>
      <c r="H316" s="73" t="s">
        <v>966</v>
      </c>
      <c r="I316" s="50" t="s">
        <v>1102</v>
      </c>
      <c r="J316" s="73" t="s">
        <v>1112</v>
      </c>
      <c r="K316" s="50" t="str">
        <f t="shared" si="4"/>
        <v>"MO3"</v>
      </c>
      <c r="L316" s="73" t="s">
        <v>895</v>
      </c>
      <c r="M316" s="50" t="s">
        <v>5316</v>
      </c>
      <c r="N316" s="73" t="s">
        <v>3656</v>
      </c>
      <c r="O316" s="50" t="s">
        <v>5391</v>
      </c>
      <c r="P316" s="73" t="s">
        <v>3655</v>
      </c>
      <c r="Q316" s="50" t="s">
        <v>5391</v>
      </c>
      <c r="R316" s="73" t="s">
        <v>4906</v>
      </c>
      <c r="S316" s="50" t="s">
        <v>5391</v>
      </c>
      <c r="T316" s="73" t="s">
        <v>5008</v>
      </c>
      <c r="U316" s="50">
        <v>3</v>
      </c>
      <c r="V316" s="73" t="s">
        <v>5392</v>
      </c>
      <c r="W316" s="50" t="s">
        <v>5393</v>
      </c>
    </row>
    <row r="317" spans="1:23" s="25" customFormat="1" ht="6.95" customHeight="1" x14ac:dyDescent="0.25">
      <c r="A317" s="26">
        <v>293</v>
      </c>
      <c r="B317" s="30" t="s">
        <v>1100</v>
      </c>
      <c r="C317" s="61" t="s">
        <v>5493</v>
      </c>
      <c r="D317" s="51" t="s">
        <v>5009</v>
      </c>
      <c r="E317" s="52" t="s">
        <v>6003</v>
      </c>
      <c r="F317" s="51" t="s">
        <v>692</v>
      </c>
      <c r="G317" s="52" t="s">
        <v>692</v>
      </c>
      <c r="H317" s="73" t="s">
        <v>966</v>
      </c>
      <c r="I317" s="50" t="s">
        <v>1102</v>
      </c>
      <c r="J317" s="73" t="s">
        <v>1112</v>
      </c>
      <c r="K317" s="50" t="str">
        <f t="shared" si="4"/>
        <v>"MO4"</v>
      </c>
      <c r="L317" s="73" t="s">
        <v>895</v>
      </c>
      <c r="M317" s="50" t="s">
        <v>5317</v>
      </c>
      <c r="N317" s="73" t="s">
        <v>3656</v>
      </c>
      <c r="O317" s="50" t="s">
        <v>5391</v>
      </c>
      <c r="P317" s="73" t="s">
        <v>3655</v>
      </c>
      <c r="Q317" s="50" t="s">
        <v>5391</v>
      </c>
      <c r="R317" s="73" t="s">
        <v>4906</v>
      </c>
      <c r="S317" s="50" t="s">
        <v>5391</v>
      </c>
      <c r="T317" s="73" t="s">
        <v>5008</v>
      </c>
      <c r="U317" s="50">
        <v>4</v>
      </c>
      <c r="V317" s="73" t="s">
        <v>5392</v>
      </c>
      <c r="W317" s="50" t="s">
        <v>5393</v>
      </c>
    </row>
    <row r="318" spans="1:23" s="25" customFormat="1" ht="6.95" customHeight="1" x14ac:dyDescent="0.25">
      <c r="A318" s="26">
        <v>294</v>
      </c>
      <c r="B318" s="30" t="s">
        <v>1101</v>
      </c>
      <c r="C318" s="61" t="s">
        <v>5493</v>
      </c>
      <c r="D318" s="51" t="s">
        <v>5009</v>
      </c>
      <c r="E318" s="52" t="s">
        <v>6003</v>
      </c>
      <c r="F318" s="51" t="s">
        <v>692</v>
      </c>
      <c r="G318" s="52" t="s">
        <v>692</v>
      </c>
      <c r="H318" s="73" t="s">
        <v>966</v>
      </c>
      <c r="I318" s="50" t="s">
        <v>1102</v>
      </c>
      <c r="J318" s="73" t="s">
        <v>1112</v>
      </c>
      <c r="K318" s="50" t="str">
        <f t="shared" si="4"/>
        <v>"MO5"</v>
      </c>
      <c r="L318" s="73" t="s">
        <v>895</v>
      </c>
      <c r="M318" s="50" t="s">
        <v>5318</v>
      </c>
      <c r="N318" s="73" t="s">
        <v>3656</v>
      </c>
      <c r="O318" s="50" t="s">
        <v>5391</v>
      </c>
      <c r="P318" s="73" t="s">
        <v>3655</v>
      </c>
      <c r="Q318" s="50" t="s">
        <v>5391</v>
      </c>
      <c r="R318" s="73" t="s">
        <v>4906</v>
      </c>
      <c r="S318" s="50" t="s">
        <v>5391</v>
      </c>
      <c r="T318" s="73" t="s">
        <v>5008</v>
      </c>
      <c r="U318" s="50">
        <v>5</v>
      </c>
      <c r="V318" s="73" t="s">
        <v>5392</v>
      </c>
      <c r="W318" s="50" t="s">
        <v>5393</v>
      </c>
    </row>
    <row r="319" spans="1:23" s="25" customFormat="1" ht="6.95" customHeight="1" x14ac:dyDescent="0.25">
      <c r="A319" s="26">
        <v>295</v>
      </c>
      <c r="B319" s="30" t="s">
        <v>1110</v>
      </c>
      <c r="C319" s="61" t="s">
        <v>5493</v>
      </c>
      <c r="D319" s="51" t="s">
        <v>5009</v>
      </c>
      <c r="E319" s="52" t="s">
        <v>6003</v>
      </c>
      <c r="F319" s="51" t="s">
        <v>692</v>
      </c>
      <c r="G319" s="52" t="s">
        <v>692</v>
      </c>
      <c r="H319" s="73" t="s">
        <v>966</v>
      </c>
      <c r="I319" s="50" t="s">
        <v>1102</v>
      </c>
      <c r="J319" s="73" t="s">
        <v>1112</v>
      </c>
      <c r="K319" s="50" t="str">
        <f t="shared" si="4"/>
        <v>"MO6"</v>
      </c>
      <c r="L319" s="73" t="s">
        <v>895</v>
      </c>
      <c r="M319" s="50" t="s">
        <v>5319</v>
      </c>
      <c r="N319" s="73" t="s">
        <v>3656</v>
      </c>
      <c r="O319" s="50" t="s">
        <v>5391</v>
      </c>
      <c r="P319" s="73" t="s">
        <v>3655</v>
      </c>
      <c r="Q319" s="50" t="s">
        <v>5391</v>
      </c>
      <c r="R319" s="73" t="s">
        <v>4906</v>
      </c>
      <c r="S319" s="50" t="s">
        <v>5391</v>
      </c>
      <c r="T319" s="73" t="s">
        <v>5008</v>
      </c>
      <c r="U319" s="50">
        <v>6</v>
      </c>
      <c r="V319" s="73" t="s">
        <v>5392</v>
      </c>
      <c r="W319" s="50" t="s">
        <v>5393</v>
      </c>
    </row>
    <row r="320" spans="1:23" s="25" customFormat="1" ht="6.95" customHeight="1" x14ac:dyDescent="0.25">
      <c r="A320" s="26">
        <v>319</v>
      </c>
      <c r="B320" s="30" t="s">
        <v>654</v>
      </c>
      <c r="C320" s="61" t="s">
        <v>5493</v>
      </c>
      <c r="D320" s="51" t="s">
        <v>5009</v>
      </c>
      <c r="E320" s="52" t="s">
        <v>6003</v>
      </c>
      <c r="F320" s="51" t="s">
        <v>692</v>
      </c>
      <c r="G320" s="52" t="s">
        <v>692</v>
      </c>
      <c r="H320" s="73" t="s">
        <v>966</v>
      </c>
      <c r="I320" s="50" t="s">
        <v>1060</v>
      </c>
      <c r="J320" s="73" t="s">
        <v>1112</v>
      </c>
      <c r="K320" s="50" t="str">
        <f t="shared" si="4"/>
        <v>"CAR"</v>
      </c>
      <c r="L320" s="73" t="s">
        <v>895</v>
      </c>
      <c r="M320" s="50" t="s">
        <v>5092</v>
      </c>
      <c r="N320" s="73" t="s">
        <v>3656</v>
      </c>
      <c r="O320" s="50" t="s">
        <v>3658</v>
      </c>
      <c r="P320" s="73" t="s">
        <v>3655</v>
      </c>
      <c r="Q320" s="50" t="s">
        <v>3654</v>
      </c>
      <c r="R320" s="73" t="s">
        <v>4906</v>
      </c>
      <c r="S320" s="50" t="s">
        <v>5391</v>
      </c>
      <c r="T320" s="73" t="s">
        <v>692</v>
      </c>
      <c r="U320" s="50" t="s">
        <v>692</v>
      </c>
      <c r="V320" s="73" t="s">
        <v>5392</v>
      </c>
      <c r="W320" s="50" t="s">
        <v>5092</v>
      </c>
    </row>
    <row r="321" spans="1:23" s="25" customFormat="1" ht="6.95" customHeight="1" x14ac:dyDescent="0.25">
      <c r="A321" s="26">
        <v>320</v>
      </c>
      <c r="B321" s="30" t="s">
        <v>764</v>
      </c>
      <c r="C321" s="61" t="s">
        <v>5493</v>
      </c>
      <c r="D321" s="51" t="s">
        <v>5009</v>
      </c>
      <c r="E321" s="52" t="s">
        <v>6003</v>
      </c>
      <c r="F321" s="51" t="s">
        <v>692</v>
      </c>
      <c r="G321" s="52" t="s">
        <v>692</v>
      </c>
      <c r="H321" s="73" t="s">
        <v>966</v>
      </c>
      <c r="I321" s="50" t="s">
        <v>1060</v>
      </c>
      <c r="J321" s="73" t="s">
        <v>1112</v>
      </c>
      <c r="K321" s="50" t="str">
        <f t="shared" si="4"/>
        <v>"CRT"</v>
      </c>
      <c r="L321" s="73" t="s">
        <v>895</v>
      </c>
      <c r="M321" s="50" t="s">
        <v>5365</v>
      </c>
      <c r="N321" s="73" t="s">
        <v>3656</v>
      </c>
      <c r="O321" s="50" t="s">
        <v>3662</v>
      </c>
      <c r="P321" s="73" t="s">
        <v>3655</v>
      </c>
      <c r="Q321" s="50" t="s">
        <v>3654</v>
      </c>
      <c r="R321" s="73" t="s">
        <v>4906</v>
      </c>
      <c r="S321" s="50" t="s">
        <v>5391</v>
      </c>
      <c r="T321" s="73" t="s">
        <v>692</v>
      </c>
      <c r="U321" s="50" t="s">
        <v>692</v>
      </c>
      <c r="V321" s="73" t="s">
        <v>5392</v>
      </c>
      <c r="W321" s="50" t="s">
        <v>5365</v>
      </c>
    </row>
    <row r="322" spans="1:23" s="25" customFormat="1" ht="6.95" customHeight="1" x14ac:dyDescent="0.25">
      <c r="A322" s="26">
        <v>321</v>
      </c>
      <c r="B322" s="30" t="s">
        <v>1093</v>
      </c>
      <c r="C322" s="61" t="s">
        <v>5493</v>
      </c>
      <c r="D322" s="51" t="s">
        <v>5009</v>
      </c>
      <c r="E322" s="52" t="s">
        <v>6003</v>
      </c>
      <c r="F322" s="51" t="s">
        <v>692</v>
      </c>
      <c r="G322" s="52" t="s">
        <v>692</v>
      </c>
      <c r="H322" s="73" t="s">
        <v>966</v>
      </c>
      <c r="I322" s="50" t="s">
        <v>1060</v>
      </c>
      <c r="J322" s="73" t="s">
        <v>1112</v>
      </c>
      <c r="K322" s="50" t="str">
        <f t="shared" ref="K322:K337" si="5">_xlfn.CONCAT("""",B322,"""")</f>
        <v>"DET"</v>
      </c>
      <c r="L322" s="73" t="s">
        <v>895</v>
      </c>
      <c r="M322" s="50" t="s">
        <v>5366</v>
      </c>
      <c r="N322" s="73" t="s">
        <v>3656</v>
      </c>
      <c r="O322" s="50" t="s">
        <v>3663</v>
      </c>
      <c r="P322" s="73" t="s">
        <v>3655</v>
      </c>
      <c r="Q322" s="50" t="s">
        <v>3654</v>
      </c>
      <c r="R322" s="73" t="s">
        <v>4906</v>
      </c>
      <c r="S322" s="50" t="s">
        <v>5391</v>
      </c>
      <c r="T322" s="73" t="s">
        <v>692</v>
      </c>
      <c r="U322" s="50" t="s">
        <v>692</v>
      </c>
      <c r="V322" s="73" t="s">
        <v>5392</v>
      </c>
      <c r="W322" s="50" t="s">
        <v>5366</v>
      </c>
    </row>
    <row r="323" spans="1:23" s="25" customFormat="1" ht="6.95" customHeight="1" x14ac:dyDescent="0.25">
      <c r="A323" s="26">
        <v>322</v>
      </c>
      <c r="B323" s="30" t="s">
        <v>652</v>
      </c>
      <c r="C323" s="61" t="s">
        <v>5493</v>
      </c>
      <c r="D323" s="51" t="s">
        <v>5009</v>
      </c>
      <c r="E323" s="52" t="s">
        <v>6003</v>
      </c>
      <c r="F323" s="51" t="s">
        <v>692</v>
      </c>
      <c r="G323" s="52" t="s">
        <v>692</v>
      </c>
      <c r="H323" s="73" t="s">
        <v>966</v>
      </c>
      <c r="I323" s="50" t="s">
        <v>1060</v>
      </c>
      <c r="J323" s="73" t="s">
        <v>1112</v>
      </c>
      <c r="K323" s="50" t="str">
        <f t="shared" si="5"/>
        <v>"FOL"</v>
      </c>
      <c r="L323" s="73" t="s">
        <v>895</v>
      </c>
      <c r="M323" s="50" t="s">
        <v>5093</v>
      </c>
      <c r="N323" s="73" t="s">
        <v>3656</v>
      </c>
      <c r="O323" s="50" t="s">
        <v>3659</v>
      </c>
      <c r="P323" s="73" t="s">
        <v>3655</v>
      </c>
      <c r="Q323" s="50" t="s">
        <v>3654</v>
      </c>
      <c r="R323" s="73" t="s">
        <v>4906</v>
      </c>
      <c r="S323" s="50" t="s">
        <v>5391</v>
      </c>
      <c r="T323" s="73" t="s">
        <v>692</v>
      </c>
      <c r="U323" s="50" t="s">
        <v>692</v>
      </c>
      <c r="V323" s="73" t="s">
        <v>5392</v>
      </c>
      <c r="W323" s="50" t="s">
        <v>5093</v>
      </c>
    </row>
    <row r="324" spans="1:23" s="25" customFormat="1" ht="6.95" customHeight="1" x14ac:dyDescent="0.25">
      <c r="A324" s="26">
        <v>323</v>
      </c>
      <c r="B324" s="30" t="s">
        <v>656</v>
      </c>
      <c r="C324" s="61" t="s">
        <v>5493</v>
      </c>
      <c r="D324" s="51" t="s">
        <v>5009</v>
      </c>
      <c r="E324" s="52" t="s">
        <v>6003</v>
      </c>
      <c r="F324" s="51" t="s">
        <v>692</v>
      </c>
      <c r="G324" s="52" t="s">
        <v>692</v>
      </c>
      <c r="H324" s="73" t="s">
        <v>966</v>
      </c>
      <c r="I324" s="50" t="s">
        <v>1060</v>
      </c>
      <c r="J324" s="73" t="s">
        <v>1112</v>
      </c>
      <c r="K324" s="50" t="str">
        <f t="shared" si="5"/>
        <v>"LEG"</v>
      </c>
      <c r="L324" s="73" t="s">
        <v>895</v>
      </c>
      <c r="M324" s="50" t="s">
        <v>5094</v>
      </c>
      <c r="N324" s="73" t="s">
        <v>3656</v>
      </c>
      <c r="O324" s="50" t="s">
        <v>3664</v>
      </c>
      <c r="P324" s="73" t="s">
        <v>3655</v>
      </c>
      <c r="Q324" s="50" t="s">
        <v>3654</v>
      </c>
      <c r="R324" s="73" t="s">
        <v>4906</v>
      </c>
      <c r="S324" s="50" t="s">
        <v>5391</v>
      </c>
      <c r="T324" s="73" t="s">
        <v>692</v>
      </c>
      <c r="U324" s="50" t="s">
        <v>692</v>
      </c>
      <c r="V324" s="73" t="s">
        <v>5392</v>
      </c>
      <c r="W324" s="50" t="s">
        <v>5094</v>
      </c>
    </row>
    <row r="325" spans="1:23" s="25" customFormat="1" ht="6.95" customHeight="1" x14ac:dyDescent="0.25">
      <c r="A325" s="26">
        <v>324</v>
      </c>
      <c r="B325" s="30" t="s">
        <v>1096</v>
      </c>
      <c r="C325" s="61" t="s">
        <v>5493</v>
      </c>
      <c r="D325" s="51" t="s">
        <v>5009</v>
      </c>
      <c r="E325" s="52" t="s">
        <v>6003</v>
      </c>
      <c r="F325" s="51" t="s">
        <v>692</v>
      </c>
      <c r="G325" s="52" t="s">
        <v>692</v>
      </c>
      <c r="H325" s="73" t="s">
        <v>966</v>
      </c>
      <c r="I325" s="50" t="s">
        <v>1060</v>
      </c>
      <c r="J325" s="73" t="s">
        <v>1112</v>
      </c>
      <c r="K325" s="50" t="str">
        <f t="shared" si="5"/>
        <v>"NRT"</v>
      </c>
      <c r="L325" s="73" t="s">
        <v>895</v>
      </c>
      <c r="M325" s="50" t="s">
        <v>5367</v>
      </c>
      <c r="N325" s="73" t="s">
        <v>3656</v>
      </c>
      <c r="O325" s="50" t="s">
        <v>3660</v>
      </c>
      <c r="P325" s="73" t="s">
        <v>3655</v>
      </c>
      <c r="Q325" s="50" t="s">
        <v>3654</v>
      </c>
      <c r="R325" s="73" t="s">
        <v>4906</v>
      </c>
      <c r="S325" s="50" t="s">
        <v>5391</v>
      </c>
      <c r="T325" s="73" t="s">
        <v>692</v>
      </c>
      <c r="U325" s="50" t="s">
        <v>692</v>
      </c>
      <c r="V325" s="73" t="s">
        <v>5392</v>
      </c>
      <c r="W325" s="50" t="s">
        <v>5367</v>
      </c>
    </row>
    <row r="326" spans="1:23" s="25" customFormat="1" ht="6.95" customHeight="1" x14ac:dyDescent="0.25">
      <c r="A326" s="26">
        <v>325</v>
      </c>
      <c r="B326" s="30" t="s">
        <v>766</v>
      </c>
      <c r="C326" s="61" t="s">
        <v>5493</v>
      </c>
      <c r="D326" s="51" t="s">
        <v>5009</v>
      </c>
      <c r="E326" s="52" t="s">
        <v>6003</v>
      </c>
      <c r="F326" s="51" t="s">
        <v>692</v>
      </c>
      <c r="G326" s="52" t="s">
        <v>692</v>
      </c>
      <c r="H326" s="73" t="s">
        <v>966</v>
      </c>
      <c r="I326" s="50" t="s">
        <v>1060</v>
      </c>
      <c r="J326" s="73" t="s">
        <v>1112</v>
      </c>
      <c r="K326" s="50" t="str">
        <f t="shared" si="5"/>
        <v>"PRA"</v>
      </c>
      <c r="L326" s="73" t="s">
        <v>895</v>
      </c>
      <c r="M326" s="50" t="s">
        <v>5095</v>
      </c>
      <c r="N326" s="73" t="s">
        <v>3656</v>
      </c>
      <c r="O326" s="50" t="s">
        <v>3659</v>
      </c>
      <c r="P326" s="73" t="s">
        <v>3655</v>
      </c>
      <c r="Q326" s="50" t="s">
        <v>3654</v>
      </c>
      <c r="R326" s="73" t="s">
        <v>4906</v>
      </c>
      <c r="S326" s="50" t="s">
        <v>5391</v>
      </c>
      <c r="T326" s="73" t="s">
        <v>692</v>
      </c>
      <c r="U326" s="50" t="s">
        <v>692</v>
      </c>
      <c r="V326" s="73" t="s">
        <v>5392</v>
      </c>
      <c r="W326" s="50" t="s">
        <v>5095</v>
      </c>
    </row>
    <row r="327" spans="1:23" s="25" customFormat="1" ht="6.95" customHeight="1" x14ac:dyDescent="0.25">
      <c r="A327" s="26">
        <v>326</v>
      </c>
      <c r="B327" s="30" t="s">
        <v>3665</v>
      </c>
      <c r="C327" s="61" t="s">
        <v>5493</v>
      </c>
      <c r="D327" s="51" t="s">
        <v>5009</v>
      </c>
      <c r="E327" s="52" t="s">
        <v>6003</v>
      </c>
      <c r="F327" s="51" t="s">
        <v>692</v>
      </c>
      <c r="G327" s="52" t="s">
        <v>692</v>
      </c>
      <c r="H327" s="73" t="s">
        <v>966</v>
      </c>
      <c r="I327" s="50" t="s">
        <v>1060</v>
      </c>
      <c r="J327" s="73" t="s">
        <v>1112</v>
      </c>
      <c r="K327" s="50" t="str">
        <f t="shared" si="5"/>
        <v>"REV"</v>
      </c>
      <c r="L327" s="73" t="s">
        <v>895</v>
      </c>
      <c r="M327" s="50" t="s">
        <v>5368</v>
      </c>
      <c r="N327" s="73" t="s">
        <v>3656</v>
      </c>
      <c r="O327" s="50" t="s">
        <v>3666</v>
      </c>
      <c r="P327" s="73" t="s">
        <v>3655</v>
      </c>
      <c r="Q327" s="50" t="s">
        <v>3654</v>
      </c>
      <c r="R327" s="73" t="s">
        <v>4906</v>
      </c>
      <c r="S327" s="50" t="s">
        <v>5391</v>
      </c>
      <c r="T327" s="73" t="s">
        <v>692</v>
      </c>
      <c r="U327" s="50" t="s">
        <v>692</v>
      </c>
      <c r="V327" s="73" t="s">
        <v>5392</v>
      </c>
      <c r="W327" s="50" t="s">
        <v>5368</v>
      </c>
    </row>
    <row r="328" spans="1:23" s="25" customFormat="1" ht="6.95" customHeight="1" x14ac:dyDescent="0.25">
      <c r="A328" s="26">
        <v>327</v>
      </c>
      <c r="B328" s="30" t="s">
        <v>36</v>
      </c>
      <c r="C328" s="61" t="s">
        <v>5493</v>
      </c>
      <c r="D328" s="51" t="s">
        <v>5009</v>
      </c>
      <c r="E328" s="52" t="s">
        <v>6003</v>
      </c>
      <c r="F328" s="51" t="s">
        <v>692</v>
      </c>
      <c r="G328" s="52" t="s">
        <v>692</v>
      </c>
      <c r="H328" s="73" t="s">
        <v>966</v>
      </c>
      <c r="I328" s="50" t="s">
        <v>1060</v>
      </c>
      <c r="J328" s="73" t="s">
        <v>1112</v>
      </c>
      <c r="K328" s="50" t="str">
        <f t="shared" si="5"/>
        <v>"SIM"</v>
      </c>
      <c r="L328" s="73" t="s">
        <v>895</v>
      </c>
      <c r="M328" s="50" t="s">
        <v>5096</v>
      </c>
      <c r="N328" s="73" t="s">
        <v>3656</v>
      </c>
      <c r="O328" s="50" t="s">
        <v>3660</v>
      </c>
      <c r="P328" s="73" t="s">
        <v>3655</v>
      </c>
      <c r="Q328" s="50" t="s">
        <v>3654</v>
      </c>
      <c r="R328" s="73" t="s">
        <v>4906</v>
      </c>
      <c r="S328" s="50" t="s">
        <v>5391</v>
      </c>
      <c r="T328" s="73" t="s">
        <v>692</v>
      </c>
      <c r="U328" s="50" t="s">
        <v>692</v>
      </c>
      <c r="V328" s="73" t="s">
        <v>5392</v>
      </c>
      <c r="W328" s="50" t="s">
        <v>5096</v>
      </c>
    </row>
    <row r="329" spans="1:23" s="25" customFormat="1" ht="6.95" customHeight="1" x14ac:dyDescent="0.25">
      <c r="A329" s="26">
        <v>328</v>
      </c>
      <c r="B329" s="30" t="s">
        <v>1061</v>
      </c>
      <c r="C329" s="61" t="s">
        <v>5493</v>
      </c>
      <c r="D329" s="51" t="s">
        <v>5009</v>
      </c>
      <c r="E329" s="52" t="s">
        <v>6003</v>
      </c>
      <c r="F329" s="51" t="s">
        <v>692</v>
      </c>
      <c r="G329" s="52" t="s">
        <v>692</v>
      </c>
      <c r="H329" s="73" t="s">
        <v>966</v>
      </c>
      <c r="I329" s="50" t="s">
        <v>1060</v>
      </c>
      <c r="J329" s="73" t="s">
        <v>1112</v>
      </c>
      <c r="K329" s="50" t="str">
        <f t="shared" si="5"/>
        <v>"TAG"</v>
      </c>
      <c r="L329" s="73" t="s">
        <v>895</v>
      </c>
      <c r="M329" s="50" t="s">
        <v>5369</v>
      </c>
      <c r="N329" s="73" t="s">
        <v>3656</v>
      </c>
      <c r="O329" s="50" t="s">
        <v>3657</v>
      </c>
      <c r="P329" s="73" t="s">
        <v>3655</v>
      </c>
      <c r="Q329" s="50" t="s">
        <v>3654</v>
      </c>
      <c r="R329" s="73" t="s">
        <v>4906</v>
      </c>
      <c r="S329" s="50" t="s">
        <v>5391</v>
      </c>
      <c r="T329" s="73" t="s">
        <v>692</v>
      </c>
      <c r="U329" s="50" t="s">
        <v>692</v>
      </c>
      <c r="V329" s="73" t="s">
        <v>5392</v>
      </c>
      <c r="W329" s="50" t="s">
        <v>5369</v>
      </c>
    </row>
    <row r="330" spans="1:23" s="25" customFormat="1" ht="6.95" customHeight="1" x14ac:dyDescent="0.25">
      <c r="A330" s="26">
        <v>329</v>
      </c>
      <c r="B330" s="30" t="s">
        <v>3667</v>
      </c>
      <c r="C330" s="61" t="s">
        <v>5493</v>
      </c>
      <c r="D330" s="51" t="s">
        <v>5009</v>
      </c>
      <c r="E330" s="52" t="s">
        <v>6003</v>
      </c>
      <c r="F330" s="51" t="s">
        <v>692</v>
      </c>
      <c r="G330" s="52" t="s">
        <v>692</v>
      </c>
      <c r="H330" s="73" t="s">
        <v>966</v>
      </c>
      <c r="I330" s="50" t="s">
        <v>1060</v>
      </c>
      <c r="J330" s="73" t="s">
        <v>1112</v>
      </c>
      <c r="K330" s="50" t="str">
        <f t="shared" si="5"/>
        <v>"TBL"</v>
      </c>
      <c r="L330" s="73" t="s">
        <v>895</v>
      </c>
      <c r="M330" s="50" t="s">
        <v>5370</v>
      </c>
      <c r="N330" s="73" t="s">
        <v>3656</v>
      </c>
      <c r="O330" s="50" t="s">
        <v>3669</v>
      </c>
      <c r="P330" s="73" t="s">
        <v>3655</v>
      </c>
      <c r="Q330" s="50" t="s">
        <v>3654</v>
      </c>
      <c r="R330" s="73" t="s">
        <v>4906</v>
      </c>
      <c r="S330" s="50" t="s">
        <v>5391</v>
      </c>
      <c r="T330" s="73" t="s">
        <v>692</v>
      </c>
      <c r="U330" s="50" t="s">
        <v>692</v>
      </c>
      <c r="V330" s="73" t="s">
        <v>5392</v>
      </c>
      <c r="W330" s="50" t="s">
        <v>5370</v>
      </c>
    </row>
    <row r="331" spans="1:23" s="25" customFormat="1" ht="6.95" customHeight="1" x14ac:dyDescent="0.25">
      <c r="A331" s="26">
        <v>330</v>
      </c>
      <c r="B331" s="30" t="s">
        <v>3670</v>
      </c>
      <c r="C331" s="61" t="s">
        <v>5493</v>
      </c>
      <c r="D331" s="51" t="s">
        <v>5009</v>
      </c>
      <c r="E331" s="52" t="s">
        <v>6003</v>
      </c>
      <c r="F331" s="51" t="s">
        <v>692</v>
      </c>
      <c r="G331" s="52" t="s">
        <v>692</v>
      </c>
      <c r="H331" s="73" t="s">
        <v>966</v>
      </c>
      <c r="I331" s="50" t="s">
        <v>1060</v>
      </c>
      <c r="J331" s="73" t="s">
        <v>1112</v>
      </c>
      <c r="K331" s="50" t="str">
        <f t="shared" si="5"/>
        <v>"TXT"</v>
      </c>
      <c r="L331" s="73" t="s">
        <v>895</v>
      </c>
      <c r="M331" s="50" t="s">
        <v>5371</v>
      </c>
      <c r="N331" s="73" t="s">
        <v>3656</v>
      </c>
      <c r="O331" s="50" t="s">
        <v>3664</v>
      </c>
      <c r="P331" s="73" t="s">
        <v>3655</v>
      </c>
      <c r="Q331" s="50" t="s">
        <v>3654</v>
      </c>
      <c r="R331" s="73" t="s">
        <v>4906</v>
      </c>
      <c r="S331" s="50" t="s">
        <v>5391</v>
      </c>
      <c r="T331" s="73" t="s">
        <v>692</v>
      </c>
      <c r="U331" s="50" t="s">
        <v>692</v>
      </c>
      <c r="V331" s="73" t="s">
        <v>5392</v>
      </c>
      <c r="W331" s="50" t="s">
        <v>5371</v>
      </c>
    </row>
    <row r="332" spans="1:23" s="25" customFormat="1" ht="6.95" customHeight="1" x14ac:dyDescent="0.25">
      <c r="A332" s="26">
        <v>331</v>
      </c>
      <c r="B332" s="30" t="s">
        <v>203</v>
      </c>
      <c r="C332" s="61" t="s">
        <v>5493</v>
      </c>
      <c r="D332" s="51" t="s">
        <v>5009</v>
      </c>
      <c r="E332" s="52" t="s">
        <v>6003</v>
      </c>
      <c r="F332" s="51" t="s">
        <v>692</v>
      </c>
      <c r="G332" s="52" t="s">
        <v>692</v>
      </c>
      <c r="H332" s="73" t="s">
        <v>966</v>
      </c>
      <c r="I332" s="50" t="s">
        <v>1060</v>
      </c>
      <c r="J332" s="73" t="s">
        <v>1112</v>
      </c>
      <c r="K332" s="50" t="str">
        <f t="shared" si="5"/>
        <v>"VIS"</v>
      </c>
      <c r="L332" s="73" t="s">
        <v>895</v>
      </c>
      <c r="M332" s="50" t="s">
        <v>5372</v>
      </c>
      <c r="N332" s="73" t="s">
        <v>3656</v>
      </c>
      <c r="O332" s="50" t="s">
        <v>3661</v>
      </c>
      <c r="P332" s="73" t="s">
        <v>3655</v>
      </c>
      <c r="Q332" s="50" t="s">
        <v>3654</v>
      </c>
      <c r="R332" s="73" t="s">
        <v>4906</v>
      </c>
      <c r="S332" s="50" t="s">
        <v>5391</v>
      </c>
      <c r="T332" s="73" t="s">
        <v>692</v>
      </c>
      <c r="U332" s="50" t="s">
        <v>692</v>
      </c>
      <c r="V332" s="73" t="s">
        <v>5392</v>
      </c>
      <c r="W332" s="50" t="s">
        <v>5372</v>
      </c>
    </row>
    <row r="333" spans="1:23" s="25" customFormat="1" ht="6.95" customHeight="1" x14ac:dyDescent="0.25">
      <c r="A333" s="26">
        <v>332</v>
      </c>
      <c r="B333" s="30" t="s">
        <v>1063</v>
      </c>
      <c r="C333" s="61" t="s">
        <v>5493</v>
      </c>
      <c r="D333" s="51" t="s">
        <v>5009</v>
      </c>
      <c r="E333" s="52" t="s">
        <v>6003</v>
      </c>
      <c r="F333" s="51" t="s">
        <v>692</v>
      </c>
      <c r="G333" s="52" t="s">
        <v>692</v>
      </c>
      <c r="H333" s="73" t="s">
        <v>966</v>
      </c>
      <c r="I333" s="50" t="s">
        <v>1067</v>
      </c>
      <c r="J333" s="73" t="s">
        <v>1112</v>
      </c>
      <c r="K333" s="50" t="str">
        <f t="shared" si="5"/>
        <v>"A0"</v>
      </c>
      <c r="L333" s="73" t="s">
        <v>895</v>
      </c>
      <c r="M333" s="50" t="s">
        <v>5373</v>
      </c>
      <c r="N333" s="73" t="s">
        <v>3656</v>
      </c>
      <c r="O333" s="50" t="s">
        <v>3658</v>
      </c>
      <c r="P333" s="73" t="s">
        <v>3655</v>
      </c>
      <c r="Q333" s="50" t="s">
        <v>3654</v>
      </c>
      <c r="R333" s="73" t="s">
        <v>4906</v>
      </c>
      <c r="S333" s="50" t="s">
        <v>5391</v>
      </c>
      <c r="T333" s="73" t="s">
        <v>692</v>
      </c>
      <c r="U333" s="50" t="s">
        <v>692</v>
      </c>
      <c r="V333" s="73" t="s">
        <v>5392</v>
      </c>
      <c r="W333" s="50" t="s">
        <v>5373</v>
      </c>
    </row>
    <row r="334" spans="1:23" s="25" customFormat="1" ht="6.95" customHeight="1" x14ac:dyDescent="0.25">
      <c r="A334" s="26">
        <v>333</v>
      </c>
      <c r="B334" s="30" t="s">
        <v>1062</v>
      </c>
      <c r="C334" s="61" t="s">
        <v>5493</v>
      </c>
      <c r="D334" s="51" t="s">
        <v>5009</v>
      </c>
      <c r="E334" s="52" t="s">
        <v>6003</v>
      </c>
      <c r="F334" s="51" t="s">
        <v>692</v>
      </c>
      <c r="G334" s="52" t="s">
        <v>692</v>
      </c>
      <c r="H334" s="73" t="s">
        <v>966</v>
      </c>
      <c r="I334" s="50" t="s">
        <v>1067</v>
      </c>
      <c r="J334" s="73" t="s">
        <v>1112</v>
      </c>
      <c r="K334" s="50" t="str">
        <f t="shared" si="5"/>
        <v>"A1"</v>
      </c>
      <c r="L334" s="73" t="s">
        <v>895</v>
      </c>
      <c r="M334" s="50" t="s">
        <v>5374</v>
      </c>
      <c r="N334" s="73" t="s">
        <v>3656</v>
      </c>
      <c r="O334" s="50" t="s">
        <v>3658</v>
      </c>
      <c r="P334" s="73" t="s">
        <v>3655</v>
      </c>
      <c r="Q334" s="50" t="s">
        <v>3654</v>
      </c>
      <c r="R334" s="73" t="s">
        <v>4906</v>
      </c>
      <c r="S334" s="50" t="s">
        <v>5391</v>
      </c>
      <c r="T334" s="73" t="s">
        <v>692</v>
      </c>
      <c r="U334" s="50" t="s">
        <v>692</v>
      </c>
      <c r="V334" s="73" t="s">
        <v>5392</v>
      </c>
      <c r="W334" s="50" t="s">
        <v>5374</v>
      </c>
    </row>
    <row r="335" spans="1:23" s="25" customFormat="1" ht="6.95" customHeight="1" x14ac:dyDescent="0.25">
      <c r="A335" s="26">
        <v>334</v>
      </c>
      <c r="B335" s="30" t="s">
        <v>1064</v>
      </c>
      <c r="C335" s="61" t="s">
        <v>5493</v>
      </c>
      <c r="D335" s="51" t="s">
        <v>5009</v>
      </c>
      <c r="E335" s="52" t="s">
        <v>6003</v>
      </c>
      <c r="F335" s="51" t="s">
        <v>692</v>
      </c>
      <c r="G335" s="52" t="s">
        <v>692</v>
      </c>
      <c r="H335" s="73" t="s">
        <v>966</v>
      </c>
      <c r="I335" s="50" t="s">
        <v>1067</v>
      </c>
      <c r="J335" s="73" t="s">
        <v>1112</v>
      </c>
      <c r="K335" s="50" t="str">
        <f t="shared" si="5"/>
        <v>"A2"</v>
      </c>
      <c r="L335" s="73" t="s">
        <v>895</v>
      </c>
      <c r="M335" s="50" t="s">
        <v>5375</v>
      </c>
      <c r="N335" s="73" t="s">
        <v>3656</v>
      </c>
      <c r="O335" s="50" t="s">
        <v>3658</v>
      </c>
      <c r="P335" s="73" t="s">
        <v>3655</v>
      </c>
      <c r="Q335" s="50" t="s">
        <v>3654</v>
      </c>
      <c r="R335" s="73" t="s">
        <v>4906</v>
      </c>
      <c r="S335" s="50" t="s">
        <v>5391</v>
      </c>
      <c r="T335" s="73" t="s">
        <v>692</v>
      </c>
      <c r="U335" s="50" t="s">
        <v>692</v>
      </c>
      <c r="V335" s="73" t="s">
        <v>5392</v>
      </c>
      <c r="W335" s="50" t="s">
        <v>5375</v>
      </c>
    </row>
    <row r="336" spans="1:23" s="25" customFormat="1" ht="6.95" customHeight="1" x14ac:dyDescent="0.25">
      <c r="A336" s="26">
        <v>335</v>
      </c>
      <c r="B336" s="30" t="s">
        <v>1065</v>
      </c>
      <c r="C336" s="61" t="s">
        <v>5493</v>
      </c>
      <c r="D336" s="51" t="s">
        <v>5009</v>
      </c>
      <c r="E336" s="52" t="s">
        <v>6003</v>
      </c>
      <c r="F336" s="51" t="s">
        <v>692</v>
      </c>
      <c r="G336" s="52" t="s">
        <v>692</v>
      </c>
      <c r="H336" s="73" t="s">
        <v>966</v>
      </c>
      <c r="I336" s="50" t="s">
        <v>1067</v>
      </c>
      <c r="J336" s="73" t="s">
        <v>1112</v>
      </c>
      <c r="K336" s="50" t="str">
        <f t="shared" si="5"/>
        <v>"A3"</v>
      </c>
      <c r="L336" s="73" t="s">
        <v>895</v>
      </c>
      <c r="M336" s="50" t="s">
        <v>5376</v>
      </c>
      <c r="N336" s="73" t="s">
        <v>3656</v>
      </c>
      <c r="O336" s="50" t="s">
        <v>3658</v>
      </c>
      <c r="P336" s="73" t="s">
        <v>3655</v>
      </c>
      <c r="Q336" s="50" t="s">
        <v>3654</v>
      </c>
      <c r="R336" s="73" t="s">
        <v>4906</v>
      </c>
      <c r="S336" s="50" t="s">
        <v>5391</v>
      </c>
      <c r="T336" s="73" t="s">
        <v>692</v>
      </c>
      <c r="U336" s="50" t="s">
        <v>692</v>
      </c>
      <c r="V336" s="73" t="s">
        <v>5392</v>
      </c>
      <c r="W336" s="50" t="s">
        <v>5376</v>
      </c>
    </row>
    <row r="337" spans="1:23" s="25" customFormat="1" ht="6.95" customHeight="1" x14ac:dyDescent="0.25">
      <c r="A337" s="26">
        <v>336</v>
      </c>
      <c r="B337" s="27" t="s">
        <v>1066</v>
      </c>
      <c r="C337" s="61" t="s">
        <v>5493</v>
      </c>
      <c r="D337" s="51" t="s">
        <v>5009</v>
      </c>
      <c r="E337" s="52" t="s">
        <v>6003</v>
      </c>
      <c r="F337" s="51" t="s">
        <v>692</v>
      </c>
      <c r="G337" s="52" t="s">
        <v>692</v>
      </c>
      <c r="H337" s="73" t="s">
        <v>966</v>
      </c>
      <c r="I337" s="50" t="s">
        <v>1067</v>
      </c>
      <c r="J337" s="73" t="s">
        <v>1112</v>
      </c>
      <c r="K337" s="50" t="str">
        <f t="shared" si="5"/>
        <v>"A4"</v>
      </c>
      <c r="L337" s="73" t="s">
        <v>895</v>
      </c>
      <c r="M337" s="50" t="s">
        <v>5377</v>
      </c>
      <c r="N337" s="73" t="s">
        <v>3656</v>
      </c>
      <c r="O337" s="50" t="s">
        <v>3658</v>
      </c>
      <c r="P337" s="73" t="s">
        <v>3655</v>
      </c>
      <c r="Q337" s="50" t="s">
        <v>3654</v>
      </c>
      <c r="R337" s="73" t="s">
        <v>4906</v>
      </c>
      <c r="S337" s="50" t="s">
        <v>5391</v>
      </c>
      <c r="T337" s="73" t="s">
        <v>692</v>
      </c>
      <c r="U337" s="50" t="s">
        <v>692</v>
      </c>
      <c r="V337" s="73" t="s">
        <v>5392</v>
      </c>
      <c r="W337" s="50" t="s">
        <v>5377</v>
      </c>
    </row>
  </sheetData>
  <sortState xmlns:xlrd2="http://schemas.microsoft.com/office/spreadsheetml/2017/richdata2" ref="A2:W337">
    <sortCondition ref="C1:C337"/>
  </sortState>
  <phoneticPr fontId="1" type="noConversion"/>
  <conditionalFormatting sqref="B1:B337">
    <cfRule type="duplicateValues" dxfId="2" priority="148"/>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8519-6544-4681-A688-FA516DE28F7A}">
  <dimension ref="A1:AR289"/>
  <sheetViews>
    <sheetView zoomScale="235" zoomScaleNormal="235" workbookViewId="0">
      <pane ySplit="1" topLeftCell="A2" activePane="bottomLeft" state="frozen"/>
      <selection pane="bottomLeft" activeCell="D15" sqref="D15"/>
    </sheetView>
  </sheetViews>
  <sheetFormatPr defaultRowHeight="7.35" customHeight="1" x14ac:dyDescent="0.25"/>
  <cols>
    <col min="1" max="1" width="3.140625" style="1" customWidth="1"/>
    <col min="2" max="2" width="23.7109375" customWidth="1"/>
    <col min="3" max="3" width="3.140625" style="1" customWidth="1"/>
    <col min="4" max="4" width="10.7109375" customWidth="1"/>
    <col min="5" max="5" width="3.140625" style="20" customWidth="1"/>
    <col min="6" max="6" width="10.7109375" style="18" customWidth="1"/>
    <col min="7" max="7" width="3.140625" style="20" customWidth="1"/>
    <col min="8" max="8" width="9" style="18" customWidth="1"/>
    <col min="9" max="9" width="3.140625" style="1" customWidth="1"/>
    <col min="10" max="10" width="9.42578125" style="18" bestFit="1" customWidth="1"/>
    <col min="11" max="11" width="3.140625" style="1" customWidth="1"/>
    <col min="12" max="12" width="11.85546875" style="18" bestFit="1" customWidth="1"/>
    <col min="13" max="13" width="3.140625" style="1" customWidth="1"/>
    <col min="14" max="14" width="13.7109375" style="18" bestFit="1" customWidth="1"/>
    <col min="15" max="15" width="3.140625" style="1" customWidth="1"/>
    <col min="16" max="16" width="10.140625" style="18" bestFit="1" customWidth="1"/>
    <col min="17" max="17" width="3.140625" style="1" customWidth="1"/>
    <col min="18" max="18" width="14.7109375" style="18" bestFit="1" customWidth="1"/>
    <col min="19" max="19" width="3.140625" style="1" customWidth="1"/>
    <col min="20" max="20" width="12.7109375" style="18" customWidth="1"/>
    <col min="21" max="21" width="3.140625" style="20" customWidth="1"/>
    <col min="22" max="22" width="12.5703125" style="18" customWidth="1"/>
    <col min="23" max="23" width="3.140625" style="20" customWidth="1"/>
    <col min="24" max="24" width="12.5703125" style="18" customWidth="1"/>
    <col min="25" max="25" width="3.140625" style="20" customWidth="1"/>
    <col min="26" max="26" width="7.28515625" style="18" customWidth="1"/>
    <col min="27" max="27" width="3.140625" style="20" customWidth="1"/>
    <col min="28" max="28" width="10" style="18" customWidth="1"/>
    <col min="29" max="29" width="3.140625" style="1" customWidth="1"/>
    <col min="30" max="30" width="15.85546875" style="18" bestFit="1" customWidth="1"/>
    <col min="31" max="31" width="3.140625" style="1" customWidth="1"/>
    <col min="32" max="32" width="10.5703125" customWidth="1"/>
    <col min="33" max="33" width="2.85546875" style="1" customWidth="1"/>
    <col min="34" max="34" width="15.42578125" customWidth="1"/>
    <col min="35" max="35" width="2.85546875" style="1" customWidth="1"/>
    <col min="36" max="36" width="27" bestFit="1" customWidth="1"/>
    <col min="37" max="37" width="3.7109375" style="1" customWidth="1"/>
    <col min="38" max="38" width="13.85546875" customWidth="1"/>
    <col min="39" max="39" width="3.7109375" style="1" customWidth="1"/>
    <col min="40" max="40" width="19" customWidth="1"/>
    <col min="41" max="41" width="3.5703125" style="1" customWidth="1"/>
    <col min="42" max="42" width="14.42578125" style="18" bestFit="1" customWidth="1"/>
    <col min="43" max="43" width="3.5703125" style="1" customWidth="1"/>
    <col min="44" max="44" width="10.28515625" style="18" customWidth="1"/>
  </cols>
  <sheetData>
    <row r="1" spans="1:44" ht="21.75" customHeight="1" x14ac:dyDescent="0.25">
      <c r="A1" s="16" t="s">
        <v>60</v>
      </c>
      <c r="B1" s="17" t="s">
        <v>972</v>
      </c>
      <c r="C1" s="16" t="s">
        <v>677</v>
      </c>
      <c r="D1" s="17" t="s">
        <v>807</v>
      </c>
      <c r="E1" s="16" t="s">
        <v>678</v>
      </c>
      <c r="F1" s="17" t="s">
        <v>973</v>
      </c>
      <c r="G1" s="16" t="s">
        <v>679</v>
      </c>
      <c r="H1" s="17" t="s">
        <v>790</v>
      </c>
      <c r="I1" s="16" t="s">
        <v>680</v>
      </c>
      <c r="J1" s="17" t="s">
        <v>974</v>
      </c>
      <c r="K1" s="16" t="s">
        <v>482</v>
      </c>
      <c r="L1" s="17" t="s">
        <v>4993</v>
      </c>
      <c r="M1" s="16" t="s">
        <v>483</v>
      </c>
      <c r="N1" s="17" t="s">
        <v>5010</v>
      </c>
      <c r="O1" s="16" t="s">
        <v>484</v>
      </c>
      <c r="P1" s="17" t="s">
        <v>791</v>
      </c>
      <c r="Q1" s="16" t="s">
        <v>485</v>
      </c>
      <c r="R1" s="17" t="s">
        <v>982</v>
      </c>
      <c r="S1" s="16" t="s">
        <v>486</v>
      </c>
      <c r="T1" s="17" t="s">
        <v>984</v>
      </c>
      <c r="U1" s="16" t="s">
        <v>712</v>
      </c>
      <c r="V1" s="17" t="s">
        <v>1027</v>
      </c>
      <c r="W1" s="16" t="s">
        <v>713</v>
      </c>
      <c r="X1" s="17" t="s">
        <v>1015</v>
      </c>
      <c r="Y1" s="16" t="s">
        <v>760</v>
      </c>
      <c r="Z1" s="17" t="s">
        <v>758</v>
      </c>
      <c r="AA1" s="16" t="s">
        <v>763</v>
      </c>
      <c r="AB1" s="17" t="s">
        <v>757</v>
      </c>
      <c r="AC1" s="16" t="s">
        <v>825</v>
      </c>
      <c r="AD1" s="17" t="s">
        <v>969</v>
      </c>
      <c r="AE1" s="16" t="s">
        <v>988</v>
      </c>
      <c r="AF1" s="17" t="s">
        <v>1028</v>
      </c>
      <c r="AG1" s="16" t="s">
        <v>989</v>
      </c>
      <c r="AH1" s="17" t="s">
        <v>1029</v>
      </c>
      <c r="AI1" s="16" t="s">
        <v>990</v>
      </c>
      <c r="AJ1" s="17" t="s">
        <v>1103</v>
      </c>
      <c r="AK1" s="16" t="s">
        <v>1074</v>
      </c>
      <c r="AL1" s="17" t="s">
        <v>1079</v>
      </c>
      <c r="AM1" s="16" t="s">
        <v>1078</v>
      </c>
      <c r="AN1" s="17" t="s">
        <v>1077</v>
      </c>
      <c r="AO1" s="16" t="s">
        <v>1104</v>
      </c>
      <c r="AP1" s="17" t="s">
        <v>759</v>
      </c>
      <c r="AQ1" s="16" t="s">
        <v>5019</v>
      </c>
      <c r="AR1" s="17" t="s">
        <v>1068</v>
      </c>
    </row>
    <row r="2" spans="1:44" ht="7.35" customHeight="1" x14ac:dyDescent="0.25">
      <c r="A2" s="12" t="s">
        <v>662</v>
      </c>
      <c r="B2" s="5" t="s">
        <v>5067</v>
      </c>
      <c r="C2" s="12" t="s">
        <v>5080</v>
      </c>
      <c r="D2" s="14" t="s">
        <v>5090</v>
      </c>
      <c r="E2" s="12" t="s">
        <v>1144</v>
      </c>
      <c r="F2" s="14" t="s">
        <v>1145</v>
      </c>
      <c r="G2" s="12" t="s">
        <v>634</v>
      </c>
      <c r="H2" s="14" t="s">
        <v>635</v>
      </c>
      <c r="I2" s="12" t="s">
        <v>1008</v>
      </c>
      <c r="J2" s="14" t="s">
        <v>998</v>
      </c>
      <c r="K2" s="12" t="s">
        <v>975</v>
      </c>
      <c r="L2" s="14" t="s">
        <v>976</v>
      </c>
      <c r="M2" s="12" t="s">
        <v>5013</v>
      </c>
      <c r="N2" s="14" t="s">
        <v>5014</v>
      </c>
      <c r="O2" s="12" t="s">
        <v>14</v>
      </c>
      <c r="P2" s="14" t="s">
        <v>646</v>
      </c>
      <c r="Q2" s="12" t="s">
        <v>291</v>
      </c>
      <c r="R2" s="14" t="s">
        <v>991</v>
      </c>
      <c r="S2" s="12" t="s">
        <v>1046</v>
      </c>
      <c r="T2" s="14" t="s">
        <v>1047</v>
      </c>
      <c r="U2" s="12" t="s">
        <v>237</v>
      </c>
      <c r="V2" s="14" t="s">
        <v>317</v>
      </c>
      <c r="W2" s="12" t="s">
        <v>265</v>
      </c>
      <c r="X2" s="14" t="s">
        <v>1023</v>
      </c>
      <c r="Y2" s="12" t="s">
        <v>616</v>
      </c>
      <c r="Z2" s="14" t="s">
        <v>615</v>
      </c>
      <c r="AA2" s="12" t="s">
        <v>808</v>
      </c>
      <c r="AB2" s="14" t="s">
        <v>809</v>
      </c>
      <c r="AC2" s="12" t="s">
        <v>355</v>
      </c>
      <c r="AD2" s="14" t="s">
        <v>798</v>
      </c>
      <c r="AE2" s="12" t="s">
        <v>39</v>
      </c>
      <c r="AF2" s="14" t="s">
        <v>741</v>
      </c>
      <c r="AG2" s="12" t="s">
        <v>261</v>
      </c>
      <c r="AH2" s="14" t="s">
        <v>687</v>
      </c>
      <c r="AI2" s="12" t="s">
        <v>1097</v>
      </c>
      <c r="AJ2" s="14" t="s">
        <v>1105</v>
      </c>
      <c r="AK2" s="12" t="s">
        <v>1084</v>
      </c>
      <c r="AL2" s="14" t="s">
        <v>1081</v>
      </c>
      <c r="AM2" s="12" t="s">
        <v>0</v>
      </c>
      <c r="AN2" s="14" t="s">
        <v>714</v>
      </c>
      <c r="AO2" s="12" t="s">
        <v>654</v>
      </c>
      <c r="AP2" s="14" t="s">
        <v>655</v>
      </c>
      <c r="AQ2" s="12" t="s">
        <v>1063</v>
      </c>
      <c r="AR2" s="14" t="s">
        <v>1069</v>
      </c>
    </row>
    <row r="3" spans="1:44" ht="7.35" customHeight="1" x14ac:dyDescent="0.25">
      <c r="A3" s="12" t="s">
        <v>5050</v>
      </c>
      <c r="B3" s="5" t="s">
        <v>5068</v>
      </c>
      <c r="C3" s="12" t="s">
        <v>396</v>
      </c>
      <c r="D3" s="14" t="s">
        <v>628</v>
      </c>
      <c r="E3" s="12" t="s">
        <v>1146</v>
      </c>
      <c r="F3" s="14" t="s">
        <v>1147</v>
      </c>
      <c r="G3" s="12" t="s">
        <v>788</v>
      </c>
      <c r="H3" s="14" t="s">
        <v>789</v>
      </c>
      <c r="I3" s="12" t="s">
        <v>1004</v>
      </c>
      <c r="J3" s="14" t="s">
        <v>1007</v>
      </c>
      <c r="K3" s="12" t="s">
        <v>158</v>
      </c>
      <c r="L3" s="14" t="s">
        <v>822</v>
      </c>
      <c r="M3" s="12" t="s">
        <v>5017</v>
      </c>
      <c r="N3" s="14" t="s">
        <v>5018</v>
      </c>
      <c r="O3" s="12" t="s">
        <v>7</v>
      </c>
      <c r="P3" s="14" t="s">
        <v>970</v>
      </c>
      <c r="Q3" s="12" t="s">
        <v>993</v>
      </c>
      <c r="R3" s="14" t="s">
        <v>992</v>
      </c>
      <c r="S3" s="12" t="s">
        <v>389</v>
      </c>
      <c r="T3" s="14" t="s">
        <v>1045</v>
      </c>
      <c r="U3" s="12" t="s">
        <v>47</v>
      </c>
      <c r="V3" s="14" t="s">
        <v>618</v>
      </c>
      <c r="W3" s="12" t="s">
        <v>42</v>
      </c>
      <c r="X3" s="14" t="s">
        <v>1022</v>
      </c>
      <c r="Y3" s="12" t="s">
        <v>369</v>
      </c>
      <c r="Z3" s="14" t="s">
        <v>368</v>
      </c>
      <c r="AA3" s="12" t="s">
        <v>215</v>
      </c>
      <c r="AB3" s="14" t="s">
        <v>172</v>
      </c>
      <c r="AC3" s="12" t="s">
        <v>46</v>
      </c>
      <c r="AD3" s="14" t="s">
        <v>797</v>
      </c>
      <c r="AE3" s="12" t="s">
        <v>607</v>
      </c>
      <c r="AF3" s="14" t="s">
        <v>740</v>
      </c>
      <c r="AG3" s="12" t="s">
        <v>681</v>
      </c>
      <c r="AH3" s="14" t="s">
        <v>686</v>
      </c>
      <c r="AI3" s="12" t="s">
        <v>1098</v>
      </c>
      <c r="AJ3" s="14" t="s">
        <v>1106</v>
      </c>
      <c r="AK3" s="12" t="s">
        <v>1085</v>
      </c>
      <c r="AL3" s="14" t="s">
        <v>1080</v>
      </c>
      <c r="AM3" s="12" t="s">
        <v>619</v>
      </c>
      <c r="AN3" s="14" t="s">
        <v>715</v>
      </c>
      <c r="AO3" s="12" t="s">
        <v>764</v>
      </c>
      <c r="AP3" s="14" t="s">
        <v>765</v>
      </c>
      <c r="AQ3" s="12" t="s">
        <v>1062</v>
      </c>
      <c r="AR3" s="14" t="s">
        <v>1070</v>
      </c>
    </row>
    <row r="4" spans="1:44" ht="7.35" customHeight="1" x14ac:dyDescent="0.25">
      <c r="A4" s="12" t="s">
        <v>665</v>
      </c>
      <c r="B4" s="5" t="s">
        <v>5069</v>
      </c>
      <c r="C4" s="12" t="s">
        <v>3653</v>
      </c>
      <c r="D4" s="14" t="s">
        <v>630</v>
      </c>
      <c r="E4" s="12" t="s">
        <v>1148</v>
      </c>
      <c r="F4" s="14" t="s">
        <v>1149</v>
      </c>
      <c r="G4" s="12" t="s">
        <v>247</v>
      </c>
      <c r="H4" s="14" t="s">
        <v>787</v>
      </c>
      <c r="I4" s="12" t="s">
        <v>1005</v>
      </c>
      <c r="J4" s="14" t="s">
        <v>1006</v>
      </c>
      <c r="K4" s="12" t="s">
        <v>263</v>
      </c>
      <c r="L4" s="14" t="s">
        <v>700</v>
      </c>
      <c r="M4" s="12" t="s">
        <v>315</v>
      </c>
      <c r="N4" s="14" t="s">
        <v>847</v>
      </c>
      <c r="O4" s="12" t="s">
        <v>648</v>
      </c>
      <c r="P4" s="14" t="s">
        <v>649</v>
      </c>
      <c r="Q4" s="12" t="s">
        <v>239</v>
      </c>
      <c r="R4" s="14" t="s">
        <v>775</v>
      </c>
      <c r="S4" s="12" t="s">
        <v>1035</v>
      </c>
      <c r="T4" s="14" t="s">
        <v>1036</v>
      </c>
      <c r="U4" s="12" t="s">
        <v>339</v>
      </c>
      <c r="V4" s="14" t="s">
        <v>86</v>
      </c>
      <c r="W4" s="12" t="s">
        <v>26</v>
      </c>
      <c r="X4" s="14" t="s">
        <v>793</v>
      </c>
      <c r="Y4" s="12" t="s">
        <v>64</v>
      </c>
      <c r="Z4" s="14" t="s">
        <v>148</v>
      </c>
      <c r="AA4" s="12" t="s">
        <v>380</v>
      </c>
      <c r="AB4" s="14" t="s">
        <v>379</v>
      </c>
      <c r="AC4" s="12" t="s">
        <v>826</v>
      </c>
      <c r="AD4" s="14" t="s">
        <v>827</v>
      </c>
      <c r="AE4" s="12" t="s">
        <v>609</v>
      </c>
      <c r="AF4" s="14" t="s">
        <v>739</v>
      </c>
      <c r="AG4" s="12" t="s">
        <v>682</v>
      </c>
      <c r="AH4" s="14" t="s">
        <v>688</v>
      </c>
      <c r="AI4" s="12" t="s">
        <v>1099</v>
      </c>
      <c r="AJ4" s="14" t="s">
        <v>1107</v>
      </c>
      <c r="AK4" s="12" t="s">
        <v>1086</v>
      </c>
      <c r="AL4" s="14" t="s">
        <v>1082</v>
      </c>
      <c r="AM4" s="12" t="s">
        <v>620</v>
      </c>
      <c r="AN4" s="14" t="s">
        <v>716</v>
      </c>
      <c r="AO4" s="12" t="s">
        <v>1093</v>
      </c>
      <c r="AP4" s="14" t="s">
        <v>1094</v>
      </c>
      <c r="AQ4" s="12" t="s">
        <v>1064</v>
      </c>
      <c r="AR4" s="14" t="s">
        <v>1071</v>
      </c>
    </row>
    <row r="5" spans="1:44" ht="7.35" customHeight="1" x14ac:dyDescent="0.25">
      <c r="A5" s="12" t="s">
        <v>32</v>
      </c>
      <c r="B5" s="5" t="s">
        <v>5070</v>
      </c>
      <c r="C5" s="12" t="s">
        <v>692</v>
      </c>
      <c r="D5" s="14" t="s">
        <v>692</v>
      </c>
      <c r="E5" s="12" t="s">
        <v>376</v>
      </c>
      <c r="F5" s="14" t="s">
        <v>780</v>
      </c>
      <c r="G5" s="12" t="s">
        <v>632</v>
      </c>
      <c r="H5" s="14" t="s">
        <v>633</v>
      </c>
      <c r="I5" s="12" t="s">
        <v>331</v>
      </c>
      <c r="J5" s="14" t="s">
        <v>845</v>
      </c>
      <c r="K5" s="12" t="s">
        <v>372</v>
      </c>
      <c r="L5" s="14" t="s">
        <v>371</v>
      </c>
      <c r="M5" s="12" t="s">
        <v>5015</v>
      </c>
      <c r="N5" s="14" t="s">
        <v>5016</v>
      </c>
      <c r="O5" s="12" t="s">
        <v>19</v>
      </c>
      <c r="P5" s="14" t="s">
        <v>762</v>
      </c>
      <c r="Q5" s="12" t="s">
        <v>995</v>
      </c>
      <c r="R5" s="14" t="s">
        <v>985</v>
      </c>
      <c r="S5" s="12" t="s">
        <v>4885</v>
      </c>
      <c r="T5" s="14" t="s">
        <v>4886</v>
      </c>
      <c r="U5" s="12" t="s">
        <v>569</v>
      </c>
      <c r="V5" s="14" t="s">
        <v>771</v>
      </c>
      <c r="W5" s="12" t="s">
        <v>9</v>
      </c>
      <c r="X5" s="14" t="s">
        <v>1019</v>
      </c>
      <c r="Y5" s="12" t="s">
        <v>190</v>
      </c>
      <c r="Z5" s="14" t="s">
        <v>188</v>
      </c>
      <c r="AA5" s="12" t="s">
        <v>604</v>
      </c>
      <c r="AB5" s="14" t="s">
        <v>176</v>
      </c>
      <c r="AC5" s="12" t="s">
        <v>48</v>
      </c>
      <c r="AD5" s="14" t="s">
        <v>799</v>
      </c>
      <c r="AE5" s="12" t="s">
        <v>41</v>
      </c>
      <c r="AF5" s="14" t="s">
        <v>738</v>
      </c>
      <c r="AG5" s="12" t="s">
        <v>683</v>
      </c>
      <c r="AH5" s="14" t="s">
        <v>689</v>
      </c>
      <c r="AI5" s="12" t="s">
        <v>1100</v>
      </c>
      <c r="AJ5" s="14" t="s">
        <v>1108</v>
      </c>
      <c r="AK5" s="12" t="s">
        <v>1087</v>
      </c>
      <c r="AL5" s="14" t="s">
        <v>1083</v>
      </c>
      <c r="AM5" s="12" t="s">
        <v>577</v>
      </c>
      <c r="AN5" s="14" t="s">
        <v>717</v>
      </c>
      <c r="AO5" s="12" t="s">
        <v>652</v>
      </c>
      <c r="AP5" s="14" t="s">
        <v>653</v>
      </c>
      <c r="AQ5" s="12" t="s">
        <v>1065</v>
      </c>
      <c r="AR5" s="14" t="s">
        <v>1072</v>
      </c>
    </row>
    <row r="6" spans="1:44" ht="7.35" customHeight="1" x14ac:dyDescent="0.25">
      <c r="A6" s="12" t="s">
        <v>40</v>
      </c>
      <c r="B6" s="5" t="s">
        <v>5071</v>
      </c>
      <c r="C6" s="12" t="s">
        <v>692</v>
      </c>
      <c r="D6" s="14" t="s">
        <v>692</v>
      </c>
      <c r="E6" s="12" t="s">
        <v>293</v>
      </c>
      <c r="F6" s="14" t="s">
        <v>778</v>
      </c>
      <c r="G6" s="12" t="s">
        <v>692</v>
      </c>
      <c r="H6" s="14" t="s">
        <v>692</v>
      </c>
      <c r="I6" s="12" t="s">
        <v>12</v>
      </c>
      <c r="J6" s="14" t="s">
        <v>574</v>
      </c>
      <c r="K6" s="12" t="s">
        <v>341</v>
      </c>
      <c r="L6" s="14" t="s">
        <v>473</v>
      </c>
      <c r="M6" s="12" t="s">
        <v>5011</v>
      </c>
      <c r="N6" s="14" t="s">
        <v>5012</v>
      </c>
      <c r="O6" s="12" t="s">
        <v>98</v>
      </c>
      <c r="P6" s="14" t="s">
        <v>848</v>
      </c>
      <c r="Q6" s="12" t="s">
        <v>994</v>
      </c>
      <c r="R6" s="14" t="s">
        <v>581</v>
      </c>
      <c r="S6" s="12" t="s">
        <v>1051</v>
      </c>
      <c r="T6" s="14" t="s">
        <v>1050</v>
      </c>
      <c r="U6" s="12" t="s">
        <v>770</v>
      </c>
      <c r="V6" s="14" t="s">
        <v>772</v>
      </c>
      <c r="W6" s="12" t="s">
        <v>101</v>
      </c>
      <c r="X6" s="14" t="s">
        <v>493</v>
      </c>
      <c r="Y6" s="12" t="s">
        <v>349</v>
      </c>
      <c r="Z6" s="14" t="s">
        <v>332</v>
      </c>
      <c r="AA6" s="12" t="s">
        <v>571</v>
      </c>
      <c r="AB6" s="14" t="s">
        <v>175</v>
      </c>
      <c r="AC6" s="12" t="s">
        <v>136</v>
      </c>
      <c r="AD6" s="14" t="s">
        <v>796</v>
      </c>
      <c r="AE6" s="12" t="s">
        <v>610</v>
      </c>
      <c r="AF6" s="14" t="s">
        <v>769</v>
      </c>
      <c r="AG6" s="12" t="s">
        <v>684</v>
      </c>
      <c r="AH6" s="14" t="s">
        <v>690</v>
      </c>
      <c r="AI6" s="12" t="s">
        <v>1101</v>
      </c>
      <c r="AJ6" s="14" t="s">
        <v>1109</v>
      </c>
      <c r="AK6" s="12" t="s">
        <v>692</v>
      </c>
      <c r="AL6" s="14" t="s">
        <v>692</v>
      </c>
      <c r="AM6" s="12" t="s">
        <v>348</v>
      </c>
      <c r="AN6" s="14" t="s">
        <v>718</v>
      </c>
      <c r="AO6" s="12" t="s">
        <v>656</v>
      </c>
      <c r="AP6" s="14" t="s">
        <v>657</v>
      </c>
      <c r="AQ6" s="12" t="s">
        <v>1066</v>
      </c>
      <c r="AR6" s="14" t="s">
        <v>1073</v>
      </c>
    </row>
    <row r="7" spans="1:44" ht="7.35" customHeight="1" x14ac:dyDescent="0.25">
      <c r="A7" s="12" t="s">
        <v>664</v>
      </c>
      <c r="B7" s="5" t="s">
        <v>5072</v>
      </c>
      <c r="C7" s="12" t="s">
        <v>692</v>
      </c>
      <c r="D7" s="14" t="s">
        <v>692</v>
      </c>
      <c r="E7" s="12" t="s">
        <v>779</v>
      </c>
      <c r="F7" s="14" t="s">
        <v>777</v>
      </c>
      <c r="G7" s="12" t="s">
        <v>692</v>
      </c>
      <c r="H7" s="14" t="s">
        <v>692</v>
      </c>
      <c r="I7" s="12" t="s">
        <v>593</v>
      </c>
      <c r="J7" s="14" t="s">
        <v>846</v>
      </c>
      <c r="K7" s="12" t="s">
        <v>977</v>
      </c>
      <c r="L7" s="14" t="s">
        <v>978</v>
      </c>
      <c r="M7" s="12" t="s">
        <v>692</v>
      </c>
      <c r="N7" s="14" t="s">
        <v>692</v>
      </c>
      <c r="O7" s="12" t="s">
        <v>667</v>
      </c>
      <c r="P7" s="14" t="s">
        <v>668</v>
      </c>
      <c r="Q7" s="12" t="s">
        <v>996</v>
      </c>
      <c r="R7" s="14" t="s">
        <v>986</v>
      </c>
      <c r="S7" s="12" t="s">
        <v>1049</v>
      </c>
      <c r="T7" s="14" t="s">
        <v>1048</v>
      </c>
      <c r="U7" s="12" t="s">
        <v>61</v>
      </c>
      <c r="V7" s="14" t="s">
        <v>143</v>
      </c>
      <c r="W7" s="12" t="s">
        <v>605</v>
      </c>
      <c r="X7" s="14" t="s">
        <v>828</v>
      </c>
      <c r="Y7" s="12" t="s">
        <v>587</v>
      </c>
      <c r="Z7" s="14" t="s">
        <v>496</v>
      </c>
      <c r="AA7" s="12" t="s">
        <v>236</v>
      </c>
      <c r="AB7" s="14" t="s">
        <v>168</v>
      </c>
      <c r="AC7" s="12" t="s">
        <v>613</v>
      </c>
      <c r="AD7" s="14" t="s">
        <v>703</v>
      </c>
      <c r="AE7" s="12" t="s">
        <v>608</v>
      </c>
      <c r="AF7" s="14" t="s">
        <v>742</v>
      </c>
      <c r="AG7" s="12" t="s">
        <v>685</v>
      </c>
      <c r="AH7" s="14" t="s">
        <v>691</v>
      </c>
      <c r="AI7" s="12" t="s">
        <v>1110</v>
      </c>
      <c r="AJ7" s="14" t="s">
        <v>1111</v>
      </c>
      <c r="AK7" s="12" t="s">
        <v>692</v>
      </c>
      <c r="AL7" s="14" t="s">
        <v>692</v>
      </c>
      <c r="AM7" s="12" t="s">
        <v>505</v>
      </c>
      <c r="AN7" s="14" t="s">
        <v>719</v>
      </c>
      <c r="AO7" s="12" t="s">
        <v>1096</v>
      </c>
      <c r="AP7" s="14" t="s">
        <v>1076</v>
      </c>
      <c r="AQ7" s="2" t="s">
        <v>692</v>
      </c>
      <c r="AR7" s="14" t="s">
        <v>692</v>
      </c>
    </row>
    <row r="8" spans="1:44" ht="7.35" customHeight="1" x14ac:dyDescent="0.25">
      <c r="A8" s="12" t="s">
        <v>596</v>
      </c>
      <c r="B8" s="5" t="s">
        <v>5074</v>
      </c>
      <c r="C8" s="12" t="s">
        <v>692</v>
      </c>
      <c r="D8" s="14" t="s">
        <v>692</v>
      </c>
      <c r="E8" s="12" t="s">
        <v>1113</v>
      </c>
      <c r="F8" s="14" t="s">
        <v>1114</v>
      </c>
      <c r="G8" s="12" t="s">
        <v>692</v>
      </c>
      <c r="H8" s="14" t="s">
        <v>692</v>
      </c>
      <c r="I8" s="12" t="s">
        <v>323</v>
      </c>
      <c r="J8" s="14" t="s">
        <v>645</v>
      </c>
      <c r="K8" s="12" t="s">
        <v>151</v>
      </c>
      <c r="L8" s="14" t="s">
        <v>575</v>
      </c>
      <c r="M8" s="12" t="s">
        <v>692</v>
      </c>
      <c r="N8" s="14" t="s">
        <v>692</v>
      </c>
      <c r="O8" s="12" t="s">
        <v>980</v>
      </c>
      <c r="P8" s="14" t="s">
        <v>981</v>
      </c>
      <c r="Q8" s="12" t="s">
        <v>997</v>
      </c>
      <c r="R8" s="14" t="s">
        <v>987</v>
      </c>
      <c r="S8" s="12" t="s">
        <v>52</v>
      </c>
      <c r="T8" s="14" t="s">
        <v>598</v>
      </c>
      <c r="U8" s="12" t="s">
        <v>601</v>
      </c>
      <c r="V8" s="14" t="s">
        <v>603</v>
      </c>
      <c r="W8" s="12" t="s">
        <v>375</v>
      </c>
      <c r="X8" s="14" t="s">
        <v>374</v>
      </c>
      <c r="Y8" s="12" t="s">
        <v>786</v>
      </c>
      <c r="Z8" s="14" t="s">
        <v>785</v>
      </c>
      <c r="AA8" s="12" t="s">
        <v>92</v>
      </c>
      <c r="AB8" s="14" t="s">
        <v>311</v>
      </c>
      <c r="AC8" s="12" t="s">
        <v>245</v>
      </c>
      <c r="AD8" s="14" t="s">
        <v>704</v>
      </c>
      <c r="AE8" s="12" t="s">
        <v>611</v>
      </c>
      <c r="AF8" s="14" t="s">
        <v>736</v>
      </c>
      <c r="AG8" s="12" t="s">
        <v>105</v>
      </c>
      <c r="AH8" s="14" t="s">
        <v>558</v>
      </c>
      <c r="AI8" s="12" t="s">
        <v>692</v>
      </c>
      <c r="AJ8" s="14" t="s">
        <v>692</v>
      </c>
      <c r="AK8" s="12" t="s">
        <v>692</v>
      </c>
      <c r="AL8" s="14" t="s">
        <v>692</v>
      </c>
      <c r="AM8" s="12" t="s">
        <v>621</v>
      </c>
      <c r="AN8" s="14" t="s">
        <v>720</v>
      </c>
      <c r="AO8" s="12" t="s">
        <v>766</v>
      </c>
      <c r="AP8" s="14" t="s">
        <v>767</v>
      </c>
      <c r="AQ8" s="2" t="s">
        <v>692</v>
      </c>
      <c r="AR8" s="14" t="s">
        <v>692</v>
      </c>
    </row>
    <row r="9" spans="1:44" ht="7.35" customHeight="1" x14ac:dyDescent="0.25">
      <c r="A9" s="12" t="s">
        <v>599</v>
      </c>
      <c r="B9" s="5" t="s">
        <v>5075</v>
      </c>
      <c r="C9" s="12" t="s">
        <v>692</v>
      </c>
      <c r="D9" s="14" t="s">
        <v>692</v>
      </c>
      <c r="E9" s="12" t="s">
        <v>1115</v>
      </c>
      <c r="F9" s="14" t="s">
        <v>1122</v>
      </c>
      <c r="G9" s="12" t="s">
        <v>692</v>
      </c>
      <c r="H9" s="14" t="s">
        <v>692</v>
      </c>
      <c r="I9" s="12" t="s">
        <v>324</v>
      </c>
      <c r="J9" s="14" t="s">
        <v>499</v>
      </c>
      <c r="K9" s="12" t="s">
        <v>5085</v>
      </c>
      <c r="L9" s="14" t="s">
        <v>5083</v>
      </c>
      <c r="M9" s="12" t="s">
        <v>692</v>
      </c>
      <c r="N9" s="14" t="s">
        <v>692</v>
      </c>
      <c r="O9" s="12" t="s">
        <v>192</v>
      </c>
      <c r="P9" s="14" t="s">
        <v>983</v>
      </c>
      <c r="Q9" s="12" t="s">
        <v>692</v>
      </c>
      <c r="R9" s="14" t="s">
        <v>692</v>
      </c>
      <c r="S9" s="12" t="s">
        <v>1044</v>
      </c>
      <c r="T9" s="14" t="s">
        <v>1043</v>
      </c>
      <c r="U9" s="12" t="s">
        <v>602</v>
      </c>
      <c r="V9" s="14" t="s">
        <v>318</v>
      </c>
      <c r="W9" s="12" t="s">
        <v>606</v>
      </c>
      <c r="X9" s="14" t="s">
        <v>829</v>
      </c>
      <c r="Y9" s="12" t="s">
        <v>118</v>
      </c>
      <c r="Z9" s="14" t="s">
        <v>584</v>
      </c>
      <c r="AA9" s="12" t="s">
        <v>819</v>
      </c>
      <c r="AB9" s="14" t="s">
        <v>820</v>
      </c>
      <c r="AC9" s="12" t="s">
        <v>732</v>
      </c>
      <c r="AD9" s="14" t="s">
        <v>733</v>
      </c>
      <c r="AE9" s="12" t="s">
        <v>612</v>
      </c>
      <c r="AF9" s="14" t="s">
        <v>737</v>
      </c>
      <c r="AG9" s="12" t="s">
        <v>107</v>
      </c>
      <c r="AH9" s="14" t="s">
        <v>559</v>
      </c>
      <c r="AI9" s="12" t="s">
        <v>692</v>
      </c>
      <c r="AJ9" s="14" t="s">
        <v>692</v>
      </c>
      <c r="AK9" s="12" t="s">
        <v>692</v>
      </c>
      <c r="AL9" s="14" t="s">
        <v>692</v>
      </c>
      <c r="AM9" s="12" t="s">
        <v>622</v>
      </c>
      <c r="AN9" s="14" t="s">
        <v>721</v>
      </c>
      <c r="AO9" s="12" t="s">
        <v>3665</v>
      </c>
      <c r="AP9" s="14" t="s">
        <v>3672</v>
      </c>
      <c r="AQ9" s="2" t="s">
        <v>692</v>
      </c>
      <c r="AR9" s="14" t="s">
        <v>692</v>
      </c>
    </row>
    <row r="10" spans="1:44" ht="7.35" customHeight="1" x14ac:dyDescent="0.25">
      <c r="A10" s="12" t="s">
        <v>597</v>
      </c>
      <c r="B10" s="5" t="s">
        <v>5079</v>
      </c>
      <c r="C10" s="12" t="s">
        <v>692</v>
      </c>
      <c r="D10" s="14" t="s">
        <v>692</v>
      </c>
      <c r="E10" s="12" t="s">
        <v>1116</v>
      </c>
      <c r="F10" s="14" t="s">
        <v>1121</v>
      </c>
      <c r="G10" s="12" t="s">
        <v>692</v>
      </c>
      <c r="H10" s="14" t="s">
        <v>692</v>
      </c>
      <c r="I10" s="12" t="s">
        <v>232</v>
      </c>
      <c r="J10" s="14" t="s">
        <v>588</v>
      </c>
      <c r="K10" s="12" t="s">
        <v>38</v>
      </c>
      <c r="L10" s="14" t="s">
        <v>578</v>
      </c>
      <c r="M10" s="12" t="s">
        <v>692</v>
      </c>
      <c r="N10" s="14" t="s">
        <v>692</v>
      </c>
      <c r="O10" s="12" t="s">
        <v>4991</v>
      </c>
      <c r="P10" s="14" t="s">
        <v>4992</v>
      </c>
      <c r="Q10" s="12" t="s">
        <v>692</v>
      </c>
      <c r="R10" s="14" t="s">
        <v>692</v>
      </c>
      <c r="S10" s="12" t="s">
        <v>1042</v>
      </c>
      <c r="T10" s="14" t="s">
        <v>1041</v>
      </c>
      <c r="U10" s="12" t="s">
        <v>254</v>
      </c>
      <c r="V10" s="14" t="s">
        <v>342</v>
      </c>
      <c r="W10" s="12" t="s">
        <v>706</v>
      </c>
      <c r="X10" s="14" t="s">
        <v>707</v>
      </c>
      <c r="Y10" s="12" t="s">
        <v>45</v>
      </c>
      <c r="Z10" s="14" t="s">
        <v>147</v>
      </c>
      <c r="AA10" s="12" t="s">
        <v>231</v>
      </c>
      <c r="AB10" s="14" t="s">
        <v>586</v>
      </c>
      <c r="AC10" s="12" t="s">
        <v>121</v>
      </c>
      <c r="AD10" s="14" t="s">
        <v>832</v>
      </c>
      <c r="AE10" s="12" t="s">
        <v>734</v>
      </c>
      <c r="AF10" s="14" t="s">
        <v>735</v>
      </c>
      <c r="AG10" s="12" t="s">
        <v>108</v>
      </c>
      <c r="AH10" s="14" t="s">
        <v>560</v>
      </c>
      <c r="AI10" s="12" t="s">
        <v>692</v>
      </c>
      <c r="AJ10" s="14" t="s">
        <v>692</v>
      </c>
      <c r="AK10" s="12" t="s">
        <v>692</v>
      </c>
      <c r="AL10" s="14" t="s">
        <v>692</v>
      </c>
      <c r="AM10" s="12" t="s">
        <v>623</v>
      </c>
      <c r="AN10" s="14" t="s">
        <v>722</v>
      </c>
      <c r="AO10" s="12" t="s">
        <v>36</v>
      </c>
      <c r="AP10" s="14" t="s">
        <v>768</v>
      </c>
      <c r="AQ10" s="2" t="s">
        <v>692</v>
      </c>
      <c r="AR10" s="14" t="s">
        <v>692</v>
      </c>
    </row>
    <row r="11" spans="1:44" ht="7.35" customHeight="1" x14ac:dyDescent="0.25">
      <c r="A11" s="12" t="s">
        <v>666</v>
      </c>
      <c r="B11" s="5" t="s">
        <v>5076</v>
      </c>
      <c r="C11" s="12" t="s">
        <v>692</v>
      </c>
      <c r="D11" s="14" t="s">
        <v>692</v>
      </c>
      <c r="E11" s="12" t="s">
        <v>1117</v>
      </c>
      <c r="F11" s="14" t="s">
        <v>1123</v>
      </c>
      <c r="G11" s="12" t="s">
        <v>692</v>
      </c>
      <c r="H11" s="14" t="s">
        <v>692</v>
      </c>
      <c r="I11" s="12" t="s">
        <v>337</v>
      </c>
      <c r="J11" s="14" t="s">
        <v>631</v>
      </c>
      <c r="K11" s="12" t="s">
        <v>642</v>
      </c>
      <c r="L11" s="14" t="s">
        <v>643</v>
      </c>
      <c r="M11" s="12" t="s">
        <v>692</v>
      </c>
      <c r="N11" s="14" t="s">
        <v>692</v>
      </c>
      <c r="O11" s="12" t="s">
        <v>8</v>
      </c>
      <c r="P11" s="14" t="s">
        <v>651</v>
      </c>
      <c r="Q11" s="12" t="s">
        <v>692</v>
      </c>
      <c r="R11" s="14" t="s">
        <v>692</v>
      </c>
      <c r="S11" s="12" t="s">
        <v>1040</v>
      </c>
      <c r="T11" s="14" t="s">
        <v>1039</v>
      </c>
      <c r="U11" s="12" t="s">
        <v>781</v>
      </c>
      <c r="V11" s="14" t="s">
        <v>782</v>
      </c>
      <c r="W11" s="12" t="s">
        <v>1016</v>
      </c>
      <c r="X11" s="14" t="s">
        <v>1017</v>
      </c>
      <c r="Y11" s="12" t="s">
        <v>189</v>
      </c>
      <c r="Z11" s="14" t="s">
        <v>187</v>
      </c>
      <c r="AA11" s="12" t="s">
        <v>671</v>
      </c>
      <c r="AB11" s="14" t="s">
        <v>672</v>
      </c>
      <c r="AC11" s="12" t="s">
        <v>572</v>
      </c>
      <c r="AD11" s="14" t="s">
        <v>831</v>
      </c>
      <c r="AE11" s="12" t="s">
        <v>573</v>
      </c>
      <c r="AF11" s="14" t="s">
        <v>743</v>
      </c>
      <c r="AG11" s="12" t="s">
        <v>109</v>
      </c>
      <c r="AH11" s="14" t="s">
        <v>561</v>
      </c>
      <c r="AI11" s="12" t="s">
        <v>692</v>
      </c>
      <c r="AJ11" s="14" t="s">
        <v>692</v>
      </c>
      <c r="AK11" s="12" t="s">
        <v>692</v>
      </c>
      <c r="AL11" s="14" t="s">
        <v>692</v>
      </c>
      <c r="AM11" s="12" t="s">
        <v>624</v>
      </c>
      <c r="AN11" s="14" t="s">
        <v>723</v>
      </c>
      <c r="AO11" s="12" t="s">
        <v>1061</v>
      </c>
      <c r="AP11" s="14" t="s">
        <v>1095</v>
      </c>
      <c r="AQ11" s="2" t="s">
        <v>692</v>
      </c>
      <c r="AR11" s="14" t="s">
        <v>692</v>
      </c>
    </row>
    <row r="12" spans="1:44" ht="7.35" customHeight="1" x14ac:dyDescent="0.25">
      <c r="A12" s="12" t="s">
        <v>663</v>
      </c>
      <c r="B12" s="5" t="s">
        <v>5077</v>
      </c>
      <c r="C12" s="12" t="s">
        <v>692</v>
      </c>
      <c r="D12" s="14" t="s">
        <v>692</v>
      </c>
      <c r="E12" s="12" t="s">
        <v>1118</v>
      </c>
      <c r="F12" s="14" t="s">
        <v>1124</v>
      </c>
      <c r="G12" s="12" t="s">
        <v>692</v>
      </c>
      <c r="H12" s="14" t="s">
        <v>692</v>
      </c>
      <c r="I12" s="12" t="s">
        <v>303</v>
      </c>
      <c r="J12" s="14" t="s">
        <v>644</v>
      </c>
      <c r="K12" s="12" t="s">
        <v>626</v>
      </c>
      <c r="L12" s="14" t="s">
        <v>627</v>
      </c>
      <c r="M12" s="12" t="s">
        <v>692</v>
      </c>
      <c r="N12" s="14" t="s">
        <v>692</v>
      </c>
      <c r="O12" s="12" t="s">
        <v>6</v>
      </c>
      <c r="P12" s="14" t="s">
        <v>500</v>
      </c>
      <c r="Q12" s="12" t="s">
        <v>692</v>
      </c>
      <c r="R12" s="14" t="s">
        <v>692</v>
      </c>
      <c r="S12" s="12" t="s">
        <v>4893</v>
      </c>
      <c r="T12" s="14" t="s">
        <v>4894</v>
      </c>
      <c r="U12" s="12" t="s">
        <v>322</v>
      </c>
      <c r="V12" s="14" t="s">
        <v>321</v>
      </c>
      <c r="W12" s="12" t="s">
        <v>746</v>
      </c>
      <c r="X12" s="14" t="s">
        <v>747</v>
      </c>
      <c r="Y12" s="12" t="s">
        <v>361</v>
      </c>
      <c r="Z12" s="14" t="s">
        <v>365</v>
      </c>
      <c r="AA12" s="12" t="s">
        <v>161</v>
      </c>
      <c r="AB12" s="14" t="s">
        <v>181</v>
      </c>
      <c r="AC12" s="12" t="s">
        <v>34</v>
      </c>
      <c r="AD12" s="14" t="s">
        <v>800</v>
      </c>
      <c r="AE12" s="12" t="s">
        <v>692</v>
      </c>
      <c r="AF12" s="14" t="s">
        <v>692</v>
      </c>
      <c r="AG12" s="12" t="s">
        <v>692</v>
      </c>
      <c r="AH12" s="14" t="s">
        <v>692</v>
      </c>
      <c r="AI12" s="12" t="s">
        <v>692</v>
      </c>
      <c r="AJ12" s="14" t="s">
        <v>692</v>
      </c>
      <c r="AK12" s="12" t="s">
        <v>692</v>
      </c>
      <c r="AL12" s="14" t="s">
        <v>692</v>
      </c>
      <c r="AM12" s="12" t="s">
        <v>625</v>
      </c>
      <c r="AN12" s="14" t="s">
        <v>724</v>
      </c>
      <c r="AO12" s="12" t="s">
        <v>3667</v>
      </c>
      <c r="AP12" s="3" t="s">
        <v>3668</v>
      </c>
      <c r="AQ12" s="2" t="s">
        <v>692</v>
      </c>
      <c r="AR12" s="14" t="s">
        <v>692</v>
      </c>
    </row>
    <row r="13" spans="1:44" ht="7.35" customHeight="1" x14ac:dyDescent="0.25">
      <c r="A13" s="12" t="s">
        <v>617</v>
      </c>
      <c r="B13" s="5" t="s">
        <v>5078</v>
      </c>
      <c r="C13" s="12" t="s">
        <v>692</v>
      </c>
      <c r="D13" s="14" t="s">
        <v>692</v>
      </c>
      <c r="E13" s="12" t="s">
        <v>1119</v>
      </c>
      <c r="F13" s="14" t="s">
        <v>1125</v>
      </c>
      <c r="G13" s="12" t="s">
        <v>692</v>
      </c>
      <c r="H13" s="14" t="s">
        <v>692</v>
      </c>
      <c r="I13" s="12" t="s">
        <v>750</v>
      </c>
      <c r="J13" s="14" t="s">
        <v>705</v>
      </c>
      <c r="K13" s="12" t="s">
        <v>29</v>
      </c>
      <c r="L13" s="14" t="s">
        <v>590</v>
      </c>
      <c r="M13" s="12" t="s">
        <v>692</v>
      </c>
      <c r="N13" s="14" t="s">
        <v>692</v>
      </c>
      <c r="O13" s="12" t="s">
        <v>95</v>
      </c>
      <c r="P13" s="14" t="s">
        <v>971</v>
      </c>
      <c r="Q13" s="12" t="s">
        <v>692</v>
      </c>
      <c r="R13" s="14" t="s">
        <v>692</v>
      </c>
      <c r="S13" s="12" t="s">
        <v>1037</v>
      </c>
      <c r="T13" s="14" t="s">
        <v>1038</v>
      </c>
      <c r="U13" s="2" t="s">
        <v>692</v>
      </c>
      <c r="V13" s="14" t="s">
        <v>692</v>
      </c>
      <c r="W13" s="12" t="s">
        <v>823</v>
      </c>
      <c r="X13" s="14" t="s">
        <v>824</v>
      </c>
      <c r="Y13" s="12" t="s">
        <v>286</v>
      </c>
      <c r="Z13" s="14" t="s">
        <v>285</v>
      </c>
      <c r="AA13" s="12" t="s">
        <v>216</v>
      </c>
      <c r="AB13" s="14" t="s">
        <v>174</v>
      </c>
      <c r="AC13" s="12" t="s">
        <v>33</v>
      </c>
      <c r="AD13" s="14" t="s">
        <v>801</v>
      </c>
      <c r="AE13" s="12" t="s">
        <v>692</v>
      </c>
      <c r="AF13" s="14" t="s">
        <v>692</v>
      </c>
      <c r="AG13" s="12" t="s">
        <v>692</v>
      </c>
      <c r="AH13" s="14" t="s">
        <v>692</v>
      </c>
      <c r="AI13" s="12" t="s">
        <v>692</v>
      </c>
      <c r="AJ13" s="14" t="s">
        <v>692</v>
      </c>
      <c r="AK13" s="12" t="s">
        <v>692</v>
      </c>
      <c r="AL13" s="14" t="s">
        <v>692</v>
      </c>
      <c r="AM13" s="12" t="s">
        <v>408</v>
      </c>
      <c r="AN13" s="14" t="s">
        <v>407</v>
      </c>
      <c r="AO13" s="12" t="s">
        <v>3670</v>
      </c>
      <c r="AP13" s="3" t="s">
        <v>3671</v>
      </c>
      <c r="AQ13" s="2" t="s">
        <v>692</v>
      </c>
      <c r="AR13" s="14" t="s">
        <v>692</v>
      </c>
    </row>
    <row r="14" spans="1:44" ht="7.35" customHeight="1" x14ac:dyDescent="0.25">
      <c r="A14" s="12" t="s">
        <v>5064</v>
      </c>
      <c r="B14" s="5" t="s">
        <v>5073</v>
      </c>
      <c r="C14" s="12" t="s">
        <v>692</v>
      </c>
      <c r="D14" s="14" t="s">
        <v>692</v>
      </c>
      <c r="E14" s="12" t="s">
        <v>1120</v>
      </c>
      <c r="F14" s="14" t="s">
        <v>1126</v>
      </c>
      <c r="G14" s="12" t="s">
        <v>692</v>
      </c>
      <c r="H14" s="14" t="s">
        <v>692</v>
      </c>
      <c r="I14" s="12" t="s">
        <v>1011</v>
      </c>
      <c r="J14" s="14" t="s">
        <v>1012</v>
      </c>
      <c r="K14" s="12" t="s">
        <v>5086</v>
      </c>
      <c r="L14" s="14" t="s">
        <v>5081</v>
      </c>
      <c r="M14" s="12" t="s">
        <v>692</v>
      </c>
      <c r="N14" s="14" t="s">
        <v>692</v>
      </c>
      <c r="O14" s="12" t="s">
        <v>650</v>
      </c>
      <c r="P14" s="14" t="s">
        <v>849</v>
      </c>
      <c r="Q14" s="12" t="s">
        <v>692</v>
      </c>
      <c r="R14" s="14" t="s">
        <v>692</v>
      </c>
      <c r="S14" s="12" t="s">
        <v>658</v>
      </c>
      <c r="T14" s="14" t="s">
        <v>659</v>
      </c>
      <c r="U14" s="2" t="s">
        <v>692</v>
      </c>
      <c r="V14" s="14" t="s">
        <v>692</v>
      </c>
      <c r="W14" s="12" t="s">
        <v>352</v>
      </c>
      <c r="X14" s="14" t="s">
        <v>351</v>
      </c>
      <c r="Y14" s="12" t="s">
        <v>398</v>
      </c>
      <c r="Z14" s="14" t="s">
        <v>501</v>
      </c>
      <c r="AA14" s="12" t="s">
        <v>219</v>
      </c>
      <c r="AB14" s="14" t="s">
        <v>178</v>
      </c>
      <c r="AC14" s="12" t="s">
        <v>50</v>
      </c>
      <c r="AD14" s="14" t="s">
        <v>728</v>
      </c>
      <c r="AE14" s="12" t="s">
        <v>692</v>
      </c>
      <c r="AF14" s="14" t="s">
        <v>692</v>
      </c>
      <c r="AG14" s="12" t="s">
        <v>692</v>
      </c>
      <c r="AH14" s="14" t="s">
        <v>692</v>
      </c>
      <c r="AI14" s="12" t="s">
        <v>692</v>
      </c>
      <c r="AJ14" s="14" t="s">
        <v>692</v>
      </c>
      <c r="AK14" s="12" t="s">
        <v>692</v>
      </c>
      <c r="AL14" s="14" t="s">
        <v>692</v>
      </c>
      <c r="AM14" s="12" t="s">
        <v>708</v>
      </c>
      <c r="AN14" s="14" t="s">
        <v>837</v>
      </c>
      <c r="AO14" s="12" t="s">
        <v>203</v>
      </c>
      <c r="AP14" s="14" t="s">
        <v>1075</v>
      </c>
      <c r="AQ14" s="2" t="s">
        <v>692</v>
      </c>
      <c r="AR14" s="14" t="s">
        <v>692</v>
      </c>
    </row>
    <row r="15" spans="1:44" ht="7.35" customHeight="1" x14ac:dyDescent="0.25">
      <c r="A15" s="12" t="s">
        <v>692</v>
      </c>
      <c r="B15" s="14" t="s">
        <v>692</v>
      </c>
      <c r="C15" s="12" t="s">
        <v>692</v>
      </c>
      <c r="D15" s="14" t="s">
        <v>692</v>
      </c>
      <c r="E15" s="12" t="s">
        <v>1127</v>
      </c>
      <c r="F15" s="14" t="s">
        <v>1128</v>
      </c>
      <c r="G15" s="12" t="s">
        <v>692</v>
      </c>
      <c r="H15" s="14" t="s">
        <v>692</v>
      </c>
      <c r="I15" s="12" t="s">
        <v>1009</v>
      </c>
      <c r="J15" s="14" t="s">
        <v>1000</v>
      </c>
      <c r="K15" s="12" t="s">
        <v>1014</v>
      </c>
      <c r="L15" s="14" t="s">
        <v>1013</v>
      </c>
      <c r="M15" s="12" t="s">
        <v>692</v>
      </c>
      <c r="N15" s="14" t="s">
        <v>692</v>
      </c>
      <c r="O15" s="12" t="s">
        <v>25</v>
      </c>
      <c r="P15" s="14" t="s">
        <v>502</v>
      </c>
      <c r="Q15" s="12" t="s">
        <v>692</v>
      </c>
      <c r="R15" s="14" t="s">
        <v>692</v>
      </c>
      <c r="S15" s="12" t="s">
        <v>23</v>
      </c>
      <c r="T15" s="14" t="s">
        <v>520</v>
      </c>
      <c r="U15" s="2" t="s">
        <v>692</v>
      </c>
      <c r="V15" s="14" t="s">
        <v>692</v>
      </c>
      <c r="W15" s="12" t="s">
        <v>308</v>
      </c>
      <c r="X15" s="14" t="s">
        <v>490</v>
      </c>
      <c r="Y15" s="12" t="s">
        <v>238</v>
      </c>
      <c r="Z15" s="14" t="s">
        <v>169</v>
      </c>
      <c r="AA15" s="12" t="s">
        <v>810</v>
      </c>
      <c r="AB15" s="14" t="s">
        <v>811</v>
      </c>
      <c r="AC15" s="12" t="s">
        <v>122</v>
      </c>
      <c r="AD15" s="14" t="s">
        <v>729</v>
      </c>
      <c r="AE15" s="12" t="s">
        <v>692</v>
      </c>
      <c r="AF15" s="14" t="s">
        <v>692</v>
      </c>
      <c r="AG15" s="12" t="s">
        <v>692</v>
      </c>
      <c r="AH15" s="14" t="s">
        <v>692</v>
      </c>
      <c r="AI15" s="12" t="s">
        <v>692</v>
      </c>
      <c r="AJ15" s="14" t="s">
        <v>692</v>
      </c>
      <c r="AK15" s="12" t="s">
        <v>692</v>
      </c>
      <c r="AL15" s="14" t="s">
        <v>692</v>
      </c>
      <c r="AM15" s="12" t="s">
        <v>248</v>
      </c>
      <c r="AN15" s="14" t="s">
        <v>838</v>
      </c>
      <c r="AO15" s="12" t="s">
        <v>692</v>
      </c>
      <c r="AP15" s="14" t="s">
        <v>692</v>
      </c>
      <c r="AQ15" s="2" t="s">
        <v>692</v>
      </c>
      <c r="AR15" s="14" t="s">
        <v>692</v>
      </c>
    </row>
    <row r="16" spans="1:44" ht="7.35" customHeight="1" x14ac:dyDescent="0.25">
      <c r="A16" s="12" t="s">
        <v>692</v>
      </c>
      <c r="B16" s="14" t="s">
        <v>692</v>
      </c>
      <c r="C16" s="12" t="s">
        <v>692</v>
      </c>
      <c r="D16" s="14" t="s">
        <v>692</v>
      </c>
      <c r="E16" s="12" t="s">
        <v>1129</v>
      </c>
      <c r="F16" s="14" t="s">
        <v>1136</v>
      </c>
      <c r="G16" s="12" t="s">
        <v>692</v>
      </c>
      <c r="H16" s="14" t="s">
        <v>692</v>
      </c>
      <c r="I16" s="12" t="s">
        <v>1010</v>
      </c>
      <c r="J16" s="14" t="s">
        <v>999</v>
      </c>
      <c r="K16" s="12" t="s">
        <v>90</v>
      </c>
      <c r="L16" s="14" t="s">
        <v>979</v>
      </c>
      <c r="M16" s="12" t="s">
        <v>692</v>
      </c>
      <c r="N16" s="14" t="s">
        <v>692</v>
      </c>
      <c r="O16" s="12" t="s">
        <v>135</v>
      </c>
      <c r="P16" s="14" t="s">
        <v>761</v>
      </c>
      <c r="Q16" s="12" t="s">
        <v>692</v>
      </c>
      <c r="R16" s="14" t="s">
        <v>692</v>
      </c>
      <c r="S16" s="12" t="s">
        <v>5033</v>
      </c>
      <c r="T16" s="14" t="s">
        <v>5035</v>
      </c>
      <c r="U16" s="2" t="s">
        <v>692</v>
      </c>
      <c r="V16" s="14" t="s">
        <v>692</v>
      </c>
      <c r="W16" s="12" t="s">
        <v>830</v>
      </c>
      <c r="X16" s="14" t="s">
        <v>84</v>
      </c>
      <c r="Y16" s="12" t="s">
        <v>62</v>
      </c>
      <c r="Z16" s="14" t="s">
        <v>585</v>
      </c>
      <c r="AA16" s="12" t="s">
        <v>183</v>
      </c>
      <c r="AB16" s="14" t="s">
        <v>180</v>
      </c>
      <c r="AC16" s="12" t="s">
        <v>370</v>
      </c>
      <c r="AD16" s="14" t="s">
        <v>710</v>
      </c>
      <c r="AE16" s="12" t="s">
        <v>692</v>
      </c>
      <c r="AF16" s="14" t="s">
        <v>692</v>
      </c>
      <c r="AG16" s="12" t="s">
        <v>692</v>
      </c>
      <c r="AH16" s="14" t="s">
        <v>692</v>
      </c>
      <c r="AI16" s="12" t="s">
        <v>692</v>
      </c>
      <c r="AJ16" s="14" t="s">
        <v>692</v>
      </c>
      <c r="AK16" s="12" t="s">
        <v>692</v>
      </c>
      <c r="AL16" s="14" t="s">
        <v>692</v>
      </c>
      <c r="AM16" s="12" t="s">
        <v>833</v>
      </c>
      <c r="AN16" s="14" t="s">
        <v>839</v>
      </c>
      <c r="AO16" s="12" t="s">
        <v>692</v>
      </c>
      <c r="AP16" s="14" t="s">
        <v>692</v>
      </c>
      <c r="AQ16" s="2" t="s">
        <v>692</v>
      </c>
      <c r="AR16" s="14" t="s">
        <v>692</v>
      </c>
    </row>
    <row r="17" spans="1:44" ht="7.35" customHeight="1" x14ac:dyDescent="0.25">
      <c r="A17" s="12" t="s">
        <v>692</v>
      </c>
      <c r="B17" s="14" t="s">
        <v>692</v>
      </c>
      <c r="C17" s="12" t="s">
        <v>692</v>
      </c>
      <c r="D17" s="14" t="s">
        <v>692</v>
      </c>
      <c r="E17" s="12" t="s">
        <v>1130</v>
      </c>
      <c r="F17" s="14" t="s">
        <v>1137</v>
      </c>
      <c r="G17" s="12" t="s">
        <v>692</v>
      </c>
      <c r="H17" s="14" t="s">
        <v>692</v>
      </c>
      <c r="I17" s="12" t="s">
        <v>346</v>
      </c>
      <c r="J17" s="14" t="s">
        <v>1003</v>
      </c>
      <c r="K17" s="12" t="s">
        <v>235</v>
      </c>
      <c r="L17" s="14" t="s">
        <v>812</v>
      </c>
      <c r="M17" s="12" t="s">
        <v>692</v>
      </c>
      <c r="N17" s="14" t="s">
        <v>692</v>
      </c>
      <c r="O17" s="12" t="s">
        <v>17</v>
      </c>
      <c r="P17" s="14" t="s">
        <v>647</v>
      </c>
      <c r="Q17" s="12" t="s">
        <v>692</v>
      </c>
      <c r="R17" s="14" t="s">
        <v>692</v>
      </c>
      <c r="S17" s="12" t="s">
        <v>692</v>
      </c>
      <c r="T17" s="14" t="s">
        <v>692</v>
      </c>
      <c r="U17" s="2" t="s">
        <v>692</v>
      </c>
      <c r="V17" s="14" t="s">
        <v>692</v>
      </c>
      <c r="W17" s="12" t="s">
        <v>10</v>
      </c>
      <c r="X17" s="14" t="s">
        <v>1018</v>
      </c>
      <c r="Y17" s="12" t="s">
        <v>123</v>
      </c>
      <c r="Z17" s="14" t="s">
        <v>566</v>
      </c>
      <c r="AA17" s="12" t="s">
        <v>313</v>
      </c>
      <c r="AB17" s="14" t="s">
        <v>312</v>
      </c>
      <c r="AC17" s="12" t="s">
        <v>35</v>
      </c>
      <c r="AD17" s="14" t="s">
        <v>730</v>
      </c>
      <c r="AE17" s="12" t="s">
        <v>692</v>
      </c>
      <c r="AF17" s="14" t="s">
        <v>692</v>
      </c>
      <c r="AG17" s="12" t="s">
        <v>692</v>
      </c>
      <c r="AH17" s="14" t="s">
        <v>692</v>
      </c>
      <c r="AI17" s="12" t="s">
        <v>692</v>
      </c>
      <c r="AJ17" s="14" t="s">
        <v>692</v>
      </c>
      <c r="AK17" s="12" t="s">
        <v>692</v>
      </c>
      <c r="AL17" s="14" t="s">
        <v>692</v>
      </c>
      <c r="AM17" s="12" t="s">
        <v>834</v>
      </c>
      <c r="AN17" s="14" t="s">
        <v>840</v>
      </c>
      <c r="AO17" s="12" t="s">
        <v>692</v>
      </c>
      <c r="AP17" s="14" t="s">
        <v>692</v>
      </c>
      <c r="AQ17" s="2" t="s">
        <v>692</v>
      </c>
      <c r="AR17" s="14" t="s">
        <v>692</v>
      </c>
    </row>
    <row r="18" spans="1:44" ht="7.35" customHeight="1" x14ac:dyDescent="0.25">
      <c r="A18" s="12" t="s">
        <v>692</v>
      </c>
      <c r="B18" s="14" t="s">
        <v>692</v>
      </c>
      <c r="C18" s="12" t="s">
        <v>692</v>
      </c>
      <c r="D18" s="14" t="s">
        <v>692</v>
      </c>
      <c r="E18" s="12" t="s">
        <v>1131</v>
      </c>
      <c r="F18" s="14" t="s">
        <v>1138</v>
      </c>
      <c r="G18" s="12" t="s">
        <v>692</v>
      </c>
      <c r="H18" s="14" t="s">
        <v>692</v>
      </c>
      <c r="I18" s="12" t="s">
        <v>1002</v>
      </c>
      <c r="J18" s="14" t="s">
        <v>1001</v>
      </c>
      <c r="K18" s="12" t="s">
        <v>66</v>
      </c>
      <c r="L18" s="14" t="s">
        <v>589</v>
      </c>
      <c r="M18" s="12" t="s">
        <v>692</v>
      </c>
      <c r="N18" s="14" t="s">
        <v>692</v>
      </c>
      <c r="O18" s="12" t="s">
        <v>661</v>
      </c>
      <c r="P18" s="14" t="s">
        <v>600</v>
      </c>
      <c r="Q18" s="12" t="s">
        <v>692</v>
      </c>
      <c r="R18" s="14" t="s">
        <v>692</v>
      </c>
      <c r="S18" s="12" t="s">
        <v>692</v>
      </c>
      <c r="T18" s="14" t="s">
        <v>692</v>
      </c>
      <c r="U18" s="2" t="s">
        <v>692</v>
      </c>
      <c r="V18" s="14" t="s">
        <v>692</v>
      </c>
      <c r="W18" s="12" t="s">
        <v>77</v>
      </c>
      <c r="X18" s="14" t="s">
        <v>76</v>
      </c>
      <c r="Y18" s="12" t="s">
        <v>288</v>
      </c>
      <c r="Z18" s="14" t="s">
        <v>570</v>
      </c>
      <c r="AA18" s="12" t="s">
        <v>674</v>
      </c>
      <c r="AB18" s="14" t="s">
        <v>177</v>
      </c>
      <c r="AC18" s="12" t="s">
        <v>699</v>
      </c>
      <c r="AD18" s="14" t="s">
        <v>731</v>
      </c>
      <c r="AE18" s="12" t="s">
        <v>692</v>
      </c>
      <c r="AF18" s="14" t="s">
        <v>692</v>
      </c>
      <c r="AG18" s="12" t="s">
        <v>692</v>
      </c>
      <c r="AH18" s="14" t="s">
        <v>692</v>
      </c>
      <c r="AI18" s="12" t="s">
        <v>692</v>
      </c>
      <c r="AJ18" s="14" t="s">
        <v>692</v>
      </c>
      <c r="AK18" s="12" t="s">
        <v>692</v>
      </c>
      <c r="AL18" s="14" t="s">
        <v>692</v>
      </c>
      <c r="AM18" s="12" t="s">
        <v>835</v>
      </c>
      <c r="AN18" s="14" t="s">
        <v>841</v>
      </c>
      <c r="AO18" s="12" t="s">
        <v>692</v>
      </c>
      <c r="AP18" s="14" t="s">
        <v>692</v>
      </c>
      <c r="AQ18" s="2" t="s">
        <v>692</v>
      </c>
      <c r="AR18" s="14" t="s">
        <v>692</v>
      </c>
    </row>
    <row r="19" spans="1:44" ht="7.35" customHeight="1" x14ac:dyDescent="0.25">
      <c r="A19" s="12" t="s">
        <v>692</v>
      </c>
      <c r="B19" s="14" t="s">
        <v>692</v>
      </c>
      <c r="C19" s="12" t="s">
        <v>692</v>
      </c>
      <c r="D19" s="14" t="s">
        <v>692</v>
      </c>
      <c r="E19" s="12" t="s">
        <v>1132</v>
      </c>
      <c r="F19" s="14" t="s">
        <v>1139</v>
      </c>
      <c r="G19" s="12" t="s">
        <v>692</v>
      </c>
      <c r="H19" s="14" t="s">
        <v>692</v>
      </c>
      <c r="I19" s="12" t="s">
        <v>125</v>
      </c>
      <c r="J19" s="14" t="s">
        <v>669</v>
      </c>
      <c r="K19" s="12" t="s">
        <v>5084</v>
      </c>
      <c r="L19" s="14" t="s">
        <v>5082</v>
      </c>
      <c r="M19" s="12" t="s">
        <v>692</v>
      </c>
      <c r="N19" s="14" t="s">
        <v>692</v>
      </c>
      <c r="O19" s="12" t="s">
        <v>675</v>
      </c>
      <c r="P19" s="14" t="s">
        <v>676</v>
      </c>
      <c r="Q19" s="12" t="s">
        <v>692</v>
      </c>
      <c r="R19" s="14" t="s">
        <v>692</v>
      </c>
      <c r="S19" s="12" t="s">
        <v>692</v>
      </c>
      <c r="T19" s="14" t="s">
        <v>692</v>
      </c>
      <c r="U19" s="2" t="s">
        <v>692</v>
      </c>
      <c r="V19" s="14" t="s">
        <v>692</v>
      </c>
      <c r="W19" s="12" t="s">
        <v>119</v>
      </c>
      <c r="X19" s="14" t="s">
        <v>821</v>
      </c>
      <c r="Y19" s="12" t="s">
        <v>756</v>
      </c>
      <c r="Z19" s="14" t="s">
        <v>518</v>
      </c>
      <c r="AA19" s="12" t="s">
        <v>251</v>
      </c>
      <c r="AB19" s="14" t="s">
        <v>670</v>
      </c>
      <c r="AC19" s="12" t="s">
        <v>253</v>
      </c>
      <c r="AD19" s="14" t="s">
        <v>727</v>
      </c>
      <c r="AE19" s="12" t="s">
        <v>692</v>
      </c>
      <c r="AF19" s="14" t="s">
        <v>692</v>
      </c>
      <c r="AG19" s="12" t="s">
        <v>692</v>
      </c>
      <c r="AH19" s="14" t="s">
        <v>692</v>
      </c>
      <c r="AI19" s="12" t="s">
        <v>692</v>
      </c>
      <c r="AJ19" s="14" t="s">
        <v>692</v>
      </c>
      <c r="AK19" s="12" t="s">
        <v>692</v>
      </c>
      <c r="AL19" s="14" t="s">
        <v>692</v>
      </c>
      <c r="AM19" s="12" t="s">
        <v>249</v>
      </c>
      <c r="AN19" s="14" t="s">
        <v>842</v>
      </c>
      <c r="AO19" s="12" t="s">
        <v>692</v>
      </c>
      <c r="AP19" s="14" t="s">
        <v>692</v>
      </c>
      <c r="AQ19" s="2" t="s">
        <v>692</v>
      </c>
      <c r="AR19" s="14" t="s">
        <v>692</v>
      </c>
    </row>
    <row r="20" spans="1:44" ht="7.35" customHeight="1" x14ac:dyDescent="0.25">
      <c r="A20" s="12" t="s">
        <v>692</v>
      </c>
      <c r="B20" s="14" t="s">
        <v>692</v>
      </c>
      <c r="C20" s="12" t="s">
        <v>692</v>
      </c>
      <c r="D20" s="14" t="s">
        <v>692</v>
      </c>
      <c r="E20" s="12" t="s">
        <v>1133</v>
      </c>
      <c r="F20" s="14" t="s">
        <v>1140</v>
      </c>
      <c r="G20" s="12" t="s">
        <v>692</v>
      </c>
      <c r="H20" s="14" t="s">
        <v>692</v>
      </c>
      <c r="I20" s="12" t="s">
        <v>692</v>
      </c>
      <c r="J20" s="14" t="s">
        <v>692</v>
      </c>
      <c r="K20" s="12" t="s">
        <v>636</v>
      </c>
      <c r="L20" s="14" t="s">
        <v>637</v>
      </c>
      <c r="M20" s="12" t="s">
        <v>692</v>
      </c>
      <c r="N20" s="14" t="s">
        <v>692</v>
      </c>
      <c r="O20" s="12" t="s">
        <v>91</v>
      </c>
      <c r="P20" s="14" t="s">
        <v>594</v>
      </c>
      <c r="Q20" s="12" t="s">
        <v>692</v>
      </c>
      <c r="R20" s="14" t="s">
        <v>692</v>
      </c>
      <c r="S20" s="12" t="s">
        <v>692</v>
      </c>
      <c r="T20" s="14" t="s">
        <v>692</v>
      </c>
      <c r="U20" s="2" t="s">
        <v>692</v>
      </c>
      <c r="V20" s="14" t="s">
        <v>692</v>
      </c>
      <c r="W20" s="12" t="s">
        <v>774</v>
      </c>
      <c r="X20" s="14" t="s">
        <v>773</v>
      </c>
      <c r="Y20" s="12" t="s">
        <v>783</v>
      </c>
      <c r="Z20" s="14" t="s">
        <v>784</v>
      </c>
      <c r="AA20" s="12" t="s">
        <v>805</v>
      </c>
      <c r="AB20" s="14" t="s">
        <v>806</v>
      </c>
      <c r="AC20" s="12" t="s">
        <v>565</v>
      </c>
      <c r="AD20" s="14" t="s">
        <v>726</v>
      </c>
      <c r="AE20" s="12" t="s">
        <v>692</v>
      </c>
      <c r="AF20" s="14" t="s">
        <v>692</v>
      </c>
      <c r="AG20" s="12" t="s">
        <v>692</v>
      </c>
      <c r="AH20" s="14" t="s">
        <v>692</v>
      </c>
      <c r="AI20" s="12" t="s">
        <v>692</v>
      </c>
      <c r="AJ20" s="14" t="s">
        <v>692</v>
      </c>
      <c r="AK20" s="12" t="s">
        <v>692</v>
      </c>
      <c r="AL20" s="14" t="s">
        <v>692</v>
      </c>
      <c r="AM20" s="12" t="s">
        <v>836</v>
      </c>
      <c r="AN20" s="14" t="s">
        <v>843</v>
      </c>
      <c r="AO20" s="12" t="s">
        <v>692</v>
      </c>
      <c r="AP20" s="14" t="s">
        <v>692</v>
      </c>
      <c r="AQ20" s="2" t="s">
        <v>692</v>
      </c>
      <c r="AR20" s="14" t="s">
        <v>692</v>
      </c>
    </row>
    <row r="21" spans="1:44" ht="7.35" customHeight="1" x14ac:dyDescent="0.25">
      <c r="A21" s="12" t="s">
        <v>692</v>
      </c>
      <c r="B21" s="14" t="s">
        <v>692</v>
      </c>
      <c r="C21" s="12" t="s">
        <v>692</v>
      </c>
      <c r="D21" s="14" t="s">
        <v>692</v>
      </c>
      <c r="E21" s="12" t="s">
        <v>1134</v>
      </c>
      <c r="F21" s="14" t="s">
        <v>1141</v>
      </c>
      <c r="G21" s="12" t="s">
        <v>692</v>
      </c>
      <c r="H21" s="14" t="s">
        <v>692</v>
      </c>
      <c r="I21" s="12" t="s">
        <v>692</v>
      </c>
      <c r="J21" s="14" t="s">
        <v>692</v>
      </c>
      <c r="K21" s="12" t="s">
        <v>639</v>
      </c>
      <c r="L21" s="14" t="s">
        <v>638</v>
      </c>
      <c r="M21" s="12" t="s">
        <v>692</v>
      </c>
      <c r="N21" s="14" t="s">
        <v>692</v>
      </c>
      <c r="O21" s="12" t="s">
        <v>692</v>
      </c>
      <c r="P21" s="14" t="s">
        <v>692</v>
      </c>
      <c r="Q21" s="12" t="s">
        <v>692</v>
      </c>
      <c r="R21" s="14" t="s">
        <v>692</v>
      </c>
      <c r="S21" s="12" t="s">
        <v>692</v>
      </c>
      <c r="T21" s="14" t="s">
        <v>692</v>
      </c>
      <c r="U21" s="2" t="s">
        <v>692</v>
      </c>
      <c r="V21" s="14" t="s">
        <v>692</v>
      </c>
      <c r="W21" s="12" t="s">
        <v>1020</v>
      </c>
      <c r="X21" s="14" t="s">
        <v>297</v>
      </c>
      <c r="Y21" s="12" t="s">
        <v>692</v>
      </c>
      <c r="Z21" s="14" t="s">
        <v>692</v>
      </c>
      <c r="AA21" s="12" t="s">
        <v>220</v>
      </c>
      <c r="AB21" s="14" t="s">
        <v>173</v>
      </c>
      <c r="AC21" s="12" t="s">
        <v>802</v>
      </c>
      <c r="AD21" s="14" t="s">
        <v>803</v>
      </c>
      <c r="AE21" s="12" t="s">
        <v>692</v>
      </c>
      <c r="AF21" s="14" t="s">
        <v>692</v>
      </c>
      <c r="AG21" s="12" t="s">
        <v>692</v>
      </c>
      <c r="AH21" s="14" t="s">
        <v>692</v>
      </c>
      <c r="AI21" s="12" t="s">
        <v>692</v>
      </c>
      <c r="AJ21" s="14" t="s">
        <v>692</v>
      </c>
      <c r="AK21" s="12" t="s">
        <v>692</v>
      </c>
      <c r="AL21" s="14" t="s">
        <v>692</v>
      </c>
      <c r="AM21" s="12" t="s">
        <v>692</v>
      </c>
      <c r="AN21" s="14" t="s">
        <v>692</v>
      </c>
      <c r="AO21" s="12" t="s">
        <v>692</v>
      </c>
      <c r="AP21" s="14" t="s">
        <v>692</v>
      </c>
      <c r="AQ21" s="2" t="s">
        <v>692</v>
      </c>
      <c r="AR21" s="14" t="s">
        <v>692</v>
      </c>
    </row>
    <row r="22" spans="1:44" ht="7.35" customHeight="1" x14ac:dyDescent="0.25">
      <c r="A22" s="12" t="s">
        <v>692</v>
      </c>
      <c r="B22" s="14" t="s">
        <v>692</v>
      </c>
      <c r="C22" s="12" t="s">
        <v>692</v>
      </c>
      <c r="D22" s="14" t="s">
        <v>692</v>
      </c>
      <c r="E22" s="12" t="s">
        <v>1135</v>
      </c>
      <c r="F22" s="14" t="s">
        <v>1142</v>
      </c>
      <c r="G22" s="12" t="s">
        <v>692</v>
      </c>
      <c r="H22" s="14" t="s">
        <v>692</v>
      </c>
      <c r="I22" s="12" t="s">
        <v>692</v>
      </c>
      <c r="J22" s="14" t="s">
        <v>692</v>
      </c>
      <c r="K22" s="12" t="s">
        <v>641</v>
      </c>
      <c r="L22" s="14" t="s">
        <v>640</v>
      </c>
      <c r="M22" s="12" t="s">
        <v>692</v>
      </c>
      <c r="N22" s="14" t="s">
        <v>692</v>
      </c>
      <c r="O22" s="12" t="s">
        <v>692</v>
      </c>
      <c r="P22" s="14" t="s">
        <v>692</v>
      </c>
      <c r="Q22" s="12" t="s">
        <v>692</v>
      </c>
      <c r="R22" s="14" t="s">
        <v>692</v>
      </c>
      <c r="S22" s="12" t="s">
        <v>692</v>
      </c>
      <c r="T22" s="14" t="s">
        <v>692</v>
      </c>
      <c r="U22" s="2" t="s">
        <v>692</v>
      </c>
      <c r="V22" s="14" t="s">
        <v>692</v>
      </c>
      <c r="W22" s="12" t="s">
        <v>227</v>
      </c>
      <c r="X22" s="14" t="s">
        <v>226</v>
      </c>
      <c r="Y22" s="12" t="s">
        <v>692</v>
      </c>
      <c r="Z22" s="14" t="s">
        <v>692</v>
      </c>
      <c r="AA22" s="12" t="s">
        <v>290</v>
      </c>
      <c r="AB22" s="14" t="s">
        <v>182</v>
      </c>
      <c r="AC22" s="12" t="s">
        <v>752</v>
      </c>
      <c r="AD22" s="14" t="s">
        <v>693</v>
      </c>
      <c r="AE22" s="12" t="s">
        <v>692</v>
      </c>
      <c r="AF22" s="14" t="s">
        <v>692</v>
      </c>
      <c r="AG22" s="12" t="s">
        <v>692</v>
      </c>
      <c r="AH22" s="14" t="s">
        <v>692</v>
      </c>
      <c r="AI22" s="12" t="s">
        <v>692</v>
      </c>
      <c r="AJ22" s="14" t="s">
        <v>692</v>
      </c>
      <c r="AK22" s="12" t="s">
        <v>692</v>
      </c>
      <c r="AL22" s="14" t="s">
        <v>692</v>
      </c>
      <c r="AM22" s="12" t="s">
        <v>692</v>
      </c>
      <c r="AN22" s="14" t="s">
        <v>692</v>
      </c>
      <c r="AO22" s="12" t="s">
        <v>692</v>
      </c>
      <c r="AP22" s="14" t="s">
        <v>692</v>
      </c>
      <c r="AQ22" s="2" t="s">
        <v>692</v>
      </c>
      <c r="AR22" s="14" t="s">
        <v>692</v>
      </c>
    </row>
    <row r="23" spans="1:44" ht="7.35" customHeight="1" x14ac:dyDescent="0.25">
      <c r="A23" s="12" t="s">
        <v>692</v>
      </c>
      <c r="B23" s="14" t="s">
        <v>692</v>
      </c>
      <c r="C23" s="12" t="s">
        <v>692</v>
      </c>
      <c r="D23" s="14" t="s">
        <v>692</v>
      </c>
      <c r="E23" s="12" t="s">
        <v>692</v>
      </c>
      <c r="F23" s="14" t="s">
        <v>692</v>
      </c>
      <c r="G23" s="12" t="s">
        <v>692</v>
      </c>
      <c r="H23" s="14" t="s">
        <v>692</v>
      </c>
      <c r="I23" s="12" t="s">
        <v>692</v>
      </c>
      <c r="J23" s="14" t="s">
        <v>692</v>
      </c>
      <c r="K23" s="12" t="s">
        <v>53</v>
      </c>
      <c r="L23" s="14" t="s">
        <v>582</v>
      </c>
      <c r="M23" s="12" t="s">
        <v>692</v>
      </c>
      <c r="N23" s="14" t="s">
        <v>692</v>
      </c>
      <c r="O23" s="12" t="s">
        <v>692</v>
      </c>
      <c r="P23" s="14" t="s">
        <v>692</v>
      </c>
      <c r="Q23" s="12" t="s">
        <v>692</v>
      </c>
      <c r="R23" s="14" t="s">
        <v>692</v>
      </c>
      <c r="S23" s="12" t="s">
        <v>692</v>
      </c>
      <c r="T23" s="14" t="s">
        <v>692</v>
      </c>
      <c r="U23" s="2" t="s">
        <v>692</v>
      </c>
      <c r="V23" s="14" t="s">
        <v>692</v>
      </c>
      <c r="W23" s="12" t="s">
        <v>155</v>
      </c>
      <c r="X23" s="14" t="s">
        <v>154</v>
      </c>
      <c r="Y23" s="12" t="s">
        <v>692</v>
      </c>
      <c r="Z23" s="14" t="s">
        <v>692</v>
      </c>
      <c r="AA23" s="12" t="s">
        <v>234</v>
      </c>
      <c r="AB23" s="14" t="s">
        <v>591</v>
      </c>
      <c r="AC23" s="12" t="s">
        <v>754</v>
      </c>
      <c r="AD23" s="14" t="s">
        <v>702</v>
      </c>
      <c r="AE23" s="12" t="s">
        <v>692</v>
      </c>
      <c r="AF23" s="14" t="s">
        <v>692</v>
      </c>
      <c r="AG23" s="12" t="s">
        <v>692</v>
      </c>
      <c r="AH23" s="14" t="s">
        <v>692</v>
      </c>
      <c r="AI23" s="12" t="s">
        <v>692</v>
      </c>
      <c r="AJ23" s="14" t="s">
        <v>692</v>
      </c>
      <c r="AK23" s="12" t="s">
        <v>692</v>
      </c>
      <c r="AL23" s="14" t="s">
        <v>692</v>
      </c>
      <c r="AM23" s="12" t="s">
        <v>692</v>
      </c>
      <c r="AN23" s="14" t="s">
        <v>692</v>
      </c>
      <c r="AO23" s="12" t="s">
        <v>692</v>
      </c>
      <c r="AP23" s="14" t="s">
        <v>692</v>
      </c>
      <c r="AQ23" s="2" t="s">
        <v>692</v>
      </c>
      <c r="AR23" s="14" t="s">
        <v>692</v>
      </c>
    </row>
    <row r="24" spans="1:44" ht="7.35" customHeight="1" x14ac:dyDescent="0.25">
      <c r="A24" s="12" t="s">
        <v>692</v>
      </c>
      <c r="B24" s="14" t="s">
        <v>692</v>
      </c>
      <c r="C24" s="12" t="s">
        <v>692</v>
      </c>
      <c r="D24" s="14" t="s">
        <v>692</v>
      </c>
      <c r="E24" s="12" t="s">
        <v>692</v>
      </c>
      <c r="F24" s="14" t="s">
        <v>692</v>
      </c>
      <c r="G24" s="12" t="s">
        <v>692</v>
      </c>
      <c r="H24" s="14" t="s">
        <v>692</v>
      </c>
      <c r="I24" s="12" t="s">
        <v>692</v>
      </c>
      <c r="J24" s="14" t="s">
        <v>692</v>
      </c>
      <c r="K24" s="12" t="s">
        <v>65</v>
      </c>
      <c r="L24" s="14" t="s">
        <v>844</v>
      </c>
      <c r="M24" s="12" t="s">
        <v>692</v>
      </c>
      <c r="N24" s="14" t="s">
        <v>692</v>
      </c>
      <c r="O24" s="12" t="s">
        <v>692</v>
      </c>
      <c r="P24" s="14" t="s">
        <v>692</v>
      </c>
      <c r="Q24" s="12" t="s">
        <v>692</v>
      </c>
      <c r="R24" s="14" t="s">
        <v>692</v>
      </c>
      <c r="S24" s="12" t="s">
        <v>692</v>
      </c>
      <c r="T24" s="14" t="s">
        <v>692</v>
      </c>
      <c r="U24" s="2" t="s">
        <v>692</v>
      </c>
      <c r="V24" s="14" t="s">
        <v>692</v>
      </c>
      <c r="W24" s="12" t="s">
        <v>21</v>
      </c>
      <c r="X24" s="14" t="s">
        <v>521</v>
      </c>
      <c r="Y24" s="12" t="s">
        <v>692</v>
      </c>
      <c r="Z24" s="14" t="s">
        <v>692</v>
      </c>
      <c r="AA24" s="12" t="s">
        <v>344</v>
      </c>
      <c r="AB24" s="14" t="s">
        <v>592</v>
      </c>
      <c r="AC24" s="12" t="s">
        <v>751</v>
      </c>
      <c r="AD24" s="14" t="s">
        <v>701</v>
      </c>
      <c r="AE24" s="12" t="s">
        <v>692</v>
      </c>
      <c r="AF24" s="14" t="s">
        <v>692</v>
      </c>
      <c r="AG24" s="12" t="s">
        <v>692</v>
      </c>
      <c r="AH24" s="14" t="s">
        <v>692</v>
      </c>
      <c r="AI24" s="12" t="s">
        <v>692</v>
      </c>
      <c r="AJ24" s="14" t="s">
        <v>692</v>
      </c>
      <c r="AK24" s="12" t="s">
        <v>692</v>
      </c>
      <c r="AL24" s="14" t="s">
        <v>692</v>
      </c>
      <c r="AM24" s="12" t="s">
        <v>692</v>
      </c>
      <c r="AN24" s="14" t="s">
        <v>692</v>
      </c>
      <c r="AO24" s="12" t="s">
        <v>692</v>
      </c>
      <c r="AP24" s="14" t="s">
        <v>692</v>
      </c>
      <c r="AQ24" s="2" t="s">
        <v>692</v>
      </c>
      <c r="AR24" s="14" t="s">
        <v>692</v>
      </c>
    </row>
    <row r="25" spans="1:44" ht="7.35" customHeight="1" x14ac:dyDescent="0.25">
      <c r="A25" s="12" t="s">
        <v>692</v>
      </c>
      <c r="B25" s="14" t="s">
        <v>692</v>
      </c>
      <c r="C25" s="12" t="s">
        <v>692</v>
      </c>
      <c r="D25" s="14" t="s">
        <v>692</v>
      </c>
      <c r="E25" s="12" t="s">
        <v>692</v>
      </c>
      <c r="F25" s="14" t="s">
        <v>692</v>
      </c>
      <c r="G25" s="12" t="s">
        <v>692</v>
      </c>
      <c r="H25" s="14" t="s">
        <v>692</v>
      </c>
      <c r="I25" s="12" t="s">
        <v>692</v>
      </c>
      <c r="J25" s="14" t="s">
        <v>692</v>
      </c>
      <c r="K25" s="12" t="s">
        <v>692</v>
      </c>
      <c r="L25" s="14" t="s">
        <v>692</v>
      </c>
      <c r="M25" s="12" t="s">
        <v>692</v>
      </c>
      <c r="N25" s="14" t="s">
        <v>692</v>
      </c>
      <c r="O25" s="12" t="s">
        <v>692</v>
      </c>
      <c r="P25" s="14" t="s">
        <v>692</v>
      </c>
      <c r="Q25" s="12" t="s">
        <v>692</v>
      </c>
      <c r="R25" s="14" t="s">
        <v>692</v>
      </c>
      <c r="S25" s="12" t="s">
        <v>692</v>
      </c>
      <c r="T25" s="14" t="s">
        <v>692</v>
      </c>
      <c r="U25" s="2" t="s">
        <v>692</v>
      </c>
      <c r="V25" s="14" t="s">
        <v>692</v>
      </c>
      <c r="W25" s="12" t="s">
        <v>75</v>
      </c>
      <c r="X25" s="14" t="s">
        <v>576</v>
      </c>
      <c r="Y25" s="12" t="s">
        <v>692</v>
      </c>
      <c r="Z25" s="14" t="s">
        <v>692</v>
      </c>
      <c r="AA25" s="12" t="s">
        <v>673</v>
      </c>
      <c r="AB25" s="14" t="s">
        <v>292</v>
      </c>
      <c r="AC25" s="12" t="s">
        <v>44</v>
      </c>
      <c r="AD25" s="14" t="s">
        <v>725</v>
      </c>
      <c r="AE25" s="12" t="s">
        <v>692</v>
      </c>
      <c r="AF25" s="14" t="s">
        <v>692</v>
      </c>
      <c r="AG25" s="12" t="s">
        <v>692</v>
      </c>
      <c r="AH25" s="14" t="s">
        <v>692</v>
      </c>
      <c r="AI25" s="12" t="s">
        <v>692</v>
      </c>
      <c r="AJ25" s="14" t="s">
        <v>692</v>
      </c>
      <c r="AK25" s="12" t="s">
        <v>692</v>
      </c>
      <c r="AL25" s="14" t="s">
        <v>692</v>
      </c>
      <c r="AM25" s="12" t="s">
        <v>692</v>
      </c>
      <c r="AN25" s="14" t="s">
        <v>692</v>
      </c>
      <c r="AO25" s="12" t="s">
        <v>692</v>
      </c>
      <c r="AP25" s="14" t="s">
        <v>692</v>
      </c>
      <c r="AQ25" s="2" t="s">
        <v>692</v>
      </c>
      <c r="AR25" s="14" t="s">
        <v>692</v>
      </c>
    </row>
    <row r="26" spans="1:44" ht="7.35" customHeight="1" x14ac:dyDescent="0.25">
      <c r="A26" s="12" t="s">
        <v>692</v>
      </c>
      <c r="B26" s="14" t="s">
        <v>692</v>
      </c>
      <c r="C26" s="12" t="s">
        <v>692</v>
      </c>
      <c r="D26" s="14" t="s">
        <v>692</v>
      </c>
      <c r="E26" s="12" t="s">
        <v>692</v>
      </c>
      <c r="F26" s="14" t="s">
        <v>692</v>
      </c>
      <c r="G26" s="12" t="s">
        <v>692</v>
      </c>
      <c r="H26" s="14" t="s">
        <v>692</v>
      </c>
      <c r="I26" s="12" t="s">
        <v>692</v>
      </c>
      <c r="J26" s="14" t="s">
        <v>692</v>
      </c>
      <c r="K26" s="12" t="s">
        <v>692</v>
      </c>
      <c r="L26" s="14" t="s">
        <v>692</v>
      </c>
      <c r="M26" s="12" t="s">
        <v>692</v>
      </c>
      <c r="N26" s="14" t="s">
        <v>692</v>
      </c>
      <c r="O26" s="12" t="s">
        <v>692</v>
      </c>
      <c r="P26" s="14" t="s">
        <v>692</v>
      </c>
      <c r="Q26" s="12" t="s">
        <v>692</v>
      </c>
      <c r="R26" s="14" t="s">
        <v>692</v>
      </c>
      <c r="S26" s="12" t="s">
        <v>692</v>
      </c>
      <c r="T26" s="14" t="s">
        <v>692</v>
      </c>
      <c r="U26" s="2" t="s">
        <v>692</v>
      </c>
      <c r="V26" s="14" t="s">
        <v>692</v>
      </c>
      <c r="W26" s="12" t="s">
        <v>296</v>
      </c>
      <c r="X26" s="14" t="s">
        <v>306</v>
      </c>
      <c r="Y26" s="12" t="s">
        <v>692</v>
      </c>
      <c r="Z26" s="14" t="s">
        <v>692</v>
      </c>
      <c r="AA26" s="12" t="s">
        <v>815</v>
      </c>
      <c r="AB26" s="14" t="s">
        <v>816</v>
      </c>
      <c r="AC26" s="12" t="s">
        <v>697</v>
      </c>
      <c r="AD26" s="14" t="s">
        <v>696</v>
      </c>
      <c r="AE26" s="12" t="s">
        <v>692</v>
      </c>
      <c r="AF26" s="14" t="s">
        <v>692</v>
      </c>
      <c r="AG26" s="12" t="s">
        <v>692</v>
      </c>
      <c r="AH26" s="14" t="s">
        <v>692</v>
      </c>
      <c r="AI26" s="12" t="s">
        <v>692</v>
      </c>
      <c r="AJ26" s="14" t="s">
        <v>692</v>
      </c>
      <c r="AK26" s="12" t="s">
        <v>692</v>
      </c>
      <c r="AL26" s="14" t="s">
        <v>692</v>
      </c>
      <c r="AM26" s="12" t="s">
        <v>692</v>
      </c>
      <c r="AN26" s="14" t="s">
        <v>692</v>
      </c>
      <c r="AO26" s="12" t="s">
        <v>692</v>
      </c>
      <c r="AP26" s="14" t="s">
        <v>692</v>
      </c>
      <c r="AQ26" s="2" t="s">
        <v>692</v>
      </c>
      <c r="AR26" s="14" t="s">
        <v>692</v>
      </c>
    </row>
    <row r="27" spans="1:44" ht="7.35" customHeight="1" x14ac:dyDescent="0.25">
      <c r="A27" s="12" t="s">
        <v>692</v>
      </c>
      <c r="B27" s="14" t="s">
        <v>692</v>
      </c>
      <c r="C27" s="12" t="s">
        <v>692</v>
      </c>
      <c r="D27" s="14" t="s">
        <v>692</v>
      </c>
      <c r="E27" s="12" t="s">
        <v>692</v>
      </c>
      <c r="F27" s="14" t="s">
        <v>692</v>
      </c>
      <c r="G27" s="12" t="s">
        <v>692</v>
      </c>
      <c r="H27" s="14" t="s">
        <v>692</v>
      </c>
      <c r="I27" s="12" t="s">
        <v>692</v>
      </c>
      <c r="J27" s="14" t="s">
        <v>692</v>
      </c>
      <c r="K27" s="12" t="s">
        <v>692</v>
      </c>
      <c r="L27" s="14" t="s">
        <v>692</v>
      </c>
      <c r="M27" s="12" t="s">
        <v>692</v>
      </c>
      <c r="N27" s="14" t="s">
        <v>692</v>
      </c>
      <c r="O27" s="12" t="s">
        <v>692</v>
      </c>
      <c r="P27" s="14" t="s">
        <v>692</v>
      </c>
      <c r="Q27" s="12" t="s">
        <v>692</v>
      </c>
      <c r="R27" s="14" t="s">
        <v>692</v>
      </c>
      <c r="S27" s="12" t="s">
        <v>692</v>
      </c>
      <c r="T27" s="14" t="s">
        <v>692</v>
      </c>
      <c r="U27" s="2" t="s">
        <v>692</v>
      </c>
      <c r="V27" s="14" t="s">
        <v>692</v>
      </c>
      <c r="W27" s="12" t="s">
        <v>744</v>
      </c>
      <c r="X27" s="14" t="s">
        <v>745</v>
      </c>
      <c r="Y27" s="12" t="s">
        <v>692</v>
      </c>
      <c r="Z27" s="14" t="s">
        <v>692</v>
      </c>
      <c r="AA27" s="12" t="s">
        <v>817</v>
      </c>
      <c r="AB27" s="14" t="s">
        <v>818</v>
      </c>
      <c r="AC27" s="12" t="s">
        <v>753</v>
      </c>
      <c r="AD27" s="14" t="s">
        <v>698</v>
      </c>
      <c r="AE27" s="12" t="s">
        <v>692</v>
      </c>
      <c r="AF27" s="14" t="s">
        <v>692</v>
      </c>
      <c r="AG27" s="12" t="s">
        <v>692</v>
      </c>
      <c r="AH27" s="14" t="s">
        <v>692</v>
      </c>
      <c r="AI27" s="12" t="s">
        <v>692</v>
      </c>
      <c r="AJ27" s="14" t="s">
        <v>692</v>
      </c>
      <c r="AK27" s="12" t="s">
        <v>692</v>
      </c>
      <c r="AL27" s="14" t="s">
        <v>692</v>
      </c>
      <c r="AM27" s="12" t="s">
        <v>692</v>
      </c>
      <c r="AN27" s="14" t="s">
        <v>692</v>
      </c>
      <c r="AO27" s="12" t="s">
        <v>692</v>
      </c>
      <c r="AP27" s="14" t="s">
        <v>692</v>
      </c>
      <c r="AQ27" s="2" t="s">
        <v>692</v>
      </c>
      <c r="AR27" s="14" t="s">
        <v>692</v>
      </c>
    </row>
    <row r="28" spans="1:44" ht="7.35" customHeight="1" x14ac:dyDescent="0.25">
      <c r="A28" s="12" t="s">
        <v>692</v>
      </c>
      <c r="B28" s="14" t="s">
        <v>692</v>
      </c>
      <c r="C28" s="12" t="s">
        <v>692</v>
      </c>
      <c r="D28" s="14" t="s">
        <v>692</v>
      </c>
      <c r="E28" s="12" t="s">
        <v>692</v>
      </c>
      <c r="F28" s="14" t="s">
        <v>692</v>
      </c>
      <c r="G28" s="12" t="s">
        <v>692</v>
      </c>
      <c r="H28" s="14" t="s">
        <v>692</v>
      </c>
      <c r="I28" s="12" t="s">
        <v>692</v>
      </c>
      <c r="J28" s="14" t="s">
        <v>692</v>
      </c>
      <c r="K28" s="12" t="s">
        <v>692</v>
      </c>
      <c r="L28" s="14" t="s">
        <v>692</v>
      </c>
      <c r="M28" s="12" t="s">
        <v>692</v>
      </c>
      <c r="N28" s="14" t="s">
        <v>692</v>
      </c>
      <c r="O28" s="12" t="s">
        <v>692</v>
      </c>
      <c r="P28" s="14" t="s">
        <v>692</v>
      </c>
      <c r="Q28" s="12" t="s">
        <v>692</v>
      </c>
      <c r="R28" s="14" t="s">
        <v>692</v>
      </c>
      <c r="S28" s="12" t="s">
        <v>692</v>
      </c>
      <c r="T28" s="14" t="s">
        <v>692</v>
      </c>
      <c r="U28" s="2" t="s">
        <v>692</v>
      </c>
      <c r="V28" s="14" t="s">
        <v>692</v>
      </c>
      <c r="W28" s="12" t="s">
        <v>16</v>
      </c>
      <c r="X28" s="14" t="s">
        <v>1021</v>
      </c>
      <c r="Y28" s="12" t="s">
        <v>692</v>
      </c>
      <c r="Z28" s="14" t="s">
        <v>692</v>
      </c>
      <c r="AA28" s="12" t="s">
        <v>813</v>
      </c>
      <c r="AB28" s="14" t="s">
        <v>814</v>
      </c>
      <c r="AC28" s="12" t="s">
        <v>568</v>
      </c>
      <c r="AD28" s="14" t="s">
        <v>695</v>
      </c>
      <c r="AE28" s="12" t="s">
        <v>692</v>
      </c>
      <c r="AF28" s="14" t="s">
        <v>692</v>
      </c>
      <c r="AG28" s="12" t="s">
        <v>692</v>
      </c>
      <c r="AH28" s="14" t="s">
        <v>692</v>
      </c>
      <c r="AI28" s="12" t="s">
        <v>692</v>
      </c>
      <c r="AJ28" s="14" t="s">
        <v>692</v>
      </c>
      <c r="AK28" s="12" t="s">
        <v>692</v>
      </c>
      <c r="AL28" s="14" t="s">
        <v>692</v>
      </c>
      <c r="AM28" s="12" t="s">
        <v>692</v>
      </c>
      <c r="AN28" s="14" t="s">
        <v>692</v>
      </c>
      <c r="AO28" s="12" t="s">
        <v>692</v>
      </c>
      <c r="AP28" s="14" t="s">
        <v>692</v>
      </c>
      <c r="AQ28" s="2" t="s">
        <v>692</v>
      </c>
      <c r="AR28" s="14" t="s">
        <v>692</v>
      </c>
    </row>
    <row r="29" spans="1:44" ht="7.35" customHeight="1" x14ac:dyDescent="0.25">
      <c r="A29" s="12" t="s">
        <v>692</v>
      </c>
      <c r="B29" s="14" t="s">
        <v>692</v>
      </c>
      <c r="C29" s="12" t="s">
        <v>692</v>
      </c>
      <c r="D29" s="14" t="s">
        <v>692</v>
      </c>
      <c r="E29" s="12" t="s">
        <v>692</v>
      </c>
      <c r="F29" s="14" t="s">
        <v>692</v>
      </c>
      <c r="G29" s="12" t="s">
        <v>692</v>
      </c>
      <c r="H29" s="14" t="s">
        <v>692</v>
      </c>
      <c r="I29" s="12" t="s">
        <v>692</v>
      </c>
      <c r="J29" s="14" t="s">
        <v>692</v>
      </c>
      <c r="K29" s="12" t="s">
        <v>692</v>
      </c>
      <c r="L29" s="14" t="s">
        <v>692</v>
      </c>
      <c r="M29" s="12" t="s">
        <v>692</v>
      </c>
      <c r="N29" s="14" t="s">
        <v>692</v>
      </c>
      <c r="O29" s="12" t="s">
        <v>692</v>
      </c>
      <c r="P29" s="14" t="s">
        <v>692</v>
      </c>
      <c r="Q29" s="12" t="s">
        <v>692</v>
      </c>
      <c r="R29" s="14" t="s">
        <v>692</v>
      </c>
      <c r="S29" s="12" t="s">
        <v>692</v>
      </c>
      <c r="T29" s="14" t="s">
        <v>692</v>
      </c>
      <c r="U29" s="2" t="s">
        <v>692</v>
      </c>
      <c r="V29" s="14" t="s">
        <v>692</v>
      </c>
      <c r="W29" s="12" t="s">
        <v>225</v>
      </c>
      <c r="X29" s="14" t="s">
        <v>579</v>
      </c>
      <c r="Y29" s="12" t="s">
        <v>692</v>
      </c>
      <c r="Z29" s="14" t="s">
        <v>692</v>
      </c>
      <c r="AA29" s="12" t="s">
        <v>692</v>
      </c>
      <c r="AB29" s="14" t="s">
        <v>692</v>
      </c>
      <c r="AC29" s="12" t="s">
        <v>755</v>
      </c>
      <c r="AD29" s="14" t="s">
        <v>694</v>
      </c>
      <c r="AE29" s="12" t="s">
        <v>692</v>
      </c>
      <c r="AF29" s="14" t="s">
        <v>692</v>
      </c>
      <c r="AG29" s="12" t="s">
        <v>692</v>
      </c>
      <c r="AH29" s="14" t="s">
        <v>692</v>
      </c>
      <c r="AI29" s="12" t="s">
        <v>692</v>
      </c>
      <c r="AJ29" s="14" t="s">
        <v>692</v>
      </c>
      <c r="AK29" s="12" t="s">
        <v>692</v>
      </c>
      <c r="AL29" s="14" t="s">
        <v>692</v>
      </c>
      <c r="AM29" s="12" t="s">
        <v>692</v>
      </c>
      <c r="AN29" s="14" t="s">
        <v>692</v>
      </c>
      <c r="AO29" s="12" t="s">
        <v>692</v>
      </c>
      <c r="AP29" s="14" t="s">
        <v>692</v>
      </c>
      <c r="AQ29" s="2" t="s">
        <v>692</v>
      </c>
      <c r="AR29" s="14" t="s">
        <v>692</v>
      </c>
    </row>
    <row r="30" spans="1:44" ht="7.35" customHeight="1" x14ac:dyDescent="0.25">
      <c r="A30" s="12" t="s">
        <v>692</v>
      </c>
      <c r="B30" s="14" t="s">
        <v>692</v>
      </c>
      <c r="C30" s="12" t="s">
        <v>692</v>
      </c>
      <c r="D30" s="14" t="s">
        <v>692</v>
      </c>
      <c r="E30" s="12" t="s">
        <v>692</v>
      </c>
      <c r="F30" s="14" t="s">
        <v>692</v>
      </c>
      <c r="G30" s="12" t="s">
        <v>692</v>
      </c>
      <c r="H30" s="14" t="s">
        <v>692</v>
      </c>
      <c r="I30" s="12" t="s">
        <v>692</v>
      </c>
      <c r="J30" s="14" t="s">
        <v>692</v>
      </c>
      <c r="K30" s="12" t="s">
        <v>692</v>
      </c>
      <c r="L30" s="14" t="s">
        <v>692</v>
      </c>
      <c r="M30" s="12" t="s">
        <v>692</v>
      </c>
      <c r="N30" s="14" t="s">
        <v>692</v>
      </c>
      <c r="O30" s="12" t="s">
        <v>692</v>
      </c>
      <c r="P30" s="14" t="s">
        <v>692</v>
      </c>
      <c r="Q30" s="12" t="s">
        <v>692</v>
      </c>
      <c r="R30" s="14" t="s">
        <v>692</v>
      </c>
      <c r="S30" s="12" t="s">
        <v>692</v>
      </c>
      <c r="T30" s="14" t="s">
        <v>692</v>
      </c>
      <c r="U30" s="2" t="s">
        <v>692</v>
      </c>
      <c r="V30" s="14" t="s">
        <v>692</v>
      </c>
      <c r="W30" s="12" t="s">
        <v>224</v>
      </c>
      <c r="X30" s="14" t="s">
        <v>580</v>
      </c>
      <c r="Y30" s="12" t="s">
        <v>692</v>
      </c>
      <c r="Z30" s="14" t="s">
        <v>692</v>
      </c>
      <c r="AA30" s="12" t="s">
        <v>692</v>
      </c>
      <c r="AB30" s="14" t="s">
        <v>692</v>
      </c>
      <c r="AC30" s="12" t="s">
        <v>692</v>
      </c>
      <c r="AD30" s="14" t="s">
        <v>692</v>
      </c>
      <c r="AE30" s="12" t="s">
        <v>692</v>
      </c>
      <c r="AF30" s="14" t="s">
        <v>692</v>
      </c>
      <c r="AG30" s="12" t="s">
        <v>692</v>
      </c>
      <c r="AH30" s="14" t="s">
        <v>692</v>
      </c>
      <c r="AI30" s="12" t="s">
        <v>692</v>
      </c>
      <c r="AJ30" s="14" t="s">
        <v>692</v>
      </c>
      <c r="AK30" s="12" t="s">
        <v>692</v>
      </c>
      <c r="AL30" s="14" t="s">
        <v>692</v>
      </c>
      <c r="AM30" s="12" t="s">
        <v>692</v>
      </c>
      <c r="AN30" s="14" t="s">
        <v>692</v>
      </c>
      <c r="AO30" s="12" t="s">
        <v>692</v>
      </c>
      <c r="AP30" s="14" t="s">
        <v>692</v>
      </c>
      <c r="AQ30" s="2" t="s">
        <v>692</v>
      </c>
      <c r="AR30" s="14" t="s">
        <v>692</v>
      </c>
    </row>
    <row r="31" spans="1:44" ht="7.35" customHeight="1" x14ac:dyDescent="0.25">
      <c r="A31" s="12" t="s">
        <v>692</v>
      </c>
      <c r="B31" s="14" t="s">
        <v>692</v>
      </c>
      <c r="C31" s="12" t="s">
        <v>692</v>
      </c>
      <c r="D31" s="14" t="s">
        <v>692</v>
      </c>
      <c r="E31" s="12" t="s">
        <v>692</v>
      </c>
      <c r="F31" s="14" t="s">
        <v>692</v>
      </c>
      <c r="G31" s="12" t="s">
        <v>692</v>
      </c>
      <c r="H31" s="14" t="s">
        <v>692</v>
      </c>
      <c r="I31" s="12" t="s">
        <v>692</v>
      </c>
      <c r="J31" s="14" t="s">
        <v>692</v>
      </c>
      <c r="K31" s="12" t="s">
        <v>692</v>
      </c>
      <c r="L31" s="14" t="s">
        <v>692</v>
      </c>
      <c r="M31" s="12" t="s">
        <v>692</v>
      </c>
      <c r="N31" s="14" t="s">
        <v>692</v>
      </c>
      <c r="O31" s="12" t="s">
        <v>692</v>
      </c>
      <c r="P31" s="14" t="s">
        <v>692</v>
      </c>
      <c r="Q31" s="12" t="s">
        <v>692</v>
      </c>
      <c r="R31" s="14" t="s">
        <v>692</v>
      </c>
      <c r="S31" s="12" t="s">
        <v>692</v>
      </c>
      <c r="T31" s="14" t="s">
        <v>692</v>
      </c>
      <c r="U31" s="2" t="s">
        <v>692</v>
      </c>
      <c r="V31" s="14" t="s">
        <v>692</v>
      </c>
      <c r="W31" s="12" t="s">
        <v>794</v>
      </c>
      <c r="X31" s="14" t="s">
        <v>795</v>
      </c>
      <c r="Y31" s="12" t="s">
        <v>692</v>
      </c>
      <c r="Z31" s="14" t="s">
        <v>692</v>
      </c>
      <c r="AA31" s="12" t="s">
        <v>692</v>
      </c>
      <c r="AB31" s="14" t="s">
        <v>692</v>
      </c>
      <c r="AC31" s="12" t="s">
        <v>692</v>
      </c>
      <c r="AD31" s="14" t="s">
        <v>692</v>
      </c>
      <c r="AE31" s="12" t="s">
        <v>692</v>
      </c>
      <c r="AF31" s="14" t="s">
        <v>692</v>
      </c>
      <c r="AG31" s="12" t="s">
        <v>692</v>
      </c>
      <c r="AH31" s="14" t="s">
        <v>692</v>
      </c>
      <c r="AI31" s="12" t="s">
        <v>692</v>
      </c>
      <c r="AJ31" s="14" t="s">
        <v>692</v>
      </c>
      <c r="AK31" s="12" t="s">
        <v>692</v>
      </c>
      <c r="AL31" s="14" t="s">
        <v>692</v>
      </c>
      <c r="AM31" s="12" t="s">
        <v>692</v>
      </c>
      <c r="AN31" s="14" t="s">
        <v>692</v>
      </c>
      <c r="AO31" s="12" t="s">
        <v>692</v>
      </c>
      <c r="AP31" s="14" t="s">
        <v>692</v>
      </c>
      <c r="AQ31" s="2" t="s">
        <v>692</v>
      </c>
      <c r="AR31" s="14" t="s">
        <v>692</v>
      </c>
    </row>
    <row r="32" spans="1:44" ht="7.35" customHeight="1" x14ac:dyDescent="0.25">
      <c r="A32" s="12" t="s">
        <v>692</v>
      </c>
      <c r="B32" s="14" t="s">
        <v>692</v>
      </c>
      <c r="C32" s="12" t="s">
        <v>692</v>
      </c>
      <c r="D32" s="14" t="s">
        <v>692</v>
      </c>
      <c r="E32" s="12" t="s">
        <v>692</v>
      </c>
      <c r="F32" s="14" t="s">
        <v>692</v>
      </c>
      <c r="G32" s="12" t="s">
        <v>692</v>
      </c>
      <c r="H32" s="14" t="s">
        <v>692</v>
      </c>
      <c r="I32" s="12" t="s">
        <v>692</v>
      </c>
      <c r="J32" s="14" t="s">
        <v>692</v>
      </c>
      <c r="K32" s="12" t="s">
        <v>692</v>
      </c>
      <c r="L32" s="14" t="s">
        <v>692</v>
      </c>
      <c r="M32" s="12" t="s">
        <v>692</v>
      </c>
      <c r="N32" s="14" t="s">
        <v>692</v>
      </c>
      <c r="O32" s="12" t="s">
        <v>692</v>
      </c>
      <c r="P32" s="14" t="s">
        <v>692</v>
      </c>
      <c r="Q32" s="12" t="s">
        <v>692</v>
      </c>
      <c r="R32" s="14" t="s">
        <v>692</v>
      </c>
      <c r="S32" s="12" t="s">
        <v>692</v>
      </c>
      <c r="T32" s="14" t="s">
        <v>692</v>
      </c>
      <c r="U32" s="2" t="s">
        <v>692</v>
      </c>
      <c r="V32" s="14" t="s">
        <v>692</v>
      </c>
      <c r="W32" s="12" t="s">
        <v>100</v>
      </c>
      <c r="X32" s="14" t="s">
        <v>99</v>
      </c>
      <c r="Y32" s="12" t="s">
        <v>692</v>
      </c>
      <c r="Z32" s="14" t="s">
        <v>692</v>
      </c>
      <c r="AA32" s="12" t="s">
        <v>692</v>
      </c>
      <c r="AB32" s="14" t="s">
        <v>692</v>
      </c>
      <c r="AC32" s="12" t="s">
        <v>692</v>
      </c>
      <c r="AD32" s="14" t="s">
        <v>692</v>
      </c>
      <c r="AE32" s="12" t="s">
        <v>692</v>
      </c>
      <c r="AF32" s="14" t="s">
        <v>692</v>
      </c>
      <c r="AG32" s="12" t="s">
        <v>692</v>
      </c>
      <c r="AH32" s="14" t="s">
        <v>692</v>
      </c>
      <c r="AI32" s="12" t="s">
        <v>692</v>
      </c>
      <c r="AJ32" s="14" t="s">
        <v>692</v>
      </c>
      <c r="AK32" s="12" t="s">
        <v>692</v>
      </c>
      <c r="AL32" s="14" t="s">
        <v>692</v>
      </c>
      <c r="AM32" s="12" t="s">
        <v>692</v>
      </c>
      <c r="AN32" s="14" t="s">
        <v>692</v>
      </c>
      <c r="AO32" s="12" t="s">
        <v>692</v>
      </c>
      <c r="AP32" s="14" t="s">
        <v>692</v>
      </c>
      <c r="AQ32" s="2" t="s">
        <v>692</v>
      </c>
      <c r="AR32" s="14" t="s">
        <v>692</v>
      </c>
    </row>
    <row r="33" spans="1:44" ht="7.35" customHeight="1" x14ac:dyDescent="0.25">
      <c r="A33" s="12" t="s">
        <v>692</v>
      </c>
      <c r="B33" s="14" t="s">
        <v>692</v>
      </c>
      <c r="C33" s="12" t="s">
        <v>692</v>
      </c>
      <c r="D33" s="14" t="s">
        <v>692</v>
      </c>
      <c r="E33" s="12" t="s">
        <v>692</v>
      </c>
      <c r="F33" s="14" t="s">
        <v>692</v>
      </c>
      <c r="G33" s="12" t="s">
        <v>692</v>
      </c>
      <c r="H33" s="14" t="s">
        <v>692</v>
      </c>
      <c r="I33" s="12" t="s">
        <v>692</v>
      </c>
      <c r="J33" s="14" t="s">
        <v>692</v>
      </c>
      <c r="K33" s="12" t="s">
        <v>692</v>
      </c>
      <c r="L33" s="14" t="s">
        <v>692</v>
      </c>
      <c r="M33" s="12" t="s">
        <v>692</v>
      </c>
      <c r="N33" s="14" t="s">
        <v>692</v>
      </c>
      <c r="O33" s="12" t="s">
        <v>692</v>
      </c>
      <c r="P33" s="14" t="s">
        <v>692</v>
      </c>
      <c r="Q33" s="12" t="s">
        <v>692</v>
      </c>
      <c r="R33" s="14" t="s">
        <v>692</v>
      </c>
      <c r="S33" s="12" t="s">
        <v>692</v>
      </c>
      <c r="T33" s="14" t="s">
        <v>692</v>
      </c>
      <c r="U33" s="2" t="s">
        <v>692</v>
      </c>
      <c r="V33" s="14" t="s">
        <v>692</v>
      </c>
      <c r="W33" s="12" t="s">
        <v>68</v>
      </c>
      <c r="X33" s="14" t="s">
        <v>72</v>
      </c>
      <c r="Y33" s="12" t="s">
        <v>692</v>
      </c>
      <c r="Z33" s="14" t="s">
        <v>692</v>
      </c>
      <c r="AA33" s="12" t="s">
        <v>692</v>
      </c>
      <c r="AB33" s="14" t="s">
        <v>692</v>
      </c>
      <c r="AC33" s="12" t="s">
        <v>692</v>
      </c>
      <c r="AD33" s="14" t="s">
        <v>692</v>
      </c>
      <c r="AE33" s="12" t="s">
        <v>692</v>
      </c>
      <c r="AF33" s="14" t="s">
        <v>692</v>
      </c>
      <c r="AG33" s="12" t="s">
        <v>692</v>
      </c>
      <c r="AH33" s="14" t="s">
        <v>692</v>
      </c>
      <c r="AI33" s="12" t="s">
        <v>692</v>
      </c>
      <c r="AJ33" s="14" t="s">
        <v>692</v>
      </c>
      <c r="AK33" s="12" t="s">
        <v>692</v>
      </c>
      <c r="AL33" s="14" t="s">
        <v>692</v>
      </c>
      <c r="AM33" s="12" t="s">
        <v>692</v>
      </c>
      <c r="AN33" s="14" t="s">
        <v>692</v>
      </c>
      <c r="AO33" s="12" t="s">
        <v>692</v>
      </c>
      <c r="AP33" s="14" t="s">
        <v>692</v>
      </c>
      <c r="AQ33" s="2" t="s">
        <v>692</v>
      </c>
      <c r="AR33" s="14" t="s">
        <v>692</v>
      </c>
    </row>
    <row r="34" spans="1:44" ht="7.35" customHeight="1" x14ac:dyDescent="0.25">
      <c r="A34" s="12" t="s">
        <v>692</v>
      </c>
      <c r="B34" s="14" t="s">
        <v>692</v>
      </c>
      <c r="C34" s="12" t="s">
        <v>692</v>
      </c>
      <c r="D34" s="14" t="s">
        <v>692</v>
      </c>
      <c r="E34" s="12" t="s">
        <v>692</v>
      </c>
      <c r="F34" s="14" t="s">
        <v>692</v>
      </c>
      <c r="G34" s="12" t="s">
        <v>692</v>
      </c>
      <c r="H34" s="14" t="s">
        <v>692</v>
      </c>
      <c r="I34" s="12" t="s">
        <v>692</v>
      </c>
      <c r="J34" s="14" t="s">
        <v>692</v>
      </c>
      <c r="K34" s="12" t="s">
        <v>692</v>
      </c>
      <c r="L34" s="14" t="s">
        <v>692</v>
      </c>
      <c r="M34" s="12" t="s">
        <v>692</v>
      </c>
      <c r="N34" s="14" t="s">
        <v>692</v>
      </c>
      <c r="O34" s="12" t="s">
        <v>692</v>
      </c>
      <c r="P34" s="14" t="s">
        <v>692</v>
      </c>
      <c r="Q34" s="12" t="s">
        <v>692</v>
      </c>
      <c r="R34" s="14" t="s">
        <v>692</v>
      </c>
      <c r="S34" s="12" t="s">
        <v>692</v>
      </c>
      <c r="T34" s="14" t="s">
        <v>692</v>
      </c>
      <c r="U34" s="2" t="s">
        <v>692</v>
      </c>
      <c r="V34" s="14" t="s">
        <v>692</v>
      </c>
      <c r="W34" s="12" t="s">
        <v>1024</v>
      </c>
      <c r="X34" s="14" t="s">
        <v>103</v>
      </c>
      <c r="Y34" s="12" t="s">
        <v>692</v>
      </c>
      <c r="Z34" s="14" t="s">
        <v>692</v>
      </c>
      <c r="AA34" s="12" t="s">
        <v>692</v>
      </c>
      <c r="AB34" s="14" t="s">
        <v>692</v>
      </c>
      <c r="AC34" s="12" t="s">
        <v>692</v>
      </c>
      <c r="AD34" s="14" t="s">
        <v>692</v>
      </c>
      <c r="AE34" s="12" t="s">
        <v>692</v>
      </c>
      <c r="AF34" s="14" t="s">
        <v>692</v>
      </c>
      <c r="AG34" s="12" t="s">
        <v>692</v>
      </c>
      <c r="AH34" s="14" t="s">
        <v>692</v>
      </c>
      <c r="AI34" s="12" t="s">
        <v>692</v>
      </c>
      <c r="AJ34" s="14" t="s">
        <v>692</v>
      </c>
      <c r="AK34" s="12" t="s">
        <v>692</v>
      </c>
      <c r="AL34" s="14" t="s">
        <v>692</v>
      </c>
      <c r="AM34" s="12" t="s">
        <v>692</v>
      </c>
      <c r="AN34" s="14" t="s">
        <v>692</v>
      </c>
      <c r="AO34" s="12" t="s">
        <v>692</v>
      </c>
      <c r="AP34" s="14" t="s">
        <v>692</v>
      </c>
      <c r="AQ34" s="2" t="s">
        <v>692</v>
      </c>
      <c r="AR34" s="14" t="s">
        <v>692</v>
      </c>
    </row>
    <row r="35" spans="1:44" ht="7.35" customHeight="1" x14ac:dyDescent="0.25">
      <c r="A35" s="12" t="s">
        <v>692</v>
      </c>
      <c r="B35" s="14" t="s">
        <v>692</v>
      </c>
      <c r="C35" s="12" t="s">
        <v>692</v>
      </c>
      <c r="D35" s="14" t="s">
        <v>692</v>
      </c>
      <c r="E35" s="12" t="s">
        <v>692</v>
      </c>
      <c r="F35" s="14" t="s">
        <v>692</v>
      </c>
      <c r="G35" s="12" t="s">
        <v>692</v>
      </c>
      <c r="H35" s="14" t="s">
        <v>692</v>
      </c>
      <c r="I35" s="12" t="s">
        <v>692</v>
      </c>
      <c r="J35" s="14" t="s">
        <v>692</v>
      </c>
      <c r="K35" s="12" t="s">
        <v>692</v>
      </c>
      <c r="L35" s="14" t="s">
        <v>692</v>
      </c>
      <c r="M35" s="12" t="s">
        <v>692</v>
      </c>
      <c r="N35" s="14" t="s">
        <v>692</v>
      </c>
      <c r="O35" s="12" t="s">
        <v>692</v>
      </c>
      <c r="P35" s="14" t="s">
        <v>692</v>
      </c>
      <c r="Q35" s="12" t="s">
        <v>692</v>
      </c>
      <c r="R35" s="14" t="s">
        <v>692</v>
      </c>
      <c r="S35" s="12" t="s">
        <v>692</v>
      </c>
      <c r="T35" s="14" t="s">
        <v>692</v>
      </c>
      <c r="U35" s="2" t="s">
        <v>692</v>
      </c>
      <c r="V35" s="14" t="s">
        <v>692</v>
      </c>
      <c r="W35" s="12" t="s">
        <v>335</v>
      </c>
      <c r="X35" s="14" t="s">
        <v>334</v>
      </c>
      <c r="Y35" s="12" t="s">
        <v>692</v>
      </c>
      <c r="Z35" s="14" t="s">
        <v>692</v>
      </c>
      <c r="AA35" s="12" t="s">
        <v>692</v>
      </c>
      <c r="AB35" s="14" t="s">
        <v>692</v>
      </c>
      <c r="AC35" s="12" t="s">
        <v>692</v>
      </c>
      <c r="AD35" s="14" t="s">
        <v>692</v>
      </c>
      <c r="AE35" s="12" t="s">
        <v>692</v>
      </c>
      <c r="AF35" s="14" t="s">
        <v>692</v>
      </c>
      <c r="AG35" s="12" t="s">
        <v>692</v>
      </c>
      <c r="AH35" s="14" t="s">
        <v>692</v>
      </c>
      <c r="AI35" s="12" t="s">
        <v>692</v>
      </c>
      <c r="AJ35" s="14" t="s">
        <v>692</v>
      </c>
      <c r="AK35" s="12" t="s">
        <v>692</v>
      </c>
      <c r="AL35" s="14" t="s">
        <v>692</v>
      </c>
      <c r="AM35" s="12" t="s">
        <v>692</v>
      </c>
      <c r="AN35" s="14" t="s">
        <v>692</v>
      </c>
      <c r="AO35" s="12" t="s">
        <v>692</v>
      </c>
      <c r="AP35" s="14" t="s">
        <v>692</v>
      </c>
      <c r="AQ35" s="2" t="s">
        <v>692</v>
      </c>
      <c r="AR35" s="14" t="s">
        <v>692</v>
      </c>
    </row>
    <row r="36" spans="1:44" ht="7.35" customHeight="1" x14ac:dyDescent="0.25">
      <c r="A36" s="12" t="s">
        <v>692</v>
      </c>
      <c r="B36" s="14" t="s">
        <v>692</v>
      </c>
      <c r="C36" s="12" t="s">
        <v>692</v>
      </c>
      <c r="D36" s="14" t="s">
        <v>692</v>
      </c>
      <c r="E36" s="12" t="s">
        <v>692</v>
      </c>
      <c r="F36" s="14" t="s">
        <v>692</v>
      </c>
      <c r="G36" s="12" t="s">
        <v>692</v>
      </c>
      <c r="H36" s="14" t="s">
        <v>692</v>
      </c>
      <c r="I36" s="12" t="s">
        <v>692</v>
      </c>
      <c r="J36" s="14" t="s">
        <v>692</v>
      </c>
      <c r="K36" s="12" t="s">
        <v>692</v>
      </c>
      <c r="L36" s="14" t="s">
        <v>692</v>
      </c>
      <c r="M36" s="12" t="s">
        <v>692</v>
      </c>
      <c r="N36" s="14" t="s">
        <v>692</v>
      </c>
      <c r="O36" s="12" t="s">
        <v>692</v>
      </c>
      <c r="P36" s="14" t="s">
        <v>692</v>
      </c>
      <c r="Q36" s="12" t="s">
        <v>692</v>
      </c>
      <c r="R36" s="14" t="s">
        <v>692</v>
      </c>
      <c r="S36" s="12" t="s">
        <v>692</v>
      </c>
      <c r="T36" s="14" t="s">
        <v>692</v>
      </c>
      <c r="U36" s="2" t="s">
        <v>692</v>
      </c>
      <c r="V36" s="14" t="s">
        <v>692</v>
      </c>
      <c r="W36" s="12" t="s">
        <v>804</v>
      </c>
      <c r="X36" s="14" t="s">
        <v>660</v>
      </c>
      <c r="Y36" s="12" t="s">
        <v>692</v>
      </c>
      <c r="Z36" s="14" t="s">
        <v>692</v>
      </c>
      <c r="AA36" s="12" t="s">
        <v>692</v>
      </c>
      <c r="AB36" s="14" t="s">
        <v>692</v>
      </c>
      <c r="AC36" s="12" t="s">
        <v>692</v>
      </c>
      <c r="AD36" s="14" t="s">
        <v>692</v>
      </c>
      <c r="AE36" s="12" t="s">
        <v>692</v>
      </c>
      <c r="AF36" s="14" t="s">
        <v>692</v>
      </c>
      <c r="AG36" s="12" t="s">
        <v>692</v>
      </c>
      <c r="AH36" s="14" t="s">
        <v>692</v>
      </c>
      <c r="AI36" s="12" t="s">
        <v>692</v>
      </c>
      <c r="AJ36" s="14" t="s">
        <v>692</v>
      </c>
      <c r="AK36" s="12" t="s">
        <v>692</v>
      </c>
      <c r="AL36" s="14" t="s">
        <v>692</v>
      </c>
      <c r="AM36" s="12" t="s">
        <v>692</v>
      </c>
      <c r="AN36" s="14" t="s">
        <v>692</v>
      </c>
      <c r="AO36" s="12" t="s">
        <v>692</v>
      </c>
      <c r="AP36" s="14" t="s">
        <v>692</v>
      </c>
      <c r="AQ36" s="2" t="s">
        <v>692</v>
      </c>
      <c r="AR36" s="14" t="s">
        <v>692</v>
      </c>
    </row>
    <row r="37" spans="1:44" ht="7.35" customHeight="1" x14ac:dyDescent="0.25">
      <c r="A37" s="12" t="s">
        <v>692</v>
      </c>
      <c r="B37" s="14" t="s">
        <v>692</v>
      </c>
      <c r="C37" s="12" t="s">
        <v>692</v>
      </c>
      <c r="D37" s="14" t="s">
        <v>692</v>
      </c>
      <c r="E37" s="12" t="s">
        <v>692</v>
      </c>
      <c r="F37" s="14" t="s">
        <v>692</v>
      </c>
      <c r="G37" s="12" t="s">
        <v>692</v>
      </c>
      <c r="H37" s="14" t="s">
        <v>692</v>
      </c>
      <c r="I37" s="12" t="s">
        <v>692</v>
      </c>
      <c r="J37" s="14" t="s">
        <v>692</v>
      </c>
      <c r="K37" s="12" t="s">
        <v>692</v>
      </c>
      <c r="L37" s="14" t="s">
        <v>692</v>
      </c>
      <c r="M37" s="12" t="s">
        <v>692</v>
      </c>
      <c r="N37" s="14" t="s">
        <v>692</v>
      </c>
      <c r="O37" s="12" t="s">
        <v>692</v>
      </c>
      <c r="P37" s="14" t="s">
        <v>692</v>
      </c>
      <c r="Q37" s="12" t="s">
        <v>692</v>
      </c>
      <c r="R37" s="14" t="s">
        <v>692</v>
      </c>
      <c r="S37" s="12" t="s">
        <v>692</v>
      </c>
      <c r="T37" s="14" t="s">
        <v>692</v>
      </c>
      <c r="U37" s="2" t="s">
        <v>692</v>
      </c>
      <c r="V37" s="14" t="s">
        <v>692</v>
      </c>
      <c r="W37" s="12" t="s">
        <v>294</v>
      </c>
      <c r="X37" s="14" t="s">
        <v>162</v>
      </c>
      <c r="Y37" s="12" t="s">
        <v>692</v>
      </c>
      <c r="Z37" s="14" t="s">
        <v>692</v>
      </c>
      <c r="AA37" s="12" t="s">
        <v>692</v>
      </c>
      <c r="AB37" s="14" t="s">
        <v>692</v>
      </c>
      <c r="AC37" s="12" t="s">
        <v>692</v>
      </c>
      <c r="AD37" s="14" t="s">
        <v>692</v>
      </c>
      <c r="AE37" s="12" t="s">
        <v>692</v>
      </c>
      <c r="AF37" s="14" t="s">
        <v>692</v>
      </c>
      <c r="AG37" s="12" t="s">
        <v>692</v>
      </c>
      <c r="AH37" s="14" t="s">
        <v>692</v>
      </c>
      <c r="AI37" s="12" t="s">
        <v>692</v>
      </c>
      <c r="AJ37" s="14" t="s">
        <v>692</v>
      </c>
      <c r="AK37" s="12" t="s">
        <v>692</v>
      </c>
      <c r="AL37" s="14" t="s">
        <v>692</v>
      </c>
      <c r="AM37" s="12" t="s">
        <v>692</v>
      </c>
      <c r="AN37" s="14" t="s">
        <v>692</v>
      </c>
      <c r="AO37" s="12" t="s">
        <v>692</v>
      </c>
      <c r="AP37" s="14" t="s">
        <v>692</v>
      </c>
      <c r="AQ37" s="2" t="s">
        <v>692</v>
      </c>
      <c r="AR37" s="14" t="s">
        <v>692</v>
      </c>
    </row>
    <row r="38" spans="1:44" ht="7.35" customHeight="1" x14ac:dyDescent="0.25">
      <c r="A38" s="12" t="s">
        <v>692</v>
      </c>
      <c r="B38" s="14" t="s">
        <v>692</v>
      </c>
      <c r="C38" s="12" t="s">
        <v>692</v>
      </c>
      <c r="D38" s="14" t="s">
        <v>692</v>
      </c>
      <c r="E38" s="12" t="s">
        <v>692</v>
      </c>
      <c r="F38" s="14" t="s">
        <v>692</v>
      </c>
      <c r="G38" s="12" t="s">
        <v>692</v>
      </c>
      <c r="H38" s="14" t="s">
        <v>692</v>
      </c>
      <c r="I38" s="12" t="s">
        <v>692</v>
      </c>
      <c r="J38" s="14" t="s">
        <v>692</v>
      </c>
      <c r="K38" s="12" t="s">
        <v>692</v>
      </c>
      <c r="L38" s="14" t="s">
        <v>692</v>
      </c>
      <c r="M38" s="12" t="s">
        <v>692</v>
      </c>
      <c r="N38" s="14" t="s">
        <v>692</v>
      </c>
      <c r="O38" s="12" t="s">
        <v>692</v>
      </c>
      <c r="P38" s="14" t="s">
        <v>692</v>
      </c>
      <c r="Q38" s="12" t="s">
        <v>692</v>
      </c>
      <c r="R38" s="14" t="s">
        <v>692</v>
      </c>
      <c r="S38" s="12" t="s">
        <v>692</v>
      </c>
      <c r="T38" s="14" t="s">
        <v>692</v>
      </c>
      <c r="U38" s="2" t="s">
        <v>692</v>
      </c>
      <c r="V38" s="14" t="s">
        <v>692</v>
      </c>
      <c r="W38" s="12" t="s">
        <v>27</v>
      </c>
      <c r="X38" s="14" t="s">
        <v>562</v>
      </c>
      <c r="Y38" s="12" t="s">
        <v>692</v>
      </c>
      <c r="Z38" s="14" t="s">
        <v>692</v>
      </c>
      <c r="AA38" s="12" t="s">
        <v>692</v>
      </c>
      <c r="AB38" s="14" t="s">
        <v>692</v>
      </c>
      <c r="AC38" s="12" t="s">
        <v>692</v>
      </c>
      <c r="AD38" s="14" t="s">
        <v>692</v>
      </c>
      <c r="AE38" s="12" t="s">
        <v>692</v>
      </c>
      <c r="AF38" s="14" t="s">
        <v>692</v>
      </c>
      <c r="AG38" s="12" t="s">
        <v>692</v>
      </c>
      <c r="AH38" s="14" t="s">
        <v>692</v>
      </c>
      <c r="AI38" s="12" t="s">
        <v>692</v>
      </c>
      <c r="AJ38" s="14" t="s">
        <v>692</v>
      </c>
      <c r="AK38" s="12" t="s">
        <v>692</v>
      </c>
      <c r="AL38" s="14" t="s">
        <v>692</v>
      </c>
      <c r="AM38" s="12" t="s">
        <v>692</v>
      </c>
      <c r="AN38" s="14" t="s">
        <v>692</v>
      </c>
      <c r="AO38" s="12" t="s">
        <v>692</v>
      </c>
      <c r="AP38" s="14" t="s">
        <v>692</v>
      </c>
      <c r="AQ38" s="2" t="s">
        <v>692</v>
      </c>
      <c r="AR38" s="14" t="s">
        <v>692</v>
      </c>
    </row>
    <row r="39" spans="1:44" ht="7.35" customHeight="1" x14ac:dyDescent="0.25">
      <c r="A39" s="12" t="s">
        <v>692</v>
      </c>
      <c r="B39" s="14" t="s">
        <v>692</v>
      </c>
      <c r="C39" s="12" t="s">
        <v>692</v>
      </c>
      <c r="D39" s="14" t="s">
        <v>692</v>
      </c>
      <c r="E39" s="12" t="s">
        <v>692</v>
      </c>
      <c r="F39" s="14" t="s">
        <v>692</v>
      </c>
      <c r="G39" s="12" t="s">
        <v>692</v>
      </c>
      <c r="H39" s="14" t="s">
        <v>692</v>
      </c>
      <c r="I39" s="12" t="s">
        <v>692</v>
      </c>
      <c r="J39" s="14" t="s">
        <v>692</v>
      </c>
      <c r="K39" s="12" t="s">
        <v>692</v>
      </c>
      <c r="L39" s="14" t="s">
        <v>692</v>
      </c>
      <c r="M39" s="12" t="s">
        <v>692</v>
      </c>
      <c r="N39" s="14" t="s">
        <v>692</v>
      </c>
      <c r="O39" s="12" t="s">
        <v>692</v>
      </c>
      <c r="P39" s="14" t="s">
        <v>692</v>
      </c>
      <c r="Q39" s="12" t="s">
        <v>692</v>
      </c>
      <c r="R39" s="14" t="s">
        <v>692</v>
      </c>
      <c r="S39" s="12" t="s">
        <v>692</v>
      </c>
      <c r="T39" s="14" t="s">
        <v>692</v>
      </c>
      <c r="U39" s="2" t="s">
        <v>692</v>
      </c>
      <c r="V39" s="14" t="s">
        <v>692</v>
      </c>
      <c r="W39" s="12" t="s">
        <v>89</v>
      </c>
      <c r="X39" s="14" t="s">
        <v>583</v>
      </c>
      <c r="Y39" s="12" t="s">
        <v>692</v>
      </c>
      <c r="Z39" s="14" t="s">
        <v>692</v>
      </c>
      <c r="AA39" s="12" t="s">
        <v>692</v>
      </c>
      <c r="AB39" s="14" t="s">
        <v>692</v>
      </c>
      <c r="AC39" s="12" t="s">
        <v>692</v>
      </c>
      <c r="AD39" s="14" t="s">
        <v>692</v>
      </c>
      <c r="AE39" s="12" t="s">
        <v>692</v>
      </c>
      <c r="AF39" s="14" t="s">
        <v>692</v>
      </c>
      <c r="AG39" s="12" t="s">
        <v>692</v>
      </c>
      <c r="AH39" s="14" t="s">
        <v>692</v>
      </c>
      <c r="AI39" s="12" t="s">
        <v>692</v>
      </c>
      <c r="AJ39" s="14" t="s">
        <v>692</v>
      </c>
      <c r="AK39" s="12" t="s">
        <v>692</v>
      </c>
      <c r="AL39" s="14" t="s">
        <v>692</v>
      </c>
      <c r="AM39" s="12" t="s">
        <v>692</v>
      </c>
      <c r="AN39" s="14" t="s">
        <v>692</v>
      </c>
      <c r="AO39" s="12" t="s">
        <v>692</v>
      </c>
      <c r="AP39" s="14" t="s">
        <v>692</v>
      </c>
      <c r="AQ39" s="2" t="s">
        <v>692</v>
      </c>
      <c r="AR39" s="14" t="s">
        <v>692</v>
      </c>
    </row>
    <row r="40" spans="1:44" ht="7.35" customHeight="1" x14ac:dyDescent="0.25">
      <c r="A40" s="12" t="s">
        <v>692</v>
      </c>
      <c r="B40" s="14" t="s">
        <v>692</v>
      </c>
      <c r="C40" s="12" t="s">
        <v>692</v>
      </c>
      <c r="D40" s="14" t="s">
        <v>692</v>
      </c>
      <c r="E40" s="12" t="s">
        <v>692</v>
      </c>
      <c r="F40" s="14" t="s">
        <v>692</v>
      </c>
      <c r="G40" s="12" t="s">
        <v>692</v>
      </c>
      <c r="H40" s="14" t="s">
        <v>692</v>
      </c>
      <c r="I40" s="12" t="s">
        <v>692</v>
      </c>
      <c r="J40" s="14" t="s">
        <v>692</v>
      </c>
      <c r="K40" s="12" t="s">
        <v>692</v>
      </c>
      <c r="L40" s="14" t="s">
        <v>692</v>
      </c>
      <c r="M40" s="12" t="s">
        <v>692</v>
      </c>
      <c r="N40" s="14" t="s">
        <v>692</v>
      </c>
      <c r="O40" s="12" t="s">
        <v>692</v>
      </c>
      <c r="P40" s="14" t="s">
        <v>692</v>
      </c>
      <c r="Q40" s="12" t="s">
        <v>692</v>
      </c>
      <c r="R40" s="14" t="s">
        <v>692</v>
      </c>
      <c r="S40" s="12" t="s">
        <v>692</v>
      </c>
      <c r="T40" s="14" t="s">
        <v>692</v>
      </c>
      <c r="U40" s="2" t="s">
        <v>692</v>
      </c>
      <c r="V40" s="14" t="s">
        <v>692</v>
      </c>
      <c r="W40" s="12" t="s">
        <v>56</v>
      </c>
      <c r="X40" s="14" t="s">
        <v>55</v>
      </c>
      <c r="Y40" s="12" t="s">
        <v>692</v>
      </c>
      <c r="Z40" s="14" t="s">
        <v>692</v>
      </c>
      <c r="AA40" s="12" t="s">
        <v>692</v>
      </c>
      <c r="AB40" s="14" t="s">
        <v>692</v>
      </c>
      <c r="AC40" s="12" t="s">
        <v>692</v>
      </c>
      <c r="AD40" s="14" t="s">
        <v>692</v>
      </c>
      <c r="AE40" s="12" t="s">
        <v>692</v>
      </c>
      <c r="AF40" s="14" t="s">
        <v>692</v>
      </c>
      <c r="AG40" s="12" t="s">
        <v>692</v>
      </c>
      <c r="AH40" s="14" t="s">
        <v>692</v>
      </c>
      <c r="AI40" s="12" t="s">
        <v>692</v>
      </c>
      <c r="AJ40" s="14" t="s">
        <v>692</v>
      </c>
      <c r="AK40" s="12" t="s">
        <v>692</v>
      </c>
      <c r="AL40" s="14" t="s">
        <v>692</v>
      </c>
      <c r="AM40" s="12" t="s">
        <v>692</v>
      </c>
      <c r="AN40" s="14" t="s">
        <v>692</v>
      </c>
      <c r="AO40" s="12" t="s">
        <v>692</v>
      </c>
      <c r="AP40" s="14" t="s">
        <v>692</v>
      </c>
      <c r="AQ40" s="2" t="s">
        <v>692</v>
      </c>
      <c r="AR40" s="14" t="s">
        <v>692</v>
      </c>
    </row>
    <row r="41" spans="1:44" ht="7.35" customHeight="1" x14ac:dyDescent="0.25">
      <c r="A41" s="12" t="s">
        <v>692</v>
      </c>
      <c r="B41" s="14" t="s">
        <v>692</v>
      </c>
      <c r="C41" s="12" t="s">
        <v>692</v>
      </c>
      <c r="D41" s="14" t="s">
        <v>692</v>
      </c>
      <c r="E41" s="12" t="s">
        <v>692</v>
      </c>
      <c r="F41" s="14" t="s">
        <v>692</v>
      </c>
      <c r="G41" s="12" t="s">
        <v>692</v>
      </c>
      <c r="H41" s="14" t="s">
        <v>692</v>
      </c>
      <c r="I41" s="12" t="s">
        <v>692</v>
      </c>
      <c r="J41" s="14" t="s">
        <v>692</v>
      </c>
      <c r="K41" s="12" t="s">
        <v>692</v>
      </c>
      <c r="L41" s="14" t="s">
        <v>692</v>
      </c>
      <c r="M41" s="12" t="s">
        <v>692</v>
      </c>
      <c r="N41" s="14" t="s">
        <v>692</v>
      </c>
      <c r="O41" s="12" t="s">
        <v>692</v>
      </c>
      <c r="P41" s="14" t="s">
        <v>692</v>
      </c>
      <c r="Q41" s="12" t="s">
        <v>692</v>
      </c>
      <c r="R41" s="14" t="s">
        <v>692</v>
      </c>
      <c r="S41" s="12" t="s">
        <v>692</v>
      </c>
      <c r="T41" s="14" t="s">
        <v>692</v>
      </c>
      <c r="U41" s="2" t="s">
        <v>692</v>
      </c>
      <c r="V41" s="14" t="s">
        <v>692</v>
      </c>
      <c r="W41" s="12" t="s">
        <v>749</v>
      </c>
      <c r="X41" s="14" t="s">
        <v>748</v>
      </c>
      <c r="Y41" s="12" t="s">
        <v>692</v>
      </c>
      <c r="Z41" s="14" t="s">
        <v>692</v>
      </c>
      <c r="AA41" s="12" t="s">
        <v>692</v>
      </c>
      <c r="AB41" s="14" t="s">
        <v>692</v>
      </c>
      <c r="AC41" s="12" t="s">
        <v>692</v>
      </c>
      <c r="AD41" s="14" t="s">
        <v>692</v>
      </c>
      <c r="AE41" s="12" t="s">
        <v>692</v>
      </c>
      <c r="AF41" s="14" t="s">
        <v>692</v>
      </c>
      <c r="AG41" s="12" t="s">
        <v>692</v>
      </c>
      <c r="AH41" s="14" t="s">
        <v>692</v>
      </c>
      <c r="AI41" s="12" t="s">
        <v>692</v>
      </c>
      <c r="AJ41" s="14" t="s">
        <v>692</v>
      </c>
      <c r="AK41" s="12" t="s">
        <v>692</v>
      </c>
      <c r="AL41" s="14" t="s">
        <v>692</v>
      </c>
      <c r="AM41" s="12" t="s">
        <v>692</v>
      </c>
      <c r="AN41" s="14" t="s">
        <v>692</v>
      </c>
      <c r="AO41" s="12" t="s">
        <v>692</v>
      </c>
      <c r="AP41" s="14" t="s">
        <v>692</v>
      </c>
      <c r="AQ41" s="2" t="s">
        <v>692</v>
      </c>
      <c r="AR41" s="14" t="s">
        <v>692</v>
      </c>
    </row>
    <row r="42" spans="1:44" ht="7.35" customHeight="1" x14ac:dyDescent="0.25">
      <c r="A42" s="12" t="s">
        <v>692</v>
      </c>
      <c r="B42" s="14" t="s">
        <v>692</v>
      </c>
      <c r="C42" s="12" t="s">
        <v>692</v>
      </c>
      <c r="D42" s="14" t="s">
        <v>692</v>
      </c>
      <c r="E42" s="12" t="s">
        <v>692</v>
      </c>
      <c r="F42" s="14" t="s">
        <v>692</v>
      </c>
      <c r="G42" s="12" t="s">
        <v>692</v>
      </c>
      <c r="H42" s="14" t="s">
        <v>692</v>
      </c>
      <c r="I42" s="12" t="s">
        <v>692</v>
      </c>
      <c r="J42" s="14" t="s">
        <v>692</v>
      </c>
      <c r="K42" s="12" t="s">
        <v>692</v>
      </c>
      <c r="L42" s="14" t="s">
        <v>692</v>
      </c>
      <c r="M42" s="12" t="s">
        <v>692</v>
      </c>
      <c r="N42" s="14" t="s">
        <v>692</v>
      </c>
      <c r="O42" s="12" t="s">
        <v>692</v>
      </c>
      <c r="P42" s="14" t="s">
        <v>692</v>
      </c>
      <c r="Q42" s="12" t="s">
        <v>692</v>
      </c>
      <c r="R42" s="14" t="s">
        <v>692</v>
      </c>
      <c r="S42" s="12" t="s">
        <v>692</v>
      </c>
      <c r="T42" s="14" t="s">
        <v>692</v>
      </c>
      <c r="U42" s="2" t="s">
        <v>692</v>
      </c>
      <c r="V42" s="14" t="s">
        <v>692</v>
      </c>
      <c r="W42" s="12" t="s">
        <v>563</v>
      </c>
      <c r="X42" s="14" t="s">
        <v>70</v>
      </c>
      <c r="Y42" s="12" t="s">
        <v>692</v>
      </c>
      <c r="Z42" s="14" t="s">
        <v>692</v>
      </c>
      <c r="AA42" s="12" t="s">
        <v>692</v>
      </c>
      <c r="AB42" s="14" t="s">
        <v>692</v>
      </c>
      <c r="AC42" s="12" t="s">
        <v>692</v>
      </c>
      <c r="AD42" s="14" t="s">
        <v>692</v>
      </c>
      <c r="AE42" s="12" t="s">
        <v>692</v>
      </c>
      <c r="AF42" s="14" t="s">
        <v>692</v>
      </c>
      <c r="AG42" s="12" t="s">
        <v>692</v>
      </c>
      <c r="AH42" s="14" t="s">
        <v>692</v>
      </c>
      <c r="AI42" s="12" t="s">
        <v>692</v>
      </c>
      <c r="AJ42" s="14" t="s">
        <v>692</v>
      </c>
      <c r="AK42" s="12" t="s">
        <v>692</v>
      </c>
      <c r="AL42" s="14" t="s">
        <v>692</v>
      </c>
      <c r="AM42" s="12" t="s">
        <v>692</v>
      </c>
      <c r="AN42" s="14" t="s">
        <v>692</v>
      </c>
      <c r="AO42" s="12" t="s">
        <v>692</v>
      </c>
      <c r="AP42" s="14" t="s">
        <v>692</v>
      </c>
      <c r="AQ42" s="2" t="s">
        <v>692</v>
      </c>
      <c r="AR42" s="14" t="s">
        <v>692</v>
      </c>
    </row>
    <row r="43" spans="1:44" ht="7.35" customHeight="1" x14ac:dyDescent="0.25">
      <c r="A43" s="12" t="s">
        <v>692</v>
      </c>
      <c r="B43" s="14" t="s">
        <v>692</v>
      </c>
      <c r="C43" s="12" t="s">
        <v>692</v>
      </c>
      <c r="D43" s="14" t="s">
        <v>692</v>
      </c>
      <c r="E43" s="12" t="s">
        <v>692</v>
      </c>
      <c r="F43" s="14" t="s">
        <v>692</v>
      </c>
      <c r="G43" s="12" t="s">
        <v>692</v>
      </c>
      <c r="H43" s="14" t="s">
        <v>692</v>
      </c>
      <c r="I43" s="12" t="s">
        <v>692</v>
      </c>
      <c r="J43" s="14" t="s">
        <v>692</v>
      </c>
      <c r="K43" s="12" t="s">
        <v>692</v>
      </c>
      <c r="L43" s="14" t="s">
        <v>692</v>
      </c>
      <c r="M43" s="12" t="s">
        <v>692</v>
      </c>
      <c r="N43" s="14" t="s">
        <v>692</v>
      </c>
      <c r="O43" s="12" t="s">
        <v>692</v>
      </c>
      <c r="P43" s="14" t="s">
        <v>692</v>
      </c>
      <c r="Q43" s="12" t="s">
        <v>692</v>
      </c>
      <c r="R43" s="14" t="s">
        <v>692</v>
      </c>
      <c r="S43" s="12" t="s">
        <v>692</v>
      </c>
      <c r="T43" s="14" t="s">
        <v>692</v>
      </c>
      <c r="U43" s="2" t="s">
        <v>692</v>
      </c>
      <c r="V43" s="14" t="s">
        <v>692</v>
      </c>
      <c r="W43" s="12" t="s">
        <v>1</v>
      </c>
      <c r="X43" s="14" t="s">
        <v>792</v>
      </c>
      <c r="Y43" s="12" t="s">
        <v>692</v>
      </c>
      <c r="Z43" s="14" t="s">
        <v>692</v>
      </c>
      <c r="AA43" s="12" t="s">
        <v>692</v>
      </c>
      <c r="AB43" s="14" t="s">
        <v>692</v>
      </c>
      <c r="AC43" s="12" t="s">
        <v>692</v>
      </c>
      <c r="AD43" s="14" t="s">
        <v>692</v>
      </c>
      <c r="AE43" s="12" t="s">
        <v>692</v>
      </c>
      <c r="AF43" s="14" t="s">
        <v>692</v>
      </c>
      <c r="AG43" s="12" t="s">
        <v>692</v>
      </c>
      <c r="AH43" s="14" t="s">
        <v>692</v>
      </c>
      <c r="AI43" s="12" t="s">
        <v>692</v>
      </c>
      <c r="AJ43" s="14" t="s">
        <v>692</v>
      </c>
      <c r="AK43" s="12" t="s">
        <v>692</v>
      </c>
      <c r="AL43" s="14" t="s">
        <v>692</v>
      </c>
      <c r="AM43" s="12" t="s">
        <v>692</v>
      </c>
      <c r="AN43" s="14" t="s">
        <v>692</v>
      </c>
      <c r="AO43" s="12" t="s">
        <v>692</v>
      </c>
      <c r="AP43" s="14" t="s">
        <v>692</v>
      </c>
      <c r="AQ43" s="2" t="s">
        <v>692</v>
      </c>
      <c r="AR43" s="14" t="s">
        <v>692</v>
      </c>
    </row>
    <row r="44" spans="1:44" ht="7.35" customHeight="1" x14ac:dyDescent="0.25">
      <c r="A44" s="12" t="s">
        <v>692</v>
      </c>
      <c r="B44" s="14" t="s">
        <v>692</v>
      </c>
      <c r="C44" s="12" t="s">
        <v>692</v>
      </c>
      <c r="D44" s="14" t="s">
        <v>692</v>
      </c>
      <c r="E44" s="12" t="s">
        <v>692</v>
      </c>
      <c r="F44" s="14" t="s">
        <v>692</v>
      </c>
      <c r="G44" s="12" t="s">
        <v>692</v>
      </c>
      <c r="H44" s="14" t="s">
        <v>692</v>
      </c>
      <c r="I44" s="12" t="s">
        <v>692</v>
      </c>
      <c r="J44" s="14" t="s">
        <v>692</v>
      </c>
      <c r="K44" s="12" t="s">
        <v>692</v>
      </c>
      <c r="L44" s="14" t="s">
        <v>692</v>
      </c>
      <c r="M44" s="12" t="s">
        <v>692</v>
      </c>
      <c r="N44" s="14" t="s">
        <v>692</v>
      </c>
      <c r="O44" s="12" t="s">
        <v>692</v>
      </c>
      <c r="P44" s="14" t="s">
        <v>692</v>
      </c>
      <c r="Q44" s="12" t="s">
        <v>692</v>
      </c>
      <c r="R44" s="14" t="s">
        <v>692</v>
      </c>
      <c r="S44" s="12" t="s">
        <v>692</v>
      </c>
      <c r="T44" s="14" t="s">
        <v>692</v>
      </c>
      <c r="U44" s="2" t="s">
        <v>692</v>
      </c>
      <c r="V44" s="14" t="s">
        <v>692</v>
      </c>
      <c r="W44" s="12" t="s">
        <v>567</v>
      </c>
      <c r="X44" s="14" t="s">
        <v>145</v>
      </c>
      <c r="Y44" s="12" t="s">
        <v>692</v>
      </c>
      <c r="Z44" s="14" t="s">
        <v>692</v>
      </c>
      <c r="AA44" s="12" t="s">
        <v>692</v>
      </c>
      <c r="AB44" s="14" t="s">
        <v>692</v>
      </c>
      <c r="AC44" s="12" t="s">
        <v>692</v>
      </c>
      <c r="AD44" s="14" t="s">
        <v>692</v>
      </c>
      <c r="AE44" s="12" t="s">
        <v>692</v>
      </c>
      <c r="AF44" s="14" t="s">
        <v>692</v>
      </c>
      <c r="AG44" s="12" t="s">
        <v>692</v>
      </c>
      <c r="AH44" s="14" t="s">
        <v>692</v>
      </c>
      <c r="AI44" s="12" t="s">
        <v>692</v>
      </c>
      <c r="AJ44" s="14" t="s">
        <v>692</v>
      </c>
      <c r="AK44" s="12" t="s">
        <v>692</v>
      </c>
      <c r="AL44" s="14" t="s">
        <v>692</v>
      </c>
      <c r="AM44" s="12" t="s">
        <v>692</v>
      </c>
      <c r="AN44" s="14" t="s">
        <v>692</v>
      </c>
      <c r="AO44" s="12" t="s">
        <v>692</v>
      </c>
      <c r="AP44" s="14" t="s">
        <v>692</v>
      </c>
      <c r="AQ44" s="2" t="s">
        <v>692</v>
      </c>
      <c r="AR44" s="14" t="s">
        <v>692</v>
      </c>
    </row>
    <row r="45" spans="1:44" ht="7.35" customHeight="1" x14ac:dyDescent="0.25">
      <c r="A45" s="12" t="s">
        <v>692</v>
      </c>
      <c r="B45" s="14" t="s">
        <v>692</v>
      </c>
      <c r="C45" s="12" t="s">
        <v>692</v>
      </c>
      <c r="D45" s="14" t="s">
        <v>692</v>
      </c>
      <c r="E45" s="12" t="s">
        <v>692</v>
      </c>
      <c r="F45" s="14" t="s">
        <v>692</v>
      </c>
      <c r="G45" s="12" t="s">
        <v>692</v>
      </c>
      <c r="H45" s="14" t="s">
        <v>692</v>
      </c>
      <c r="I45" s="12" t="s">
        <v>692</v>
      </c>
      <c r="J45" s="14" t="s">
        <v>692</v>
      </c>
      <c r="K45" s="12" t="s">
        <v>692</v>
      </c>
      <c r="L45" s="14" t="s">
        <v>692</v>
      </c>
      <c r="M45" s="12" t="s">
        <v>692</v>
      </c>
      <c r="N45" s="14" t="s">
        <v>692</v>
      </c>
      <c r="O45" s="12" t="s">
        <v>692</v>
      </c>
      <c r="P45" s="14" t="s">
        <v>692</v>
      </c>
      <c r="Q45" s="12" t="s">
        <v>692</v>
      </c>
      <c r="R45" s="14" t="s">
        <v>692</v>
      </c>
      <c r="S45" s="12" t="s">
        <v>692</v>
      </c>
      <c r="T45" s="14" t="s">
        <v>692</v>
      </c>
      <c r="U45" s="2" t="s">
        <v>692</v>
      </c>
      <c r="V45" s="14" t="s">
        <v>692</v>
      </c>
      <c r="W45" s="12" t="s">
        <v>15</v>
      </c>
      <c r="X45" s="14" t="s">
        <v>200</v>
      </c>
      <c r="Y45" s="12" t="s">
        <v>692</v>
      </c>
      <c r="Z45" s="14" t="s">
        <v>692</v>
      </c>
      <c r="AA45" s="12" t="s">
        <v>692</v>
      </c>
      <c r="AB45" s="14" t="s">
        <v>692</v>
      </c>
      <c r="AC45" s="12" t="s">
        <v>692</v>
      </c>
      <c r="AD45" s="14" t="s">
        <v>692</v>
      </c>
      <c r="AE45" s="12" t="s">
        <v>692</v>
      </c>
      <c r="AF45" s="14" t="s">
        <v>692</v>
      </c>
      <c r="AG45" s="12" t="s">
        <v>692</v>
      </c>
      <c r="AH45" s="14" t="s">
        <v>692</v>
      </c>
      <c r="AI45" s="12" t="s">
        <v>692</v>
      </c>
      <c r="AJ45" s="14" t="s">
        <v>692</v>
      </c>
      <c r="AK45" s="12" t="s">
        <v>692</v>
      </c>
      <c r="AL45" s="14" t="s">
        <v>692</v>
      </c>
      <c r="AM45" s="12" t="s">
        <v>692</v>
      </c>
      <c r="AN45" s="14" t="s">
        <v>692</v>
      </c>
      <c r="AO45" s="12" t="s">
        <v>692</v>
      </c>
      <c r="AP45" s="14" t="s">
        <v>692</v>
      </c>
      <c r="AQ45" s="2" t="s">
        <v>692</v>
      </c>
      <c r="AR45" s="14" t="s">
        <v>692</v>
      </c>
    </row>
    <row r="46" spans="1:44" ht="7.35" customHeight="1" x14ac:dyDescent="0.25">
      <c r="A46" s="12" t="s">
        <v>692</v>
      </c>
      <c r="B46" s="14" t="s">
        <v>692</v>
      </c>
      <c r="C46" s="12" t="s">
        <v>692</v>
      </c>
      <c r="D46" s="14" t="s">
        <v>692</v>
      </c>
      <c r="E46" s="12" t="s">
        <v>692</v>
      </c>
      <c r="F46" s="14" t="s">
        <v>692</v>
      </c>
      <c r="G46" s="12" t="s">
        <v>692</v>
      </c>
      <c r="H46" s="14" t="s">
        <v>692</v>
      </c>
      <c r="I46" s="12" t="s">
        <v>692</v>
      </c>
      <c r="J46" s="14" t="s">
        <v>692</v>
      </c>
      <c r="K46" s="12" t="s">
        <v>692</v>
      </c>
      <c r="L46" s="14" t="s">
        <v>692</v>
      </c>
      <c r="M46" s="12" t="s">
        <v>692</v>
      </c>
      <c r="N46" s="14" t="s">
        <v>692</v>
      </c>
      <c r="O46" s="12" t="s">
        <v>692</v>
      </c>
      <c r="P46" s="14" t="s">
        <v>692</v>
      </c>
      <c r="Q46" s="12" t="s">
        <v>692</v>
      </c>
      <c r="R46" s="14" t="s">
        <v>692</v>
      </c>
      <c r="S46" s="12" t="s">
        <v>692</v>
      </c>
      <c r="T46" s="14" t="s">
        <v>692</v>
      </c>
      <c r="U46" s="2" t="s">
        <v>692</v>
      </c>
      <c r="V46" s="14" t="s">
        <v>692</v>
      </c>
      <c r="W46" s="12" t="s">
        <v>78</v>
      </c>
      <c r="X46" s="14" t="s">
        <v>517</v>
      </c>
      <c r="Y46" s="12" t="s">
        <v>692</v>
      </c>
      <c r="Z46" s="14" t="s">
        <v>692</v>
      </c>
      <c r="AA46" s="12" t="s">
        <v>692</v>
      </c>
      <c r="AB46" s="14" t="s">
        <v>692</v>
      </c>
      <c r="AC46" s="12" t="s">
        <v>692</v>
      </c>
      <c r="AD46" s="14" t="s">
        <v>692</v>
      </c>
      <c r="AE46" s="12" t="s">
        <v>692</v>
      </c>
      <c r="AF46" s="14" t="s">
        <v>692</v>
      </c>
      <c r="AG46" s="12" t="s">
        <v>692</v>
      </c>
      <c r="AH46" s="14" t="s">
        <v>692</v>
      </c>
      <c r="AI46" s="12" t="s">
        <v>692</v>
      </c>
      <c r="AJ46" s="14" t="s">
        <v>692</v>
      </c>
      <c r="AK46" s="12" t="s">
        <v>692</v>
      </c>
      <c r="AL46" s="14" t="s">
        <v>692</v>
      </c>
      <c r="AM46" s="12" t="s">
        <v>692</v>
      </c>
      <c r="AN46" s="14" t="s">
        <v>692</v>
      </c>
      <c r="AO46" s="12" t="s">
        <v>692</v>
      </c>
      <c r="AP46" s="14" t="s">
        <v>692</v>
      </c>
      <c r="AQ46" s="2" t="s">
        <v>692</v>
      </c>
      <c r="AR46" s="14" t="s">
        <v>692</v>
      </c>
    </row>
    <row r="47" spans="1:44" ht="7.35" customHeight="1" x14ac:dyDescent="0.25">
      <c r="A47" s="12" t="s">
        <v>692</v>
      </c>
      <c r="B47" s="14" t="s">
        <v>692</v>
      </c>
      <c r="C47" s="12" t="s">
        <v>692</v>
      </c>
      <c r="D47" s="14" t="s">
        <v>692</v>
      </c>
      <c r="E47" s="12" t="s">
        <v>692</v>
      </c>
      <c r="F47" s="14" t="s">
        <v>692</v>
      </c>
      <c r="G47" s="12" t="s">
        <v>692</v>
      </c>
      <c r="H47" s="14" t="s">
        <v>692</v>
      </c>
      <c r="I47" s="12" t="s">
        <v>692</v>
      </c>
      <c r="J47" s="14" t="s">
        <v>692</v>
      </c>
      <c r="K47" s="12" t="s">
        <v>692</v>
      </c>
      <c r="L47" s="14" t="s">
        <v>692</v>
      </c>
      <c r="M47" s="12" t="s">
        <v>692</v>
      </c>
      <c r="N47" s="14" t="s">
        <v>692</v>
      </c>
      <c r="O47" s="12" t="s">
        <v>692</v>
      </c>
      <c r="P47" s="14" t="s">
        <v>692</v>
      </c>
      <c r="Q47" s="12" t="s">
        <v>692</v>
      </c>
      <c r="R47" s="14" t="s">
        <v>692</v>
      </c>
      <c r="S47" s="12" t="s">
        <v>692</v>
      </c>
      <c r="T47" s="14" t="s">
        <v>692</v>
      </c>
      <c r="U47" s="2" t="s">
        <v>692</v>
      </c>
      <c r="V47" s="14" t="s">
        <v>692</v>
      </c>
      <c r="W47" s="12" t="s">
        <v>300</v>
      </c>
      <c r="X47" s="14" t="s">
        <v>301</v>
      </c>
      <c r="Y47" s="12" t="s">
        <v>692</v>
      </c>
      <c r="Z47" s="14" t="s">
        <v>692</v>
      </c>
      <c r="AA47" s="12" t="s">
        <v>692</v>
      </c>
      <c r="AB47" s="14" t="s">
        <v>692</v>
      </c>
      <c r="AC47" s="12" t="s">
        <v>692</v>
      </c>
      <c r="AD47" s="14" t="s">
        <v>692</v>
      </c>
      <c r="AE47" s="12" t="s">
        <v>692</v>
      </c>
      <c r="AF47" s="14" t="s">
        <v>692</v>
      </c>
      <c r="AG47" s="12" t="s">
        <v>692</v>
      </c>
      <c r="AH47" s="14" t="s">
        <v>692</v>
      </c>
      <c r="AI47" s="12" t="s">
        <v>692</v>
      </c>
      <c r="AJ47" s="14" t="s">
        <v>692</v>
      </c>
      <c r="AK47" s="12" t="s">
        <v>692</v>
      </c>
      <c r="AL47" s="14" t="s">
        <v>692</v>
      </c>
      <c r="AM47" s="12" t="s">
        <v>692</v>
      </c>
      <c r="AN47" s="14" t="s">
        <v>692</v>
      </c>
      <c r="AO47" s="12" t="s">
        <v>692</v>
      </c>
      <c r="AP47" s="14" t="s">
        <v>692</v>
      </c>
      <c r="AQ47" s="2" t="s">
        <v>692</v>
      </c>
      <c r="AR47" s="14" t="s">
        <v>692</v>
      </c>
    </row>
    <row r="48" spans="1:44" ht="7.35" customHeight="1" x14ac:dyDescent="0.25">
      <c r="A48" s="12" t="s">
        <v>692</v>
      </c>
      <c r="B48" s="14" t="s">
        <v>692</v>
      </c>
      <c r="C48" s="12" t="s">
        <v>692</v>
      </c>
      <c r="D48" s="14" t="s">
        <v>692</v>
      </c>
      <c r="E48" s="12" t="s">
        <v>692</v>
      </c>
      <c r="F48" s="14" t="s">
        <v>692</v>
      </c>
      <c r="G48" s="12" t="s">
        <v>692</v>
      </c>
      <c r="H48" s="14" t="s">
        <v>692</v>
      </c>
      <c r="I48" s="12" t="s">
        <v>692</v>
      </c>
      <c r="J48" s="14" t="s">
        <v>692</v>
      </c>
      <c r="K48" s="12" t="s">
        <v>692</v>
      </c>
      <c r="L48" s="14" t="s">
        <v>692</v>
      </c>
      <c r="M48" s="12" t="s">
        <v>692</v>
      </c>
      <c r="N48" s="14" t="s">
        <v>692</v>
      </c>
      <c r="O48" s="12" t="s">
        <v>692</v>
      </c>
      <c r="P48" s="14" t="s">
        <v>692</v>
      </c>
      <c r="Q48" s="12" t="s">
        <v>692</v>
      </c>
      <c r="R48" s="14" t="s">
        <v>692</v>
      </c>
      <c r="S48" s="12" t="s">
        <v>692</v>
      </c>
      <c r="T48" s="14" t="s">
        <v>692</v>
      </c>
      <c r="U48" s="2" t="s">
        <v>692</v>
      </c>
      <c r="V48" s="14" t="s">
        <v>692</v>
      </c>
      <c r="W48" s="12" t="s">
        <v>20</v>
      </c>
      <c r="X48" s="14" t="s">
        <v>519</v>
      </c>
      <c r="Y48" s="12" t="s">
        <v>692</v>
      </c>
      <c r="Z48" s="14" t="s">
        <v>692</v>
      </c>
      <c r="AA48" s="12" t="s">
        <v>692</v>
      </c>
      <c r="AB48" s="14" t="s">
        <v>692</v>
      </c>
      <c r="AC48" s="12" t="s">
        <v>692</v>
      </c>
      <c r="AD48" s="14" t="s">
        <v>692</v>
      </c>
      <c r="AE48" s="12" t="s">
        <v>692</v>
      </c>
      <c r="AF48" s="14" t="s">
        <v>692</v>
      </c>
      <c r="AG48" s="12" t="s">
        <v>692</v>
      </c>
      <c r="AH48" s="14" t="s">
        <v>692</v>
      </c>
      <c r="AI48" s="12" t="s">
        <v>692</v>
      </c>
      <c r="AJ48" s="14" t="s">
        <v>692</v>
      </c>
      <c r="AK48" s="12" t="s">
        <v>692</v>
      </c>
      <c r="AL48" s="14" t="s">
        <v>692</v>
      </c>
      <c r="AM48" s="12" t="s">
        <v>692</v>
      </c>
      <c r="AN48" s="14" t="s">
        <v>692</v>
      </c>
      <c r="AO48" s="12" t="s">
        <v>692</v>
      </c>
      <c r="AP48" s="14" t="s">
        <v>692</v>
      </c>
      <c r="AQ48" s="2" t="s">
        <v>692</v>
      </c>
      <c r="AR48" s="14" t="s">
        <v>692</v>
      </c>
    </row>
    <row r="49" spans="1:44" ht="7.35" customHeight="1" x14ac:dyDescent="0.25">
      <c r="A49" s="12" t="s">
        <v>692</v>
      </c>
      <c r="B49" s="14" t="s">
        <v>692</v>
      </c>
      <c r="C49" s="12" t="s">
        <v>692</v>
      </c>
      <c r="D49" s="14" t="s">
        <v>692</v>
      </c>
      <c r="E49" s="12" t="s">
        <v>692</v>
      </c>
      <c r="F49" s="14" t="s">
        <v>692</v>
      </c>
      <c r="G49" s="12" t="s">
        <v>692</v>
      </c>
      <c r="H49" s="14" t="s">
        <v>692</v>
      </c>
      <c r="I49" s="12" t="s">
        <v>692</v>
      </c>
      <c r="J49" s="14" t="s">
        <v>692</v>
      </c>
      <c r="K49" s="12" t="s">
        <v>692</v>
      </c>
      <c r="L49" s="14" t="s">
        <v>692</v>
      </c>
      <c r="M49" s="12" t="s">
        <v>692</v>
      </c>
      <c r="N49" s="14" t="s">
        <v>692</v>
      </c>
      <c r="O49" s="12" t="s">
        <v>692</v>
      </c>
      <c r="P49" s="14" t="s">
        <v>692</v>
      </c>
      <c r="Q49" s="12" t="s">
        <v>692</v>
      </c>
      <c r="R49" s="14" t="s">
        <v>692</v>
      </c>
      <c r="S49" s="12" t="s">
        <v>692</v>
      </c>
      <c r="T49" s="14" t="s">
        <v>692</v>
      </c>
      <c r="U49" s="2" t="s">
        <v>692</v>
      </c>
      <c r="V49" s="14" t="s">
        <v>692</v>
      </c>
      <c r="W49" s="12" t="s">
        <v>11</v>
      </c>
      <c r="X49" s="14" t="s">
        <v>88</v>
      </c>
      <c r="Y49" s="12" t="s">
        <v>692</v>
      </c>
      <c r="Z49" s="14" t="s">
        <v>692</v>
      </c>
      <c r="AA49" s="12" t="s">
        <v>692</v>
      </c>
      <c r="AB49" s="14" t="s">
        <v>692</v>
      </c>
      <c r="AC49" s="12" t="s">
        <v>692</v>
      </c>
      <c r="AD49" s="14" t="s">
        <v>692</v>
      </c>
      <c r="AE49" s="12" t="s">
        <v>692</v>
      </c>
      <c r="AF49" s="14" t="s">
        <v>692</v>
      </c>
      <c r="AG49" s="12" t="s">
        <v>692</v>
      </c>
      <c r="AH49" s="14" t="s">
        <v>692</v>
      </c>
      <c r="AI49" s="12" t="s">
        <v>692</v>
      </c>
      <c r="AJ49" s="14" t="s">
        <v>692</v>
      </c>
      <c r="AK49" s="12" t="s">
        <v>692</v>
      </c>
      <c r="AL49" s="14" t="s">
        <v>692</v>
      </c>
      <c r="AM49" s="12" t="s">
        <v>692</v>
      </c>
      <c r="AN49" s="14" t="s">
        <v>692</v>
      </c>
      <c r="AO49" s="12" t="s">
        <v>692</v>
      </c>
      <c r="AP49" s="14" t="s">
        <v>692</v>
      </c>
      <c r="AQ49" s="2" t="s">
        <v>692</v>
      </c>
      <c r="AR49" s="14" t="s">
        <v>692</v>
      </c>
    </row>
    <row r="50" spans="1:44" ht="7.35" customHeight="1" x14ac:dyDescent="0.25">
      <c r="A50" s="12" t="s">
        <v>692</v>
      </c>
      <c r="B50" s="14" t="s">
        <v>692</v>
      </c>
      <c r="C50" s="12" t="s">
        <v>692</v>
      </c>
      <c r="D50" s="14" t="s">
        <v>692</v>
      </c>
      <c r="E50" s="12" t="s">
        <v>692</v>
      </c>
      <c r="F50" s="14" t="s">
        <v>692</v>
      </c>
      <c r="G50" s="12" t="s">
        <v>692</v>
      </c>
      <c r="H50" s="14" t="s">
        <v>692</v>
      </c>
      <c r="I50" s="12" t="s">
        <v>692</v>
      </c>
      <c r="J50" s="14" t="s">
        <v>692</v>
      </c>
      <c r="K50" s="12" t="s">
        <v>692</v>
      </c>
      <c r="L50" s="14" t="s">
        <v>692</v>
      </c>
      <c r="M50" s="12" t="s">
        <v>692</v>
      </c>
      <c r="N50" s="14" t="s">
        <v>692</v>
      </c>
      <c r="O50" s="12" t="s">
        <v>692</v>
      </c>
      <c r="P50" s="14" t="s">
        <v>692</v>
      </c>
      <c r="Q50" s="12" t="s">
        <v>692</v>
      </c>
      <c r="R50" s="14" t="s">
        <v>692</v>
      </c>
      <c r="S50" s="12" t="s">
        <v>692</v>
      </c>
      <c r="T50" s="14" t="s">
        <v>692</v>
      </c>
      <c r="U50" s="2" t="s">
        <v>692</v>
      </c>
      <c r="V50" s="14" t="s">
        <v>692</v>
      </c>
      <c r="W50" s="12" t="s">
        <v>207</v>
      </c>
      <c r="X50" s="14" t="s">
        <v>1025</v>
      </c>
      <c r="Y50" s="12" t="s">
        <v>692</v>
      </c>
      <c r="Z50" s="14" t="s">
        <v>692</v>
      </c>
      <c r="AA50" s="12" t="s">
        <v>692</v>
      </c>
      <c r="AB50" s="14" t="s">
        <v>692</v>
      </c>
      <c r="AC50" s="12" t="s">
        <v>692</v>
      </c>
      <c r="AD50" s="14" t="s">
        <v>692</v>
      </c>
      <c r="AE50" s="12" t="s">
        <v>692</v>
      </c>
      <c r="AF50" s="14" t="s">
        <v>692</v>
      </c>
      <c r="AG50" s="12" t="s">
        <v>692</v>
      </c>
      <c r="AH50" s="14" t="s">
        <v>692</v>
      </c>
      <c r="AI50" s="12" t="s">
        <v>692</v>
      </c>
      <c r="AJ50" s="14" t="s">
        <v>692</v>
      </c>
      <c r="AK50" s="12" t="s">
        <v>692</v>
      </c>
      <c r="AL50" s="14" t="s">
        <v>692</v>
      </c>
      <c r="AM50" s="12" t="s">
        <v>692</v>
      </c>
      <c r="AN50" s="14" t="s">
        <v>692</v>
      </c>
      <c r="AO50" s="12" t="s">
        <v>692</v>
      </c>
      <c r="AP50" s="14" t="s">
        <v>692</v>
      </c>
      <c r="AQ50" s="2" t="s">
        <v>692</v>
      </c>
      <c r="AR50" s="14" t="s">
        <v>692</v>
      </c>
    </row>
    <row r="51" spans="1:44" ht="7.35" customHeight="1" x14ac:dyDescent="0.25">
      <c r="A51" s="12" t="s">
        <v>692</v>
      </c>
      <c r="B51" s="14" t="s">
        <v>692</v>
      </c>
      <c r="C51" s="12" t="s">
        <v>692</v>
      </c>
      <c r="D51" s="14" t="s">
        <v>692</v>
      </c>
      <c r="E51" s="12" t="s">
        <v>692</v>
      </c>
      <c r="F51" s="14" t="s">
        <v>692</v>
      </c>
      <c r="G51" s="12" t="s">
        <v>692</v>
      </c>
      <c r="H51" s="14" t="s">
        <v>692</v>
      </c>
      <c r="I51" s="12" t="s">
        <v>692</v>
      </c>
      <c r="J51" s="14" t="s">
        <v>692</v>
      </c>
      <c r="K51" s="12" t="s">
        <v>692</v>
      </c>
      <c r="L51" s="14" t="s">
        <v>692</v>
      </c>
      <c r="M51" s="12" t="s">
        <v>692</v>
      </c>
      <c r="N51" s="14" t="s">
        <v>692</v>
      </c>
      <c r="O51" s="12" t="s">
        <v>692</v>
      </c>
      <c r="P51" s="14" t="s">
        <v>692</v>
      </c>
      <c r="Q51" s="12" t="s">
        <v>692</v>
      </c>
      <c r="R51" s="14" t="s">
        <v>692</v>
      </c>
      <c r="S51" s="12" t="s">
        <v>692</v>
      </c>
      <c r="T51" s="14" t="s">
        <v>692</v>
      </c>
      <c r="U51" s="2" t="s">
        <v>692</v>
      </c>
      <c r="V51" s="14" t="s">
        <v>692</v>
      </c>
      <c r="W51" s="12" t="s">
        <v>129</v>
      </c>
      <c r="X51" s="14" t="s">
        <v>503</v>
      </c>
      <c r="Y51" s="12" t="s">
        <v>692</v>
      </c>
      <c r="Z51" s="14" t="s">
        <v>692</v>
      </c>
      <c r="AA51" s="12" t="s">
        <v>692</v>
      </c>
      <c r="AB51" s="14" t="s">
        <v>692</v>
      </c>
      <c r="AC51" s="12" t="s">
        <v>692</v>
      </c>
      <c r="AD51" s="14" t="s">
        <v>692</v>
      </c>
      <c r="AE51" s="12" t="s">
        <v>692</v>
      </c>
      <c r="AF51" s="14" t="s">
        <v>692</v>
      </c>
      <c r="AG51" s="12" t="s">
        <v>692</v>
      </c>
      <c r="AH51" s="14" t="s">
        <v>692</v>
      </c>
      <c r="AI51" s="12" t="s">
        <v>692</v>
      </c>
      <c r="AJ51" s="14" t="s">
        <v>692</v>
      </c>
      <c r="AK51" s="12" t="s">
        <v>692</v>
      </c>
      <c r="AL51" s="14" t="s">
        <v>692</v>
      </c>
      <c r="AM51" s="12" t="s">
        <v>692</v>
      </c>
      <c r="AN51" s="14" t="s">
        <v>692</v>
      </c>
      <c r="AO51" s="12" t="s">
        <v>692</v>
      </c>
      <c r="AP51" s="14" t="s">
        <v>692</v>
      </c>
      <c r="AQ51" s="2" t="s">
        <v>692</v>
      </c>
      <c r="AR51" s="14" t="s">
        <v>692</v>
      </c>
    </row>
    <row r="52" spans="1:44" ht="7.35" customHeight="1" x14ac:dyDescent="0.25">
      <c r="A52" s="12" t="s">
        <v>692</v>
      </c>
      <c r="B52" s="14" t="s">
        <v>692</v>
      </c>
      <c r="C52" s="12" t="s">
        <v>692</v>
      </c>
      <c r="D52" s="14" t="s">
        <v>692</v>
      </c>
      <c r="E52" s="12" t="s">
        <v>692</v>
      </c>
      <c r="F52" s="14" t="s">
        <v>692</v>
      </c>
      <c r="G52" s="12" t="s">
        <v>692</v>
      </c>
      <c r="H52" s="14" t="s">
        <v>692</v>
      </c>
      <c r="I52" s="12" t="s">
        <v>692</v>
      </c>
      <c r="J52" s="14" t="s">
        <v>692</v>
      </c>
      <c r="K52" s="12" t="s">
        <v>692</v>
      </c>
      <c r="L52" s="14" t="s">
        <v>692</v>
      </c>
      <c r="M52" s="12" t="s">
        <v>692</v>
      </c>
      <c r="N52" s="14" t="s">
        <v>692</v>
      </c>
      <c r="O52" s="12" t="s">
        <v>692</v>
      </c>
      <c r="P52" s="14" t="s">
        <v>692</v>
      </c>
      <c r="Q52" s="12" t="s">
        <v>692</v>
      </c>
      <c r="R52" s="14" t="s">
        <v>692</v>
      </c>
      <c r="S52" s="12" t="s">
        <v>692</v>
      </c>
      <c r="T52" s="14" t="s">
        <v>692</v>
      </c>
      <c r="U52" s="2" t="s">
        <v>692</v>
      </c>
      <c r="V52" s="14" t="s">
        <v>692</v>
      </c>
      <c r="W52" s="12" t="s">
        <v>205</v>
      </c>
      <c r="X52" s="14" t="s">
        <v>1026</v>
      </c>
      <c r="Y52" s="12" t="s">
        <v>692</v>
      </c>
      <c r="Z52" s="14" t="s">
        <v>692</v>
      </c>
      <c r="AA52" s="12" t="s">
        <v>692</v>
      </c>
      <c r="AB52" s="14" t="s">
        <v>692</v>
      </c>
      <c r="AC52" s="12" t="s">
        <v>692</v>
      </c>
      <c r="AD52" s="14" t="s">
        <v>692</v>
      </c>
      <c r="AE52" s="12" t="s">
        <v>692</v>
      </c>
      <c r="AF52" s="14" t="s">
        <v>692</v>
      </c>
      <c r="AG52" s="12" t="s">
        <v>692</v>
      </c>
      <c r="AH52" s="14" t="s">
        <v>692</v>
      </c>
      <c r="AI52" s="12" t="s">
        <v>692</v>
      </c>
      <c r="AJ52" s="14" t="s">
        <v>692</v>
      </c>
      <c r="AK52" s="12" t="s">
        <v>692</v>
      </c>
      <c r="AL52" s="14" t="s">
        <v>692</v>
      </c>
      <c r="AM52" s="12" t="s">
        <v>692</v>
      </c>
      <c r="AN52" s="14" t="s">
        <v>692</v>
      </c>
      <c r="AO52" s="12" t="s">
        <v>692</v>
      </c>
      <c r="AP52" s="14" t="s">
        <v>692</v>
      </c>
      <c r="AQ52" s="2" t="s">
        <v>692</v>
      </c>
      <c r="AR52" s="14" t="s">
        <v>692</v>
      </c>
    </row>
    <row r="53" spans="1:44" ht="7.35" customHeight="1" x14ac:dyDescent="0.25">
      <c r="A53" s="12" t="s">
        <v>692</v>
      </c>
      <c r="B53" s="14" t="s">
        <v>692</v>
      </c>
      <c r="C53" s="12" t="s">
        <v>692</v>
      </c>
      <c r="D53" s="14" t="s">
        <v>692</v>
      </c>
      <c r="E53" s="12" t="s">
        <v>692</v>
      </c>
      <c r="F53" s="14" t="s">
        <v>692</v>
      </c>
      <c r="G53" s="12" t="s">
        <v>692</v>
      </c>
      <c r="H53" s="14" t="s">
        <v>692</v>
      </c>
      <c r="I53" s="12" t="s">
        <v>692</v>
      </c>
      <c r="J53" s="14" t="s">
        <v>692</v>
      </c>
      <c r="K53" s="12" t="s">
        <v>692</v>
      </c>
      <c r="L53" s="14" t="s">
        <v>692</v>
      </c>
      <c r="M53" s="12" t="s">
        <v>692</v>
      </c>
      <c r="N53" s="14" t="s">
        <v>692</v>
      </c>
      <c r="O53" s="12" t="s">
        <v>692</v>
      </c>
      <c r="P53" s="14" t="s">
        <v>692</v>
      </c>
      <c r="Q53" s="12" t="s">
        <v>692</v>
      </c>
      <c r="R53" s="14" t="s">
        <v>692</v>
      </c>
      <c r="S53" s="12" t="s">
        <v>692</v>
      </c>
      <c r="T53" s="14" t="s">
        <v>692</v>
      </c>
      <c r="U53" s="2" t="s">
        <v>692</v>
      </c>
      <c r="V53" s="14" t="s">
        <v>692</v>
      </c>
      <c r="W53" s="12" t="s">
        <v>776</v>
      </c>
      <c r="X53" s="14" t="s">
        <v>595</v>
      </c>
      <c r="Y53" s="12" t="s">
        <v>692</v>
      </c>
      <c r="Z53" s="14" t="s">
        <v>692</v>
      </c>
      <c r="AA53" s="12" t="s">
        <v>692</v>
      </c>
      <c r="AB53" s="14" t="s">
        <v>692</v>
      </c>
      <c r="AC53" s="12" t="s">
        <v>692</v>
      </c>
      <c r="AD53" s="14" t="s">
        <v>692</v>
      </c>
      <c r="AE53" s="12" t="s">
        <v>692</v>
      </c>
      <c r="AF53" s="14" t="s">
        <v>692</v>
      </c>
      <c r="AG53" s="12" t="s">
        <v>692</v>
      </c>
      <c r="AH53" s="14" t="s">
        <v>692</v>
      </c>
      <c r="AI53" s="12" t="s">
        <v>692</v>
      </c>
      <c r="AJ53" s="14" t="s">
        <v>692</v>
      </c>
      <c r="AK53" s="12" t="s">
        <v>692</v>
      </c>
      <c r="AL53" s="14" t="s">
        <v>692</v>
      </c>
      <c r="AM53" s="12" t="s">
        <v>692</v>
      </c>
      <c r="AN53" s="14" t="s">
        <v>692</v>
      </c>
      <c r="AO53" s="12" t="s">
        <v>692</v>
      </c>
      <c r="AP53" s="14" t="s">
        <v>692</v>
      </c>
      <c r="AQ53" s="2" t="s">
        <v>692</v>
      </c>
      <c r="AR53" s="14" t="s">
        <v>692</v>
      </c>
    </row>
    <row r="54" spans="1:44" ht="7.35" customHeight="1" x14ac:dyDescent="0.25">
      <c r="A54" s="12" t="s">
        <v>692</v>
      </c>
      <c r="B54" s="14" t="s">
        <v>692</v>
      </c>
      <c r="C54" s="12" t="s">
        <v>692</v>
      </c>
      <c r="D54" s="14" t="s">
        <v>692</v>
      </c>
      <c r="E54" s="12" t="s">
        <v>692</v>
      </c>
      <c r="F54" s="14" t="s">
        <v>692</v>
      </c>
      <c r="G54" s="12" t="s">
        <v>692</v>
      </c>
      <c r="H54" s="14" t="s">
        <v>692</v>
      </c>
      <c r="I54" s="12" t="s">
        <v>692</v>
      </c>
      <c r="J54" s="14" t="s">
        <v>692</v>
      </c>
      <c r="K54" s="12" t="s">
        <v>692</v>
      </c>
      <c r="L54" s="14" t="s">
        <v>692</v>
      </c>
      <c r="M54" s="12" t="s">
        <v>692</v>
      </c>
      <c r="N54" s="14" t="s">
        <v>692</v>
      </c>
      <c r="O54" s="12" t="s">
        <v>692</v>
      </c>
      <c r="P54" s="14" t="s">
        <v>692</v>
      </c>
      <c r="Q54" s="12" t="s">
        <v>692</v>
      </c>
      <c r="R54" s="14" t="s">
        <v>692</v>
      </c>
      <c r="S54" s="12" t="s">
        <v>692</v>
      </c>
      <c r="T54" s="14" t="s">
        <v>692</v>
      </c>
      <c r="U54" s="2" t="s">
        <v>692</v>
      </c>
      <c r="V54" s="14" t="s">
        <v>692</v>
      </c>
      <c r="W54" s="2" t="s">
        <v>692</v>
      </c>
      <c r="X54" s="14" t="s">
        <v>692</v>
      </c>
      <c r="Y54" s="12" t="s">
        <v>692</v>
      </c>
      <c r="Z54" s="14" t="s">
        <v>692</v>
      </c>
      <c r="AA54" s="12" t="s">
        <v>692</v>
      </c>
      <c r="AB54" s="14" t="s">
        <v>692</v>
      </c>
      <c r="AC54" s="12" t="s">
        <v>692</v>
      </c>
      <c r="AD54" s="14" t="s">
        <v>692</v>
      </c>
      <c r="AE54" s="12" t="s">
        <v>692</v>
      </c>
      <c r="AF54" s="14" t="s">
        <v>692</v>
      </c>
      <c r="AG54" s="12" t="s">
        <v>692</v>
      </c>
      <c r="AH54" s="14" t="s">
        <v>692</v>
      </c>
      <c r="AI54" s="12" t="s">
        <v>692</v>
      </c>
      <c r="AJ54" s="14" t="s">
        <v>692</v>
      </c>
      <c r="AK54" s="12" t="s">
        <v>692</v>
      </c>
      <c r="AL54" s="14" t="s">
        <v>692</v>
      </c>
      <c r="AM54" s="12" t="s">
        <v>692</v>
      </c>
      <c r="AN54" s="14" t="s">
        <v>692</v>
      </c>
      <c r="AO54" s="12" t="s">
        <v>692</v>
      </c>
      <c r="AP54" s="14" t="s">
        <v>692</v>
      </c>
      <c r="AQ54" s="2" t="s">
        <v>692</v>
      </c>
      <c r="AR54" s="14" t="s">
        <v>692</v>
      </c>
    </row>
    <row r="55" spans="1:44" ht="7.35" customHeight="1" x14ac:dyDescent="0.25">
      <c r="A55" s="12" t="s">
        <v>692</v>
      </c>
      <c r="B55" s="14" t="s">
        <v>692</v>
      </c>
      <c r="C55" s="12" t="s">
        <v>692</v>
      </c>
      <c r="D55" s="14" t="s">
        <v>692</v>
      </c>
      <c r="E55" s="12" t="s">
        <v>692</v>
      </c>
      <c r="F55" s="14" t="s">
        <v>692</v>
      </c>
      <c r="G55" s="12" t="s">
        <v>692</v>
      </c>
      <c r="H55" s="14" t="s">
        <v>692</v>
      </c>
      <c r="I55" s="12" t="s">
        <v>692</v>
      </c>
      <c r="J55" s="14" t="s">
        <v>692</v>
      </c>
      <c r="K55" s="12" t="s">
        <v>692</v>
      </c>
      <c r="L55" s="14" t="s">
        <v>692</v>
      </c>
      <c r="M55" s="12" t="s">
        <v>692</v>
      </c>
      <c r="N55" s="14" t="s">
        <v>692</v>
      </c>
      <c r="O55" s="12" t="s">
        <v>692</v>
      </c>
      <c r="P55" s="14" t="s">
        <v>692</v>
      </c>
      <c r="Q55" s="12" t="s">
        <v>692</v>
      </c>
      <c r="R55" s="14" t="s">
        <v>692</v>
      </c>
      <c r="S55" s="12" t="s">
        <v>692</v>
      </c>
      <c r="T55" s="14" t="s">
        <v>692</v>
      </c>
      <c r="U55" s="2" t="s">
        <v>692</v>
      </c>
      <c r="V55" s="14" t="s">
        <v>692</v>
      </c>
      <c r="W55" s="2" t="s">
        <v>692</v>
      </c>
      <c r="X55" s="14" t="s">
        <v>692</v>
      </c>
      <c r="Y55" s="12" t="s">
        <v>692</v>
      </c>
      <c r="Z55" s="14" t="s">
        <v>692</v>
      </c>
      <c r="AA55" s="12" t="s">
        <v>692</v>
      </c>
      <c r="AB55" s="14" t="s">
        <v>692</v>
      </c>
      <c r="AC55" s="12" t="s">
        <v>692</v>
      </c>
      <c r="AD55" s="14" t="s">
        <v>692</v>
      </c>
      <c r="AE55" s="12" t="s">
        <v>692</v>
      </c>
      <c r="AF55" s="14" t="s">
        <v>692</v>
      </c>
      <c r="AG55" s="12" t="s">
        <v>692</v>
      </c>
      <c r="AH55" s="14" t="s">
        <v>692</v>
      </c>
      <c r="AI55" s="12" t="s">
        <v>692</v>
      </c>
      <c r="AJ55" s="14" t="s">
        <v>692</v>
      </c>
      <c r="AK55" s="12" t="s">
        <v>692</v>
      </c>
      <c r="AL55" s="14" t="s">
        <v>692</v>
      </c>
      <c r="AM55" s="12" t="s">
        <v>692</v>
      </c>
      <c r="AN55" s="14" t="s">
        <v>692</v>
      </c>
      <c r="AO55" s="12" t="s">
        <v>692</v>
      </c>
      <c r="AP55" s="14" t="s">
        <v>692</v>
      </c>
      <c r="AQ55" s="2" t="s">
        <v>692</v>
      </c>
      <c r="AR55" s="14" t="s">
        <v>692</v>
      </c>
    </row>
    <row r="56" spans="1:44" ht="7.35" customHeight="1" x14ac:dyDescent="0.25">
      <c r="A56" s="12" t="s">
        <v>692</v>
      </c>
      <c r="B56" s="14" t="s">
        <v>692</v>
      </c>
      <c r="C56" s="12" t="s">
        <v>692</v>
      </c>
      <c r="D56" s="14" t="s">
        <v>692</v>
      </c>
      <c r="E56" s="12" t="s">
        <v>692</v>
      </c>
      <c r="F56" s="14" t="s">
        <v>692</v>
      </c>
      <c r="G56" s="12" t="s">
        <v>692</v>
      </c>
      <c r="H56" s="14" t="s">
        <v>692</v>
      </c>
      <c r="I56" s="12" t="s">
        <v>692</v>
      </c>
      <c r="J56" s="14" t="s">
        <v>692</v>
      </c>
      <c r="K56" s="12" t="s">
        <v>692</v>
      </c>
      <c r="L56" s="14" t="s">
        <v>692</v>
      </c>
      <c r="M56" s="12" t="s">
        <v>692</v>
      </c>
      <c r="N56" s="14" t="s">
        <v>692</v>
      </c>
      <c r="O56" s="12" t="s">
        <v>692</v>
      </c>
      <c r="P56" s="14" t="s">
        <v>692</v>
      </c>
      <c r="Q56" s="12" t="s">
        <v>692</v>
      </c>
      <c r="R56" s="14" t="s">
        <v>692</v>
      </c>
      <c r="S56" s="12" t="s">
        <v>692</v>
      </c>
      <c r="T56" s="14" t="s">
        <v>692</v>
      </c>
      <c r="U56" s="2" t="s">
        <v>692</v>
      </c>
      <c r="V56" s="14" t="s">
        <v>692</v>
      </c>
      <c r="W56" s="2" t="s">
        <v>692</v>
      </c>
      <c r="X56" s="14" t="s">
        <v>692</v>
      </c>
      <c r="Y56" s="12" t="s">
        <v>692</v>
      </c>
      <c r="Z56" s="14" t="s">
        <v>692</v>
      </c>
      <c r="AA56" s="12" t="s">
        <v>692</v>
      </c>
      <c r="AB56" s="14" t="s">
        <v>692</v>
      </c>
      <c r="AC56" s="12" t="s">
        <v>692</v>
      </c>
      <c r="AD56" s="14" t="s">
        <v>692</v>
      </c>
      <c r="AE56" s="12" t="s">
        <v>692</v>
      </c>
      <c r="AF56" s="14" t="s">
        <v>692</v>
      </c>
      <c r="AG56" s="12" t="s">
        <v>692</v>
      </c>
      <c r="AH56" s="14" t="s">
        <v>692</v>
      </c>
      <c r="AI56" s="12" t="s">
        <v>692</v>
      </c>
      <c r="AJ56" s="14" t="s">
        <v>692</v>
      </c>
      <c r="AK56" s="12" t="s">
        <v>692</v>
      </c>
      <c r="AL56" s="14" t="s">
        <v>692</v>
      </c>
      <c r="AM56" s="12" t="s">
        <v>692</v>
      </c>
      <c r="AN56" s="14" t="s">
        <v>692</v>
      </c>
      <c r="AO56" s="12" t="s">
        <v>692</v>
      </c>
      <c r="AP56" s="14" t="s">
        <v>692</v>
      </c>
      <c r="AQ56" s="2" t="s">
        <v>692</v>
      </c>
      <c r="AR56" s="14" t="s">
        <v>692</v>
      </c>
    </row>
    <row r="57" spans="1:44" ht="7.35" customHeight="1" x14ac:dyDescent="0.25">
      <c r="A57" s="12" t="s">
        <v>692</v>
      </c>
      <c r="B57" s="14" t="s">
        <v>692</v>
      </c>
      <c r="C57" s="12" t="s">
        <v>692</v>
      </c>
      <c r="D57" s="14" t="s">
        <v>692</v>
      </c>
      <c r="E57" s="12" t="s">
        <v>692</v>
      </c>
      <c r="F57" s="14" t="s">
        <v>692</v>
      </c>
      <c r="G57" s="12" t="s">
        <v>692</v>
      </c>
      <c r="H57" s="14" t="s">
        <v>692</v>
      </c>
      <c r="I57" s="12" t="s">
        <v>692</v>
      </c>
      <c r="J57" s="14" t="s">
        <v>692</v>
      </c>
      <c r="K57" s="12" t="s">
        <v>692</v>
      </c>
      <c r="L57" s="14" t="s">
        <v>692</v>
      </c>
      <c r="M57" s="12" t="s">
        <v>692</v>
      </c>
      <c r="N57" s="14" t="s">
        <v>692</v>
      </c>
      <c r="O57" s="12" t="s">
        <v>692</v>
      </c>
      <c r="P57" s="14" t="s">
        <v>692</v>
      </c>
      <c r="Q57" s="12" t="s">
        <v>692</v>
      </c>
      <c r="R57" s="14" t="s">
        <v>692</v>
      </c>
      <c r="S57" s="12" t="s">
        <v>692</v>
      </c>
      <c r="T57" s="14" t="s">
        <v>692</v>
      </c>
      <c r="U57" s="2" t="s">
        <v>692</v>
      </c>
      <c r="V57" s="14" t="s">
        <v>692</v>
      </c>
      <c r="W57" s="2" t="s">
        <v>692</v>
      </c>
      <c r="X57" s="14" t="s">
        <v>692</v>
      </c>
      <c r="Y57" s="12" t="s">
        <v>692</v>
      </c>
      <c r="Z57" s="14" t="s">
        <v>692</v>
      </c>
      <c r="AA57" s="12" t="s">
        <v>692</v>
      </c>
      <c r="AB57" s="14" t="s">
        <v>692</v>
      </c>
      <c r="AC57" s="12" t="s">
        <v>692</v>
      </c>
      <c r="AD57" s="14" t="s">
        <v>692</v>
      </c>
      <c r="AE57" s="12" t="s">
        <v>692</v>
      </c>
      <c r="AF57" s="14" t="s">
        <v>692</v>
      </c>
      <c r="AG57" s="12" t="s">
        <v>692</v>
      </c>
      <c r="AH57" s="14" t="s">
        <v>692</v>
      </c>
      <c r="AI57" s="12" t="s">
        <v>692</v>
      </c>
      <c r="AJ57" s="14" t="s">
        <v>692</v>
      </c>
      <c r="AK57" s="12" t="s">
        <v>692</v>
      </c>
      <c r="AL57" s="14" t="s">
        <v>692</v>
      </c>
      <c r="AM57" s="12" t="s">
        <v>692</v>
      </c>
      <c r="AN57" s="14" t="s">
        <v>692</v>
      </c>
      <c r="AO57" s="12" t="s">
        <v>692</v>
      </c>
      <c r="AP57" s="14" t="s">
        <v>692</v>
      </c>
      <c r="AQ57" s="2" t="s">
        <v>692</v>
      </c>
      <c r="AR57" s="14" t="s">
        <v>692</v>
      </c>
    </row>
    <row r="58" spans="1:44" ht="7.35" customHeight="1" x14ac:dyDescent="0.25">
      <c r="A58" s="12" t="s">
        <v>692</v>
      </c>
      <c r="B58" s="14" t="s">
        <v>692</v>
      </c>
      <c r="C58" s="12" t="s">
        <v>692</v>
      </c>
      <c r="D58" s="14" t="s">
        <v>692</v>
      </c>
      <c r="E58" s="12" t="s">
        <v>692</v>
      </c>
      <c r="F58" s="14" t="s">
        <v>692</v>
      </c>
      <c r="G58" s="12" t="s">
        <v>692</v>
      </c>
      <c r="H58" s="14" t="s">
        <v>692</v>
      </c>
      <c r="I58" s="12" t="s">
        <v>692</v>
      </c>
      <c r="J58" s="14" t="s">
        <v>692</v>
      </c>
      <c r="K58" s="12" t="s">
        <v>692</v>
      </c>
      <c r="L58" s="14" t="s">
        <v>692</v>
      </c>
      <c r="M58" s="12" t="s">
        <v>692</v>
      </c>
      <c r="N58" s="14" t="s">
        <v>692</v>
      </c>
      <c r="O58" s="12" t="s">
        <v>692</v>
      </c>
      <c r="P58" s="14" t="s">
        <v>692</v>
      </c>
      <c r="Q58" s="12" t="s">
        <v>692</v>
      </c>
      <c r="R58" s="14" t="s">
        <v>692</v>
      </c>
      <c r="S58" s="12" t="s">
        <v>692</v>
      </c>
      <c r="T58" s="14" t="s">
        <v>692</v>
      </c>
      <c r="U58" s="2" t="s">
        <v>692</v>
      </c>
      <c r="V58" s="14" t="s">
        <v>692</v>
      </c>
      <c r="W58" s="2" t="s">
        <v>692</v>
      </c>
      <c r="X58" s="14" t="s">
        <v>692</v>
      </c>
      <c r="Y58" s="12" t="s">
        <v>692</v>
      </c>
      <c r="Z58" s="14" t="s">
        <v>692</v>
      </c>
      <c r="AA58" s="12" t="s">
        <v>692</v>
      </c>
      <c r="AB58" s="14" t="s">
        <v>692</v>
      </c>
      <c r="AC58" s="12" t="s">
        <v>692</v>
      </c>
      <c r="AD58" s="14" t="s">
        <v>692</v>
      </c>
      <c r="AE58" s="12" t="s">
        <v>692</v>
      </c>
      <c r="AF58" s="14" t="s">
        <v>692</v>
      </c>
      <c r="AG58" s="12" t="s">
        <v>692</v>
      </c>
      <c r="AH58" s="14" t="s">
        <v>692</v>
      </c>
      <c r="AI58" s="12" t="s">
        <v>692</v>
      </c>
      <c r="AJ58" s="14" t="s">
        <v>692</v>
      </c>
      <c r="AK58" s="12" t="s">
        <v>692</v>
      </c>
      <c r="AL58" s="14" t="s">
        <v>692</v>
      </c>
      <c r="AM58" s="12" t="s">
        <v>692</v>
      </c>
      <c r="AN58" s="14" t="s">
        <v>692</v>
      </c>
      <c r="AO58" s="12" t="s">
        <v>692</v>
      </c>
      <c r="AP58" s="14" t="s">
        <v>692</v>
      </c>
      <c r="AQ58" s="2" t="s">
        <v>692</v>
      </c>
      <c r="AR58" s="14" t="s">
        <v>692</v>
      </c>
    </row>
    <row r="59" spans="1:44" ht="7.35" customHeight="1" x14ac:dyDescent="0.25">
      <c r="C59"/>
      <c r="E59"/>
      <c r="F59"/>
      <c r="G59"/>
      <c r="H59"/>
      <c r="I59"/>
      <c r="J59"/>
      <c r="K59" s="12" t="s">
        <v>692</v>
      </c>
      <c r="L59" s="14" t="s">
        <v>692</v>
      </c>
      <c r="M59"/>
      <c r="N59"/>
      <c r="O59"/>
      <c r="P59"/>
      <c r="Q59"/>
      <c r="R59"/>
      <c r="S59"/>
      <c r="T59"/>
      <c r="U59"/>
      <c r="V59"/>
      <c r="W59" s="1"/>
      <c r="X59"/>
      <c r="Y59"/>
      <c r="Z59"/>
      <c r="AA59"/>
      <c r="AB59"/>
      <c r="AC59"/>
      <c r="AD59"/>
      <c r="AE59"/>
      <c r="AG59"/>
      <c r="AI59"/>
      <c r="AK59"/>
      <c r="AM59"/>
      <c r="AO59" s="12" t="s">
        <v>692</v>
      </c>
      <c r="AP59" s="14" t="s">
        <v>692</v>
      </c>
      <c r="AQ59"/>
      <c r="AR59"/>
    </row>
    <row r="60" spans="1:44" ht="7.35" customHeight="1" x14ac:dyDescent="0.25">
      <c r="E60" s="1"/>
      <c r="F60"/>
      <c r="G60" s="1"/>
      <c r="H60"/>
      <c r="I60"/>
      <c r="J60"/>
      <c r="K60" s="12" t="s">
        <v>692</v>
      </c>
      <c r="L60" s="14" t="s">
        <v>692</v>
      </c>
      <c r="M60"/>
      <c r="N60"/>
      <c r="O60"/>
      <c r="P60"/>
      <c r="Q60"/>
      <c r="R60"/>
      <c r="S60"/>
      <c r="T60"/>
      <c r="U60" s="1"/>
      <c r="V60"/>
      <c r="W60" s="1"/>
      <c r="X60"/>
      <c r="Y60" s="1"/>
      <c r="Z60"/>
      <c r="AA60" s="1"/>
      <c r="AB60"/>
      <c r="AC60"/>
      <c r="AD60"/>
      <c r="AO60" s="12" t="s">
        <v>692</v>
      </c>
      <c r="AP60" s="14" t="s">
        <v>692</v>
      </c>
      <c r="AR60"/>
    </row>
    <row r="61" spans="1:44" ht="7.35" customHeight="1" x14ac:dyDescent="0.25">
      <c r="E61" s="1"/>
      <c r="F61"/>
      <c r="G61" s="1"/>
      <c r="H61"/>
      <c r="I61"/>
      <c r="J61"/>
      <c r="K61"/>
      <c r="L61"/>
      <c r="N61"/>
      <c r="O61"/>
      <c r="P61"/>
      <c r="Q61"/>
      <c r="R61"/>
      <c r="S61"/>
      <c r="T61"/>
      <c r="U61" s="1"/>
      <c r="V61"/>
      <c r="W61" s="1"/>
      <c r="X61"/>
      <c r="Y61" s="1"/>
      <c r="Z61"/>
      <c r="AA61" s="1"/>
      <c r="AB61"/>
      <c r="AD61"/>
      <c r="AO61" s="12" t="s">
        <v>692</v>
      </c>
      <c r="AP61" s="14" t="s">
        <v>692</v>
      </c>
      <c r="AR61"/>
    </row>
    <row r="62" spans="1:44" ht="7.35" customHeight="1" x14ac:dyDescent="0.25">
      <c r="E62" s="1"/>
      <c r="F62"/>
      <c r="G62" s="1"/>
      <c r="H62"/>
      <c r="J62"/>
      <c r="K62"/>
      <c r="L62"/>
      <c r="N62"/>
      <c r="O62"/>
      <c r="P62"/>
      <c r="Q62"/>
      <c r="R62"/>
      <c r="S62"/>
      <c r="T62"/>
      <c r="U62" s="1"/>
      <c r="V62"/>
      <c r="W62" s="1"/>
      <c r="X62"/>
      <c r="Y62" s="1"/>
      <c r="Z62"/>
      <c r="AA62" s="1"/>
      <c r="AB62"/>
      <c r="AD62"/>
      <c r="AO62" s="12" t="s">
        <v>692</v>
      </c>
      <c r="AP62" s="14" t="s">
        <v>692</v>
      </c>
      <c r="AR62"/>
    </row>
    <row r="63" spans="1:44" ht="7.35" customHeight="1" x14ac:dyDescent="0.25">
      <c r="E63" s="1"/>
      <c r="F63"/>
      <c r="G63" s="1"/>
      <c r="H63"/>
      <c r="J63"/>
      <c r="L63"/>
      <c r="N63"/>
      <c r="O63"/>
      <c r="P63"/>
      <c r="Q63"/>
      <c r="R63"/>
      <c r="S63"/>
      <c r="T63"/>
      <c r="U63" s="1"/>
      <c r="V63"/>
      <c r="W63" s="1"/>
      <c r="X63"/>
      <c r="Y63" s="1"/>
      <c r="Z63"/>
      <c r="AA63" s="1"/>
      <c r="AB63"/>
      <c r="AD63"/>
      <c r="AO63"/>
      <c r="AP63"/>
      <c r="AR63"/>
    </row>
    <row r="64" spans="1:44" ht="7.35" customHeight="1" x14ac:dyDescent="0.25">
      <c r="E64" s="1"/>
      <c r="F64"/>
      <c r="G64" s="1"/>
      <c r="H64"/>
      <c r="J64"/>
      <c r="L64"/>
      <c r="N64"/>
      <c r="P64"/>
      <c r="R64"/>
      <c r="S64"/>
      <c r="T64"/>
      <c r="U64" s="1"/>
      <c r="V64"/>
      <c r="W64" s="1"/>
      <c r="X64"/>
      <c r="Y64" s="1"/>
      <c r="Z64"/>
      <c r="AA64" s="1"/>
      <c r="AB64"/>
      <c r="AD64"/>
      <c r="AP64"/>
      <c r="AR64"/>
    </row>
    <row r="65" spans="5:44" ht="7.35" customHeight="1" x14ac:dyDescent="0.25">
      <c r="E65" s="1"/>
      <c r="F65"/>
      <c r="G65" s="1"/>
      <c r="H65"/>
      <c r="J65"/>
      <c r="L65"/>
      <c r="N65"/>
      <c r="P65"/>
      <c r="R65"/>
      <c r="S65"/>
      <c r="T65"/>
      <c r="U65" s="1"/>
      <c r="V65"/>
      <c r="W65" s="1"/>
      <c r="X65"/>
      <c r="Y65" s="1"/>
      <c r="Z65"/>
      <c r="AA65" s="1"/>
      <c r="AB65"/>
      <c r="AD65"/>
      <c r="AP65"/>
      <c r="AR65"/>
    </row>
    <row r="66" spans="5:44" ht="7.35" customHeight="1" x14ac:dyDescent="0.25">
      <c r="E66" s="1"/>
      <c r="F66"/>
      <c r="G66" s="1"/>
      <c r="H66"/>
      <c r="J66"/>
      <c r="L66"/>
      <c r="N66"/>
      <c r="P66"/>
      <c r="R66"/>
      <c r="S66"/>
      <c r="T66"/>
      <c r="U66" s="1"/>
      <c r="V66"/>
      <c r="W66" s="1"/>
      <c r="X66"/>
      <c r="Y66" s="1"/>
      <c r="Z66"/>
      <c r="AA66" s="1"/>
      <c r="AB66"/>
      <c r="AD66"/>
      <c r="AP66"/>
      <c r="AR66"/>
    </row>
    <row r="67" spans="5:44" ht="7.35" customHeight="1" x14ac:dyDescent="0.25">
      <c r="E67" s="1"/>
      <c r="F67"/>
      <c r="G67" s="1"/>
      <c r="H67"/>
      <c r="J67"/>
      <c r="L67"/>
      <c r="N67"/>
      <c r="P67"/>
      <c r="R67"/>
      <c r="T67"/>
      <c r="U67" s="1"/>
      <c r="V67"/>
      <c r="W67" s="1"/>
      <c r="X67"/>
      <c r="Y67" s="1"/>
      <c r="Z67"/>
      <c r="AA67" s="1"/>
      <c r="AB67"/>
      <c r="AD67"/>
      <c r="AP67"/>
      <c r="AR67"/>
    </row>
    <row r="68" spans="5:44" ht="7.35" customHeight="1" x14ac:dyDescent="0.25">
      <c r="E68" s="1"/>
      <c r="F68"/>
      <c r="G68" s="1"/>
      <c r="H68"/>
      <c r="J68"/>
      <c r="L68"/>
      <c r="N68"/>
      <c r="P68"/>
      <c r="R68"/>
      <c r="T68"/>
      <c r="U68" s="1"/>
      <c r="V68"/>
      <c r="W68" s="1"/>
      <c r="X68"/>
      <c r="Y68" s="1"/>
      <c r="Z68"/>
      <c r="AA68" s="1"/>
      <c r="AB68"/>
      <c r="AD68"/>
      <c r="AP68"/>
      <c r="AR68"/>
    </row>
    <row r="69" spans="5:44" ht="7.35" customHeight="1" x14ac:dyDescent="0.25">
      <c r="E69" s="1"/>
      <c r="F69"/>
      <c r="G69" s="1"/>
      <c r="H69"/>
      <c r="J69"/>
      <c r="L69"/>
      <c r="N69"/>
      <c r="P69"/>
      <c r="R69"/>
      <c r="T69"/>
      <c r="U69" s="1"/>
      <c r="V69"/>
      <c r="W69" s="1"/>
      <c r="X69"/>
      <c r="Y69" s="1"/>
      <c r="Z69"/>
      <c r="AA69" s="1"/>
      <c r="AB69"/>
      <c r="AD69"/>
      <c r="AP69"/>
      <c r="AR69"/>
    </row>
    <row r="70" spans="5:44" ht="7.35" customHeight="1" x14ac:dyDescent="0.25">
      <c r="E70" s="1"/>
      <c r="F70"/>
      <c r="G70" s="1"/>
      <c r="H70"/>
      <c r="J70"/>
      <c r="L70"/>
      <c r="N70"/>
      <c r="P70"/>
      <c r="R70"/>
      <c r="T70"/>
      <c r="U70" s="1"/>
      <c r="V70"/>
      <c r="W70" s="1"/>
      <c r="X70"/>
      <c r="Y70" s="1"/>
      <c r="Z70"/>
      <c r="AA70" s="1"/>
      <c r="AB70"/>
      <c r="AD70"/>
      <c r="AP70"/>
      <c r="AR70"/>
    </row>
    <row r="71" spans="5:44" ht="7.35" customHeight="1" x14ac:dyDescent="0.25">
      <c r="E71" s="1"/>
      <c r="F71"/>
      <c r="G71" s="1"/>
      <c r="H71"/>
      <c r="J71"/>
      <c r="L71"/>
      <c r="N71"/>
      <c r="P71"/>
      <c r="R71"/>
      <c r="T71"/>
      <c r="U71" s="1"/>
      <c r="V71"/>
      <c r="W71" s="1"/>
      <c r="X71"/>
      <c r="Y71" s="1"/>
      <c r="Z71"/>
      <c r="AA71" s="1"/>
      <c r="AB71"/>
      <c r="AD71"/>
      <c r="AP71"/>
      <c r="AR71"/>
    </row>
    <row r="72" spans="5:44" ht="7.35" customHeight="1" x14ac:dyDescent="0.25">
      <c r="E72" s="1"/>
      <c r="F72"/>
      <c r="G72" s="1"/>
      <c r="H72"/>
      <c r="J72"/>
      <c r="L72"/>
      <c r="N72"/>
      <c r="P72"/>
      <c r="R72"/>
      <c r="T72"/>
      <c r="U72" s="1"/>
      <c r="V72"/>
      <c r="W72" s="1"/>
      <c r="X72"/>
      <c r="Y72" s="1"/>
      <c r="Z72"/>
      <c r="AA72" s="1"/>
      <c r="AB72"/>
      <c r="AD72"/>
      <c r="AP72"/>
      <c r="AR72"/>
    </row>
    <row r="73" spans="5:44" ht="7.35" customHeight="1" x14ac:dyDescent="0.25">
      <c r="E73" s="1"/>
      <c r="F73"/>
      <c r="G73" s="1"/>
      <c r="H73"/>
      <c r="J73"/>
      <c r="L73"/>
      <c r="N73"/>
      <c r="P73"/>
      <c r="R73"/>
      <c r="T73"/>
      <c r="U73" s="1"/>
      <c r="V73"/>
      <c r="W73" s="1"/>
      <c r="X73"/>
      <c r="Y73" s="1"/>
      <c r="Z73"/>
      <c r="AA73" s="1"/>
      <c r="AB73"/>
      <c r="AD73"/>
      <c r="AP73"/>
      <c r="AR73"/>
    </row>
    <row r="74" spans="5:44" ht="7.35" customHeight="1" x14ac:dyDescent="0.25">
      <c r="E74" s="1"/>
      <c r="F74"/>
      <c r="G74" s="1"/>
      <c r="H74"/>
      <c r="J74"/>
      <c r="L74"/>
      <c r="N74"/>
      <c r="P74"/>
      <c r="R74"/>
      <c r="T74"/>
      <c r="U74" s="1"/>
      <c r="V74"/>
      <c r="W74" s="1"/>
      <c r="X74"/>
      <c r="Y74" s="1"/>
      <c r="Z74"/>
      <c r="AA74" s="1"/>
      <c r="AB74"/>
      <c r="AD74"/>
      <c r="AP74"/>
      <c r="AR74"/>
    </row>
    <row r="75" spans="5:44" ht="7.35" customHeight="1" x14ac:dyDescent="0.25">
      <c r="E75" s="1"/>
      <c r="F75"/>
      <c r="G75" s="1"/>
      <c r="H75"/>
      <c r="J75"/>
      <c r="L75"/>
      <c r="N75"/>
      <c r="P75"/>
      <c r="R75"/>
      <c r="T75"/>
      <c r="U75" s="1"/>
      <c r="V75"/>
      <c r="W75" s="1"/>
      <c r="X75"/>
      <c r="Y75" s="1"/>
      <c r="Z75"/>
      <c r="AA75" s="1"/>
      <c r="AB75"/>
      <c r="AD75"/>
      <c r="AP75"/>
      <c r="AR75"/>
    </row>
    <row r="76" spans="5:44" ht="7.35" customHeight="1" x14ac:dyDescent="0.25">
      <c r="E76" s="1"/>
      <c r="F76"/>
      <c r="G76" s="1"/>
      <c r="H76"/>
      <c r="J76"/>
      <c r="L76"/>
      <c r="N76"/>
      <c r="P76"/>
      <c r="R76"/>
      <c r="T76"/>
      <c r="U76" s="1"/>
      <c r="V76"/>
      <c r="W76" s="1"/>
      <c r="X76"/>
      <c r="Y76" s="1"/>
      <c r="Z76"/>
      <c r="AA76" s="1"/>
      <c r="AB76"/>
      <c r="AD76"/>
      <c r="AP76"/>
      <c r="AR76"/>
    </row>
    <row r="77" spans="5:44" ht="7.35" customHeight="1" x14ac:dyDescent="0.25">
      <c r="E77" s="1"/>
      <c r="F77"/>
      <c r="G77" s="1"/>
      <c r="H77"/>
      <c r="J77"/>
      <c r="L77"/>
      <c r="N77"/>
      <c r="P77"/>
      <c r="R77"/>
      <c r="T77"/>
      <c r="U77" s="1"/>
      <c r="V77"/>
      <c r="W77" s="1"/>
      <c r="X77"/>
      <c r="Y77" s="1"/>
      <c r="Z77"/>
      <c r="AA77" s="1"/>
      <c r="AB77"/>
      <c r="AD77"/>
      <c r="AP77"/>
      <c r="AR77"/>
    </row>
    <row r="78" spans="5:44" ht="7.35" customHeight="1" x14ac:dyDescent="0.25">
      <c r="E78" s="1"/>
      <c r="F78"/>
      <c r="G78" s="1"/>
      <c r="H78"/>
      <c r="J78"/>
      <c r="L78"/>
      <c r="N78"/>
      <c r="P78"/>
      <c r="R78"/>
      <c r="T78"/>
      <c r="U78" s="1"/>
      <c r="V78"/>
      <c r="W78" s="1"/>
      <c r="X78"/>
      <c r="Y78" s="1"/>
      <c r="Z78"/>
      <c r="AA78" s="1"/>
      <c r="AB78"/>
      <c r="AD78"/>
      <c r="AP78"/>
      <c r="AR78"/>
    </row>
    <row r="79" spans="5:44" ht="7.35" customHeight="1" x14ac:dyDescent="0.25">
      <c r="E79" s="1"/>
      <c r="F79"/>
      <c r="G79" s="1"/>
      <c r="H79"/>
      <c r="J79"/>
      <c r="L79"/>
      <c r="N79"/>
      <c r="P79"/>
      <c r="R79"/>
      <c r="T79"/>
      <c r="U79" s="1"/>
      <c r="V79"/>
      <c r="W79" s="1"/>
      <c r="X79"/>
      <c r="Y79" s="1"/>
      <c r="Z79"/>
      <c r="AA79" s="1"/>
      <c r="AB79"/>
      <c r="AD79"/>
      <c r="AP79"/>
      <c r="AR79"/>
    </row>
    <row r="80" spans="5:44" ht="7.35" customHeight="1" x14ac:dyDescent="0.25">
      <c r="E80" s="1"/>
      <c r="F80"/>
      <c r="G80" s="1"/>
      <c r="H80"/>
      <c r="J80"/>
      <c r="L80"/>
      <c r="N80"/>
      <c r="P80"/>
      <c r="R80"/>
      <c r="T80"/>
      <c r="U80" s="1"/>
      <c r="V80"/>
      <c r="W80" s="1"/>
      <c r="X80"/>
      <c r="Y80" s="1"/>
      <c r="Z80"/>
      <c r="AA80" s="1"/>
      <c r="AB80"/>
      <c r="AD80"/>
      <c r="AP80"/>
      <c r="AR80"/>
    </row>
    <row r="81" spans="5:44" ht="7.35" customHeight="1" x14ac:dyDescent="0.25">
      <c r="E81" s="1"/>
      <c r="F81"/>
      <c r="G81" s="1"/>
      <c r="H81"/>
      <c r="J81"/>
      <c r="L81"/>
      <c r="N81"/>
      <c r="P81"/>
      <c r="R81"/>
      <c r="T81"/>
      <c r="U81" s="1"/>
      <c r="V81"/>
      <c r="W81" s="1"/>
      <c r="X81"/>
      <c r="Y81" s="1"/>
      <c r="Z81"/>
      <c r="AA81" s="1"/>
      <c r="AB81"/>
      <c r="AD81"/>
      <c r="AP81"/>
      <c r="AR81"/>
    </row>
    <row r="82" spans="5:44" ht="7.35" customHeight="1" x14ac:dyDescent="0.25">
      <c r="E82" s="1"/>
      <c r="F82"/>
      <c r="G82" s="1"/>
      <c r="H82"/>
      <c r="J82"/>
      <c r="L82"/>
      <c r="N82"/>
      <c r="P82"/>
      <c r="R82"/>
      <c r="T82"/>
      <c r="U82" s="1"/>
      <c r="V82"/>
      <c r="W82" s="1"/>
      <c r="X82"/>
      <c r="Y82" s="1"/>
      <c r="Z82"/>
      <c r="AA82" s="1"/>
      <c r="AB82"/>
      <c r="AD82"/>
      <c r="AP82"/>
      <c r="AR82"/>
    </row>
    <row r="83" spans="5:44" ht="7.35" customHeight="1" x14ac:dyDescent="0.25">
      <c r="E83" s="1"/>
      <c r="F83"/>
      <c r="G83" s="1"/>
      <c r="H83"/>
      <c r="J83"/>
      <c r="L83"/>
      <c r="N83"/>
      <c r="P83"/>
      <c r="R83"/>
      <c r="T83"/>
      <c r="U83" s="1"/>
      <c r="V83"/>
      <c r="W83" s="1"/>
      <c r="X83"/>
      <c r="Y83" s="1"/>
      <c r="Z83"/>
      <c r="AA83" s="1"/>
      <c r="AB83"/>
      <c r="AD83"/>
      <c r="AP83"/>
      <c r="AR83"/>
    </row>
    <row r="84" spans="5:44" ht="7.35" customHeight="1" x14ac:dyDescent="0.25">
      <c r="E84" s="1"/>
      <c r="F84"/>
      <c r="G84" s="1"/>
      <c r="H84"/>
      <c r="J84"/>
      <c r="L84"/>
      <c r="N84"/>
      <c r="P84"/>
      <c r="R84"/>
      <c r="T84"/>
      <c r="U84" s="1"/>
      <c r="V84"/>
      <c r="W84" s="1"/>
      <c r="X84"/>
      <c r="Y84" s="1"/>
      <c r="Z84"/>
      <c r="AA84" s="1"/>
      <c r="AB84"/>
      <c r="AD84"/>
      <c r="AP84"/>
      <c r="AR84"/>
    </row>
    <row r="85" spans="5:44" ht="7.35" customHeight="1" x14ac:dyDescent="0.25">
      <c r="E85" s="1"/>
      <c r="F85"/>
      <c r="G85" s="1"/>
      <c r="H85"/>
      <c r="J85"/>
      <c r="L85"/>
      <c r="N85"/>
      <c r="P85"/>
      <c r="R85"/>
      <c r="T85"/>
      <c r="U85" s="1"/>
      <c r="V85"/>
      <c r="W85" s="1"/>
      <c r="X85"/>
      <c r="Y85" s="1"/>
      <c r="Z85"/>
      <c r="AA85" s="1"/>
      <c r="AB85"/>
      <c r="AD85"/>
      <c r="AP85"/>
      <c r="AR85"/>
    </row>
    <row r="86" spans="5:44" ht="7.35" customHeight="1" x14ac:dyDescent="0.25">
      <c r="E86" s="1"/>
      <c r="F86"/>
      <c r="G86" s="1"/>
      <c r="H86"/>
      <c r="J86"/>
      <c r="L86"/>
      <c r="N86"/>
      <c r="P86"/>
      <c r="R86"/>
      <c r="T86"/>
      <c r="U86" s="1"/>
      <c r="V86"/>
      <c r="W86" s="1"/>
      <c r="X86"/>
      <c r="Y86" s="1"/>
      <c r="Z86"/>
      <c r="AA86" s="1"/>
      <c r="AB86"/>
      <c r="AD86"/>
      <c r="AP86"/>
      <c r="AR86"/>
    </row>
    <row r="87" spans="5:44" ht="7.35" customHeight="1" x14ac:dyDescent="0.25">
      <c r="E87" s="1"/>
      <c r="F87"/>
      <c r="G87" s="1"/>
      <c r="H87"/>
      <c r="J87"/>
      <c r="L87"/>
      <c r="N87"/>
      <c r="P87"/>
      <c r="R87"/>
      <c r="T87"/>
      <c r="U87" s="1"/>
      <c r="V87"/>
      <c r="W87" s="1"/>
      <c r="X87"/>
      <c r="Y87" s="1"/>
      <c r="Z87"/>
      <c r="AA87" s="1"/>
      <c r="AB87"/>
      <c r="AD87"/>
      <c r="AP87"/>
      <c r="AR87"/>
    </row>
    <row r="88" spans="5:44" ht="7.35" customHeight="1" x14ac:dyDescent="0.25">
      <c r="E88" s="1"/>
      <c r="F88"/>
      <c r="G88" s="1"/>
      <c r="H88"/>
      <c r="J88"/>
      <c r="L88"/>
      <c r="N88"/>
      <c r="P88"/>
      <c r="R88"/>
      <c r="T88"/>
      <c r="U88" s="1"/>
      <c r="V88"/>
      <c r="W88" s="1"/>
      <c r="X88"/>
      <c r="Y88" s="1"/>
      <c r="Z88"/>
      <c r="AA88" s="1"/>
      <c r="AB88"/>
      <c r="AD88"/>
      <c r="AP88"/>
      <c r="AR88"/>
    </row>
    <row r="89" spans="5:44" ht="7.35" customHeight="1" x14ac:dyDescent="0.25">
      <c r="E89" s="1"/>
      <c r="F89"/>
      <c r="G89" s="1"/>
      <c r="H89"/>
      <c r="J89"/>
      <c r="L89"/>
      <c r="N89"/>
      <c r="P89"/>
      <c r="R89"/>
      <c r="T89"/>
      <c r="U89" s="1"/>
      <c r="V89"/>
      <c r="W89" s="1"/>
      <c r="X89"/>
      <c r="Y89" s="1"/>
      <c r="Z89"/>
      <c r="AA89" s="1"/>
      <c r="AB89"/>
      <c r="AD89"/>
      <c r="AP89"/>
      <c r="AR89"/>
    </row>
    <row r="90" spans="5:44" ht="7.35" customHeight="1" x14ac:dyDescent="0.25">
      <c r="E90" s="1"/>
      <c r="F90"/>
      <c r="G90" s="1"/>
      <c r="H90"/>
      <c r="J90"/>
      <c r="L90"/>
      <c r="N90"/>
      <c r="P90"/>
      <c r="R90"/>
      <c r="T90"/>
      <c r="U90" s="1"/>
      <c r="V90"/>
      <c r="W90" s="1"/>
      <c r="X90"/>
      <c r="Y90" s="1"/>
      <c r="Z90"/>
      <c r="AA90" s="1"/>
      <c r="AB90"/>
      <c r="AD90"/>
      <c r="AP90"/>
      <c r="AR90"/>
    </row>
    <row r="91" spans="5:44" ht="7.35" customHeight="1" x14ac:dyDescent="0.25">
      <c r="E91" s="1"/>
      <c r="F91"/>
      <c r="G91" s="1"/>
      <c r="H91"/>
      <c r="J91"/>
      <c r="L91"/>
      <c r="N91"/>
      <c r="P91"/>
      <c r="R91"/>
      <c r="T91"/>
      <c r="U91" s="1"/>
      <c r="V91"/>
      <c r="W91" s="1"/>
      <c r="X91"/>
      <c r="Y91" s="1"/>
      <c r="Z91"/>
      <c r="AA91" s="1"/>
      <c r="AB91"/>
      <c r="AD91"/>
      <c r="AP91"/>
      <c r="AR91"/>
    </row>
    <row r="92" spans="5:44" ht="7.35" customHeight="1" x14ac:dyDescent="0.25">
      <c r="E92" s="1"/>
      <c r="F92"/>
      <c r="G92" s="1"/>
      <c r="H92"/>
      <c r="J92"/>
      <c r="L92"/>
      <c r="N92"/>
      <c r="P92"/>
      <c r="R92"/>
      <c r="T92"/>
      <c r="U92" s="1"/>
      <c r="V92"/>
      <c r="W92" s="1"/>
      <c r="X92"/>
      <c r="Y92" s="1"/>
      <c r="Z92"/>
      <c r="AA92" s="1"/>
      <c r="AB92"/>
      <c r="AD92"/>
      <c r="AP92"/>
      <c r="AR92"/>
    </row>
    <row r="93" spans="5:44" ht="7.35" customHeight="1" x14ac:dyDescent="0.25">
      <c r="E93" s="1"/>
      <c r="F93"/>
      <c r="G93" s="1"/>
      <c r="H93"/>
      <c r="J93"/>
      <c r="L93"/>
      <c r="N93"/>
      <c r="P93"/>
      <c r="R93"/>
      <c r="T93"/>
      <c r="U93" s="1"/>
      <c r="V93"/>
      <c r="W93" s="1"/>
      <c r="X93"/>
      <c r="Y93" s="1"/>
      <c r="Z93"/>
      <c r="AA93" s="1"/>
      <c r="AB93"/>
      <c r="AD93"/>
      <c r="AP93"/>
      <c r="AR93"/>
    </row>
    <row r="94" spans="5:44" ht="7.35" customHeight="1" x14ac:dyDescent="0.25">
      <c r="E94" s="1"/>
      <c r="F94"/>
      <c r="G94" s="1"/>
      <c r="H94"/>
      <c r="J94"/>
      <c r="L94"/>
      <c r="N94"/>
      <c r="P94"/>
      <c r="R94"/>
      <c r="T94"/>
      <c r="U94" s="1"/>
      <c r="V94"/>
      <c r="W94" s="1"/>
      <c r="X94"/>
      <c r="Y94" s="1"/>
      <c r="Z94"/>
      <c r="AA94" s="1"/>
      <c r="AB94"/>
      <c r="AD94"/>
      <c r="AP94"/>
      <c r="AR94"/>
    </row>
    <row r="95" spans="5:44" ht="7.35" customHeight="1" x14ac:dyDescent="0.25">
      <c r="E95" s="1"/>
      <c r="F95"/>
      <c r="G95" s="1"/>
      <c r="H95"/>
      <c r="J95"/>
      <c r="L95"/>
      <c r="N95"/>
      <c r="P95"/>
      <c r="R95"/>
      <c r="T95"/>
      <c r="U95" s="1"/>
      <c r="V95"/>
      <c r="W95" s="1"/>
      <c r="X95"/>
      <c r="Y95" s="1"/>
      <c r="Z95"/>
      <c r="AA95" s="1"/>
      <c r="AB95"/>
      <c r="AD95"/>
      <c r="AP95"/>
      <c r="AR95"/>
    </row>
    <row r="96" spans="5:44" ht="7.35" customHeight="1" x14ac:dyDescent="0.25">
      <c r="E96" s="1"/>
      <c r="F96"/>
      <c r="G96" s="1"/>
      <c r="H96"/>
      <c r="J96"/>
      <c r="L96"/>
      <c r="N96"/>
      <c r="P96"/>
      <c r="R96"/>
      <c r="T96"/>
      <c r="U96" s="1"/>
      <c r="V96"/>
      <c r="W96" s="1"/>
      <c r="X96"/>
      <c r="Y96" s="1"/>
      <c r="Z96"/>
      <c r="AA96" s="1"/>
      <c r="AB96"/>
      <c r="AD96"/>
      <c r="AP96"/>
      <c r="AR96"/>
    </row>
    <row r="97" spans="5:44" ht="7.35" customHeight="1" x14ac:dyDescent="0.25">
      <c r="E97" s="1"/>
      <c r="F97"/>
      <c r="G97" s="1"/>
      <c r="H97"/>
      <c r="J97"/>
      <c r="L97"/>
      <c r="N97"/>
      <c r="P97"/>
      <c r="R97"/>
      <c r="T97"/>
      <c r="U97" s="1"/>
      <c r="V97"/>
      <c r="W97" s="1"/>
      <c r="X97"/>
      <c r="Y97" s="1"/>
      <c r="Z97"/>
      <c r="AA97" s="1"/>
      <c r="AB97"/>
      <c r="AD97"/>
      <c r="AP97"/>
      <c r="AR97"/>
    </row>
    <row r="98" spans="5:44" ht="7.35" customHeight="1" x14ac:dyDescent="0.25">
      <c r="E98" s="1"/>
      <c r="F98"/>
      <c r="G98" s="1"/>
      <c r="H98"/>
      <c r="J98"/>
      <c r="L98"/>
      <c r="N98"/>
      <c r="P98"/>
      <c r="R98"/>
      <c r="T98"/>
      <c r="U98" s="1"/>
      <c r="V98"/>
      <c r="W98" s="1"/>
      <c r="X98"/>
      <c r="Y98" s="1"/>
      <c r="Z98"/>
      <c r="AA98" s="1"/>
      <c r="AB98"/>
      <c r="AD98"/>
      <c r="AP98"/>
      <c r="AR98"/>
    </row>
    <row r="99" spans="5:44" ht="7.35" customHeight="1" x14ac:dyDescent="0.25">
      <c r="E99" s="1"/>
      <c r="F99"/>
      <c r="G99" s="1"/>
      <c r="H99"/>
      <c r="J99"/>
      <c r="L99"/>
      <c r="N99"/>
      <c r="P99"/>
      <c r="R99"/>
      <c r="T99"/>
      <c r="U99" s="1"/>
      <c r="V99"/>
      <c r="W99" s="1"/>
      <c r="X99"/>
      <c r="Y99" s="1"/>
      <c r="Z99"/>
      <c r="AA99" s="1"/>
      <c r="AB99"/>
      <c r="AD99"/>
      <c r="AP99"/>
      <c r="AR99"/>
    </row>
    <row r="100" spans="5:44" ht="7.35" customHeight="1" x14ac:dyDescent="0.25">
      <c r="E100" s="1"/>
      <c r="F100"/>
      <c r="G100" s="1"/>
      <c r="H100"/>
      <c r="J100"/>
      <c r="L100"/>
      <c r="N100"/>
      <c r="P100"/>
      <c r="R100"/>
      <c r="T100"/>
      <c r="U100" s="1"/>
      <c r="V100"/>
      <c r="W100" s="1"/>
      <c r="X100"/>
      <c r="Y100" s="1"/>
      <c r="Z100"/>
      <c r="AA100" s="1"/>
      <c r="AB100"/>
      <c r="AD100"/>
      <c r="AP100"/>
      <c r="AR100"/>
    </row>
    <row r="101" spans="5:44" ht="7.35" customHeight="1" x14ac:dyDescent="0.25">
      <c r="E101" s="1"/>
      <c r="F101"/>
      <c r="G101" s="1"/>
      <c r="H101"/>
      <c r="J101"/>
      <c r="L101"/>
      <c r="N101"/>
      <c r="P101"/>
      <c r="R101"/>
      <c r="T101"/>
      <c r="U101" s="1"/>
      <c r="V101"/>
      <c r="W101" s="1"/>
      <c r="X101"/>
      <c r="Y101" s="1"/>
      <c r="Z101"/>
      <c r="AA101" s="1"/>
      <c r="AB101"/>
      <c r="AD101"/>
      <c r="AP101"/>
      <c r="AR101"/>
    </row>
    <row r="102" spans="5:44" ht="7.35" customHeight="1" x14ac:dyDescent="0.25">
      <c r="E102" s="1"/>
      <c r="F102"/>
      <c r="G102" s="1"/>
      <c r="H102"/>
      <c r="J102"/>
      <c r="L102"/>
      <c r="N102"/>
      <c r="P102"/>
      <c r="R102"/>
      <c r="T102"/>
      <c r="U102" s="1"/>
      <c r="V102"/>
      <c r="W102" s="1"/>
      <c r="X102"/>
      <c r="Y102" s="1"/>
      <c r="Z102"/>
      <c r="AA102" s="1"/>
      <c r="AB102"/>
      <c r="AD102"/>
      <c r="AP102"/>
      <c r="AR102"/>
    </row>
    <row r="103" spans="5:44" ht="7.35" customHeight="1" x14ac:dyDescent="0.25">
      <c r="E103" s="1"/>
      <c r="F103"/>
      <c r="G103" s="1"/>
      <c r="H103"/>
      <c r="J103"/>
      <c r="L103"/>
      <c r="N103"/>
      <c r="P103"/>
      <c r="R103"/>
      <c r="T103"/>
      <c r="U103" s="1"/>
      <c r="V103"/>
      <c r="W103" s="1"/>
      <c r="X103"/>
      <c r="Y103" s="1"/>
      <c r="Z103"/>
      <c r="AA103" s="1"/>
      <c r="AB103"/>
      <c r="AD103"/>
      <c r="AP103"/>
      <c r="AR103"/>
    </row>
    <row r="104" spans="5:44" ht="7.35" customHeight="1" x14ac:dyDescent="0.25">
      <c r="E104" s="1"/>
      <c r="F104"/>
      <c r="G104" s="1"/>
      <c r="H104"/>
      <c r="J104"/>
      <c r="L104"/>
      <c r="N104"/>
      <c r="P104"/>
      <c r="R104"/>
      <c r="T104"/>
      <c r="U104" s="1"/>
      <c r="V104"/>
      <c r="W104" s="1"/>
      <c r="X104"/>
      <c r="Y104" s="1"/>
      <c r="Z104"/>
      <c r="AA104" s="1"/>
      <c r="AB104"/>
      <c r="AD104"/>
      <c r="AP104"/>
      <c r="AR104"/>
    </row>
    <row r="105" spans="5:44" ht="7.35" customHeight="1" x14ac:dyDescent="0.25">
      <c r="E105" s="1"/>
      <c r="F105"/>
      <c r="G105" s="1"/>
      <c r="H105"/>
      <c r="J105"/>
      <c r="L105"/>
      <c r="N105"/>
      <c r="P105"/>
      <c r="R105"/>
      <c r="T105"/>
      <c r="U105" s="1"/>
      <c r="V105"/>
      <c r="W105" s="1"/>
      <c r="X105"/>
      <c r="Y105" s="1"/>
      <c r="Z105"/>
      <c r="AA105" s="1"/>
      <c r="AB105"/>
      <c r="AD105"/>
      <c r="AP105"/>
      <c r="AR105"/>
    </row>
    <row r="106" spans="5:44" ht="7.35" customHeight="1" x14ac:dyDescent="0.25">
      <c r="E106" s="1"/>
      <c r="F106"/>
      <c r="G106" s="1"/>
      <c r="H106"/>
      <c r="J106"/>
      <c r="L106"/>
      <c r="N106"/>
      <c r="P106"/>
      <c r="R106"/>
      <c r="T106"/>
      <c r="U106" s="1"/>
      <c r="V106"/>
      <c r="W106" s="1"/>
      <c r="X106"/>
      <c r="Y106" s="1"/>
      <c r="Z106"/>
      <c r="AA106" s="1"/>
      <c r="AB106"/>
      <c r="AD106"/>
      <c r="AP106"/>
      <c r="AR106"/>
    </row>
    <row r="107" spans="5:44" ht="7.35" customHeight="1" x14ac:dyDescent="0.25">
      <c r="E107" s="1"/>
      <c r="F107"/>
      <c r="G107" s="1"/>
      <c r="H107"/>
      <c r="J107"/>
      <c r="L107"/>
      <c r="N107"/>
      <c r="P107"/>
      <c r="R107"/>
      <c r="T107"/>
      <c r="U107" s="1"/>
      <c r="V107"/>
      <c r="W107" s="1"/>
      <c r="X107"/>
      <c r="Y107" s="1"/>
      <c r="Z107"/>
      <c r="AA107" s="1"/>
      <c r="AB107"/>
      <c r="AD107"/>
      <c r="AP107"/>
      <c r="AR107"/>
    </row>
    <row r="108" spans="5:44" ht="7.35" customHeight="1" x14ac:dyDescent="0.25">
      <c r="E108" s="1"/>
      <c r="F108"/>
      <c r="G108" s="1"/>
      <c r="H108"/>
      <c r="J108"/>
      <c r="L108"/>
      <c r="N108"/>
      <c r="P108"/>
      <c r="R108"/>
      <c r="T108"/>
      <c r="U108" s="1"/>
      <c r="V108"/>
      <c r="W108" s="1"/>
      <c r="X108"/>
      <c r="Y108" s="1"/>
      <c r="Z108"/>
      <c r="AA108" s="1"/>
      <c r="AB108"/>
      <c r="AD108"/>
      <c r="AP108"/>
      <c r="AR108"/>
    </row>
    <row r="109" spans="5:44" ht="7.35" customHeight="1" x14ac:dyDescent="0.25">
      <c r="E109" s="1"/>
      <c r="F109"/>
      <c r="G109" s="1"/>
      <c r="H109"/>
      <c r="J109"/>
      <c r="L109"/>
      <c r="N109"/>
      <c r="P109"/>
      <c r="R109"/>
      <c r="T109"/>
      <c r="U109" s="1"/>
      <c r="V109"/>
      <c r="W109" s="1"/>
      <c r="X109"/>
      <c r="Y109" s="1"/>
      <c r="Z109"/>
      <c r="AA109" s="1"/>
      <c r="AB109"/>
      <c r="AD109"/>
      <c r="AP109"/>
      <c r="AR109"/>
    </row>
    <row r="110" spans="5:44" ht="7.35" customHeight="1" x14ac:dyDescent="0.25">
      <c r="E110" s="1"/>
      <c r="F110"/>
      <c r="G110" s="1"/>
      <c r="H110"/>
      <c r="J110"/>
      <c r="L110"/>
      <c r="N110"/>
      <c r="P110"/>
      <c r="R110"/>
      <c r="T110"/>
      <c r="U110" s="1"/>
      <c r="V110"/>
      <c r="W110" s="1"/>
      <c r="X110"/>
      <c r="Y110" s="1"/>
      <c r="Z110"/>
      <c r="AA110" s="1"/>
      <c r="AB110"/>
      <c r="AD110"/>
      <c r="AP110"/>
      <c r="AR110"/>
    </row>
    <row r="111" spans="5:44" ht="7.35" customHeight="1" x14ac:dyDescent="0.25">
      <c r="E111" s="1"/>
      <c r="F111"/>
      <c r="G111" s="1"/>
      <c r="H111"/>
      <c r="J111"/>
      <c r="L111"/>
      <c r="N111"/>
      <c r="P111"/>
      <c r="R111"/>
      <c r="T111"/>
      <c r="U111" s="1"/>
      <c r="V111"/>
      <c r="W111" s="1"/>
      <c r="X111"/>
      <c r="Y111" s="1"/>
      <c r="Z111"/>
      <c r="AA111" s="1"/>
      <c r="AB111"/>
      <c r="AD111"/>
      <c r="AP111"/>
      <c r="AR111"/>
    </row>
    <row r="112" spans="5:44" ht="7.35" customHeight="1" x14ac:dyDescent="0.25">
      <c r="E112" s="1"/>
      <c r="F112"/>
      <c r="G112" s="1"/>
      <c r="H112"/>
      <c r="J112"/>
      <c r="L112"/>
      <c r="N112"/>
      <c r="P112"/>
      <c r="R112"/>
      <c r="T112"/>
      <c r="U112" s="1"/>
      <c r="V112"/>
      <c r="W112" s="1"/>
      <c r="X112"/>
      <c r="Y112" s="1"/>
      <c r="Z112"/>
      <c r="AA112" s="1"/>
      <c r="AB112"/>
      <c r="AD112"/>
      <c r="AP112"/>
      <c r="AR112"/>
    </row>
    <row r="113" spans="5:44" ht="7.35" customHeight="1" x14ac:dyDescent="0.25">
      <c r="E113" s="1"/>
      <c r="F113"/>
      <c r="G113" s="1"/>
      <c r="H113"/>
      <c r="J113"/>
      <c r="L113"/>
      <c r="N113"/>
      <c r="P113"/>
      <c r="R113"/>
      <c r="T113"/>
      <c r="U113" s="1"/>
      <c r="V113"/>
      <c r="W113" s="1"/>
      <c r="X113"/>
      <c r="Y113" s="1"/>
      <c r="Z113"/>
      <c r="AA113" s="1"/>
      <c r="AB113"/>
      <c r="AD113"/>
      <c r="AP113"/>
      <c r="AR113"/>
    </row>
    <row r="114" spans="5:44" ht="7.35" customHeight="1" x14ac:dyDescent="0.25">
      <c r="E114" s="1"/>
      <c r="F114"/>
      <c r="G114" s="1"/>
      <c r="H114"/>
      <c r="J114"/>
      <c r="L114"/>
      <c r="N114"/>
      <c r="P114"/>
      <c r="R114"/>
      <c r="T114"/>
      <c r="U114" s="1"/>
      <c r="V114"/>
      <c r="W114" s="1"/>
      <c r="X114"/>
      <c r="Y114" s="1"/>
      <c r="Z114"/>
      <c r="AA114" s="1"/>
      <c r="AB114"/>
      <c r="AD114"/>
      <c r="AP114"/>
      <c r="AR114"/>
    </row>
    <row r="115" spans="5:44" ht="7.35" customHeight="1" x14ac:dyDescent="0.25">
      <c r="E115" s="1"/>
      <c r="F115"/>
      <c r="G115" s="1"/>
      <c r="H115"/>
      <c r="J115"/>
      <c r="L115"/>
      <c r="N115"/>
      <c r="P115"/>
      <c r="R115"/>
      <c r="T115"/>
      <c r="U115" s="1"/>
      <c r="V115"/>
      <c r="W115" s="1"/>
      <c r="X115"/>
      <c r="Y115" s="1"/>
      <c r="Z115"/>
      <c r="AA115" s="1"/>
      <c r="AB115"/>
      <c r="AD115"/>
      <c r="AP115"/>
      <c r="AR115"/>
    </row>
    <row r="116" spans="5:44" ht="7.35" customHeight="1" x14ac:dyDescent="0.25">
      <c r="E116" s="1"/>
      <c r="F116"/>
      <c r="G116" s="1"/>
      <c r="H116"/>
      <c r="J116"/>
      <c r="L116"/>
      <c r="N116"/>
      <c r="P116"/>
      <c r="R116"/>
      <c r="T116"/>
      <c r="U116" s="1"/>
      <c r="V116"/>
      <c r="W116" s="1"/>
      <c r="X116"/>
      <c r="Y116" s="1"/>
      <c r="Z116"/>
      <c r="AA116" s="1"/>
      <c r="AB116"/>
      <c r="AD116"/>
      <c r="AP116"/>
      <c r="AR116"/>
    </row>
    <row r="117" spans="5:44" ht="7.35" customHeight="1" x14ac:dyDescent="0.25">
      <c r="E117" s="1"/>
      <c r="F117"/>
      <c r="G117" s="1"/>
      <c r="H117"/>
      <c r="J117"/>
      <c r="L117"/>
      <c r="N117"/>
      <c r="P117"/>
      <c r="R117"/>
      <c r="T117"/>
      <c r="U117" s="1"/>
      <c r="V117"/>
      <c r="W117" s="1"/>
      <c r="X117"/>
      <c r="Y117" s="1"/>
      <c r="Z117"/>
      <c r="AA117" s="1"/>
      <c r="AB117"/>
      <c r="AD117"/>
      <c r="AP117"/>
      <c r="AR117"/>
    </row>
    <row r="118" spans="5:44" ht="7.35" customHeight="1" x14ac:dyDescent="0.25">
      <c r="E118" s="1"/>
      <c r="F118"/>
      <c r="G118" s="1"/>
      <c r="H118"/>
      <c r="J118"/>
      <c r="L118"/>
      <c r="N118"/>
      <c r="P118"/>
      <c r="R118"/>
      <c r="T118"/>
      <c r="U118" s="1"/>
      <c r="V118"/>
      <c r="W118" s="1"/>
      <c r="X118"/>
      <c r="Y118" s="1"/>
      <c r="Z118"/>
      <c r="AA118" s="1"/>
      <c r="AB118"/>
      <c r="AD118"/>
      <c r="AP118"/>
      <c r="AR118"/>
    </row>
    <row r="119" spans="5:44" ht="7.35" customHeight="1" x14ac:dyDescent="0.25">
      <c r="E119" s="1"/>
      <c r="F119"/>
      <c r="G119" s="1"/>
      <c r="H119"/>
      <c r="J119"/>
      <c r="L119"/>
      <c r="N119"/>
      <c r="P119"/>
      <c r="R119"/>
      <c r="T119"/>
      <c r="U119" s="1"/>
      <c r="V119"/>
      <c r="W119" s="1"/>
      <c r="X119"/>
      <c r="Y119" s="1"/>
      <c r="Z119"/>
      <c r="AA119" s="1"/>
      <c r="AB119"/>
      <c r="AD119"/>
      <c r="AP119"/>
      <c r="AR119"/>
    </row>
    <row r="120" spans="5:44" ht="7.35" customHeight="1" x14ac:dyDescent="0.25">
      <c r="E120" s="1"/>
      <c r="F120"/>
      <c r="G120" s="1"/>
      <c r="H120"/>
      <c r="J120"/>
      <c r="L120"/>
      <c r="N120"/>
      <c r="P120"/>
      <c r="R120"/>
      <c r="T120"/>
      <c r="U120" s="1"/>
      <c r="V120"/>
      <c r="W120" s="1"/>
      <c r="X120"/>
      <c r="Y120" s="1"/>
      <c r="Z120"/>
      <c r="AA120" s="1"/>
      <c r="AB120"/>
      <c r="AD120"/>
      <c r="AP120"/>
      <c r="AR120"/>
    </row>
    <row r="121" spans="5:44" ht="7.35" customHeight="1" x14ac:dyDescent="0.25">
      <c r="E121" s="1"/>
      <c r="F121"/>
      <c r="G121" s="1"/>
      <c r="H121"/>
      <c r="J121"/>
      <c r="L121"/>
      <c r="N121"/>
      <c r="P121"/>
      <c r="R121"/>
      <c r="T121"/>
      <c r="U121" s="1"/>
      <c r="V121"/>
      <c r="W121" s="1"/>
      <c r="X121"/>
      <c r="Y121" s="1"/>
      <c r="Z121"/>
      <c r="AA121" s="1"/>
      <c r="AB121"/>
      <c r="AD121"/>
      <c r="AP121"/>
      <c r="AR121"/>
    </row>
    <row r="122" spans="5:44" ht="7.35" customHeight="1" x14ac:dyDescent="0.25">
      <c r="E122" s="1"/>
      <c r="F122"/>
      <c r="G122" s="1"/>
      <c r="H122"/>
      <c r="J122"/>
      <c r="L122"/>
      <c r="N122"/>
      <c r="P122"/>
      <c r="R122"/>
      <c r="T122"/>
      <c r="U122" s="1"/>
      <c r="V122"/>
      <c r="W122" s="1"/>
      <c r="X122"/>
      <c r="Y122" s="1"/>
      <c r="Z122"/>
      <c r="AA122" s="1"/>
      <c r="AB122"/>
      <c r="AD122"/>
      <c r="AP122"/>
      <c r="AR122"/>
    </row>
    <row r="123" spans="5:44" ht="7.35" customHeight="1" x14ac:dyDescent="0.25">
      <c r="E123" s="1"/>
      <c r="F123"/>
      <c r="G123" s="1"/>
      <c r="H123"/>
      <c r="J123"/>
      <c r="L123"/>
      <c r="N123"/>
      <c r="P123"/>
      <c r="R123"/>
      <c r="T123"/>
      <c r="U123" s="1"/>
      <c r="V123"/>
      <c r="W123" s="1"/>
      <c r="X123"/>
      <c r="Y123" s="1"/>
      <c r="Z123"/>
      <c r="AA123" s="1"/>
      <c r="AB123"/>
      <c r="AD123"/>
      <c r="AP123"/>
      <c r="AR123"/>
    </row>
    <row r="124" spans="5:44" ht="7.35" customHeight="1" x14ac:dyDescent="0.25">
      <c r="E124" s="1"/>
      <c r="F124"/>
      <c r="G124" s="1"/>
      <c r="H124"/>
      <c r="J124"/>
      <c r="L124"/>
      <c r="N124"/>
      <c r="P124"/>
      <c r="R124"/>
      <c r="T124"/>
      <c r="U124" s="1"/>
      <c r="V124"/>
      <c r="W124" s="1"/>
      <c r="X124"/>
      <c r="Y124" s="1"/>
      <c r="Z124"/>
      <c r="AA124" s="1"/>
      <c r="AB124"/>
      <c r="AD124"/>
      <c r="AP124"/>
      <c r="AR124"/>
    </row>
    <row r="125" spans="5:44" ht="7.35" customHeight="1" x14ac:dyDescent="0.25">
      <c r="E125" s="1"/>
      <c r="F125"/>
      <c r="G125" s="1"/>
      <c r="H125"/>
      <c r="J125"/>
      <c r="L125"/>
      <c r="N125"/>
      <c r="P125"/>
      <c r="R125"/>
      <c r="T125"/>
      <c r="U125" s="1"/>
      <c r="V125"/>
      <c r="W125" s="1"/>
      <c r="X125"/>
      <c r="Y125" s="1"/>
      <c r="Z125"/>
      <c r="AA125" s="1"/>
      <c r="AB125"/>
      <c r="AD125"/>
      <c r="AP125"/>
      <c r="AR125"/>
    </row>
    <row r="126" spans="5:44" ht="7.35" customHeight="1" x14ac:dyDescent="0.25">
      <c r="E126" s="1"/>
      <c r="F126"/>
      <c r="G126" s="1"/>
      <c r="H126"/>
      <c r="J126"/>
      <c r="L126"/>
      <c r="N126"/>
      <c r="P126"/>
      <c r="R126"/>
      <c r="T126"/>
      <c r="U126" s="1"/>
      <c r="V126"/>
      <c r="W126" s="1"/>
      <c r="X126"/>
      <c r="Y126" s="1"/>
      <c r="Z126"/>
      <c r="AA126" s="1"/>
      <c r="AB126"/>
      <c r="AD126"/>
      <c r="AP126"/>
      <c r="AR126"/>
    </row>
    <row r="127" spans="5:44" ht="7.35" customHeight="1" x14ac:dyDescent="0.25">
      <c r="E127" s="1"/>
      <c r="F127"/>
      <c r="G127" s="1"/>
      <c r="H127"/>
      <c r="J127"/>
      <c r="L127"/>
      <c r="N127"/>
      <c r="P127"/>
      <c r="R127"/>
      <c r="T127"/>
      <c r="U127" s="1"/>
      <c r="V127"/>
      <c r="W127" s="1"/>
      <c r="X127"/>
      <c r="Y127" s="1"/>
      <c r="Z127"/>
      <c r="AA127" s="1"/>
      <c r="AB127"/>
      <c r="AD127"/>
      <c r="AP127"/>
      <c r="AR127"/>
    </row>
    <row r="128" spans="5:44" ht="7.35" customHeight="1" x14ac:dyDescent="0.25">
      <c r="E128" s="1"/>
      <c r="F128"/>
      <c r="G128" s="1"/>
      <c r="H128"/>
      <c r="J128"/>
      <c r="L128"/>
      <c r="N128"/>
      <c r="P128"/>
      <c r="R128"/>
      <c r="T128"/>
      <c r="U128" s="1"/>
      <c r="V128"/>
      <c r="W128" s="1"/>
      <c r="X128"/>
      <c r="Y128" s="1"/>
      <c r="Z128"/>
      <c r="AA128" s="1"/>
      <c r="AB128"/>
      <c r="AD128"/>
      <c r="AP128"/>
      <c r="AR128"/>
    </row>
    <row r="129" spans="5:44" ht="7.35" customHeight="1" x14ac:dyDescent="0.25">
      <c r="E129" s="1"/>
      <c r="F129"/>
      <c r="G129" s="1"/>
      <c r="H129"/>
      <c r="J129"/>
      <c r="L129"/>
      <c r="N129"/>
      <c r="P129"/>
      <c r="R129"/>
      <c r="T129"/>
      <c r="U129" s="1"/>
      <c r="V129"/>
      <c r="W129" s="1"/>
      <c r="X129"/>
      <c r="Y129" s="1"/>
      <c r="Z129"/>
      <c r="AA129" s="1"/>
      <c r="AB129"/>
      <c r="AD129"/>
      <c r="AP129"/>
      <c r="AR129"/>
    </row>
    <row r="130" spans="5:44" ht="7.35" customHeight="1" x14ac:dyDescent="0.25">
      <c r="E130" s="1"/>
      <c r="F130"/>
      <c r="G130" s="1"/>
      <c r="H130"/>
      <c r="J130"/>
      <c r="L130"/>
      <c r="N130"/>
      <c r="P130"/>
      <c r="R130"/>
      <c r="T130"/>
      <c r="U130" s="1"/>
      <c r="V130"/>
      <c r="W130" s="1"/>
      <c r="X130"/>
      <c r="Y130" s="1"/>
      <c r="Z130"/>
      <c r="AA130" s="1"/>
      <c r="AB130"/>
      <c r="AD130"/>
      <c r="AP130"/>
      <c r="AR130"/>
    </row>
    <row r="131" spans="5:44" ht="7.35" customHeight="1" x14ac:dyDescent="0.25">
      <c r="E131" s="1"/>
      <c r="F131"/>
      <c r="G131" s="1"/>
      <c r="H131"/>
      <c r="J131"/>
      <c r="L131"/>
      <c r="N131"/>
      <c r="P131"/>
      <c r="R131"/>
      <c r="T131"/>
      <c r="U131" s="1"/>
      <c r="V131"/>
      <c r="W131" s="1"/>
      <c r="X131"/>
      <c r="Y131" s="1"/>
      <c r="Z131"/>
      <c r="AA131" s="1"/>
      <c r="AB131"/>
      <c r="AD131"/>
      <c r="AP131"/>
      <c r="AR131"/>
    </row>
    <row r="132" spans="5:44" ht="7.35" customHeight="1" x14ac:dyDescent="0.25">
      <c r="E132" s="1"/>
      <c r="F132"/>
      <c r="G132" s="1"/>
      <c r="H132"/>
      <c r="J132"/>
      <c r="L132"/>
      <c r="N132"/>
      <c r="P132"/>
      <c r="R132"/>
      <c r="T132"/>
      <c r="U132" s="1"/>
      <c r="V132"/>
      <c r="W132" s="1"/>
      <c r="X132"/>
      <c r="Y132" s="1"/>
      <c r="Z132"/>
      <c r="AA132" s="1"/>
      <c r="AB132"/>
      <c r="AD132"/>
      <c r="AP132"/>
      <c r="AR132"/>
    </row>
    <row r="133" spans="5:44" ht="7.35" customHeight="1" x14ac:dyDescent="0.25">
      <c r="E133" s="1"/>
      <c r="F133"/>
      <c r="G133" s="1"/>
      <c r="H133"/>
      <c r="J133"/>
      <c r="L133"/>
      <c r="N133"/>
      <c r="P133"/>
      <c r="R133"/>
      <c r="T133"/>
      <c r="U133" s="1"/>
      <c r="V133"/>
      <c r="W133" s="1"/>
      <c r="X133"/>
      <c r="Y133" s="1"/>
      <c r="Z133"/>
      <c r="AA133" s="1"/>
      <c r="AB133"/>
      <c r="AD133"/>
      <c r="AP133"/>
      <c r="AR133"/>
    </row>
    <row r="134" spans="5:44" ht="7.35" customHeight="1" x14ac:dyDescent="0.25">
      <c r="E134" s="1"/>
      <c r="F134"/>
      <c r="G134" s="1"/>
      <c r="H134"/>
      <c r="J134"/>
      <c r="L134"/>
      <c r="N134"/>
      <c r="P134"/>
      <c r="R134"/>
      <c r="T134"/>
      <c r="U134" s="1"/>
      <c r="V134"/>
      <c r="W134" s="1"/>
      <c r="X134"/>
      <c r="Y134" s="1"/>
      <c r="Z134"/>
      <c r="AA134" s="1"/>
      <c r="AB134"/>
      <c r="AD134"/>
      <c r="AP134"/>
      <c r="AR134"/>
    </row>
    <row r="135" spans="5:44" ht="7.35" customHeight="1" x14ac:dyDescent="0.25">
      <c r="E135" s="1"/>
      <c r="F135"/>
      <c r="G135" s="1"/>
      <c r="H135"/>
      <c r="J135"/>
      <c r="L135"/>
      <c r="N135"/>
      <c r="P135"/>
      <c r="R135"/>
      <c r="T135"/>
      <c r="U135" s="1"/>
      <c r="V135"/>
      <c r="W135" s="1"/>
      <c r="X135"/>
      <c r="Y135" s="1"/>
      <c r="Z135"/>
      <c r="AA135" s="1"/>
      <c r="AB135"/>
      <c r="AD135"/>
      <c r="AP135"/>
      <c r="AR135"/>
    </row>
    <row r="136" spans="5:44" ht="7.35" customHeight="1" x14ac:dyDescent="0.25">
      <c r="E136" s="1"/>
      <c r="F136"/>
      <c r="G136" s="1"/>
      <c r="H136"/>
      <c r="J136"/>
      <c r="L136"/>
      <c r="N136"/>
      <c r="P136"/>
      <c r="R136"/>
      <c r="T136"/>
      <c r="U136" s="1"/>
      <c r="V136"/>
      <c r="W136" s="1"/>
      <c r="X136"/>
      <c r="Y136" s="1"/>
      <c r="Z136"/>
      <c r="AA136" s="1"/>
      <c r="AB136"/>
      <c r="AD136"/>
      <c r="AP136"/>
      <c r="AR136"/>
    </row>
    <row r="137" spans="5:44" ht="7.35" customHeight="1" x14ac:dyDescent="0.25">
      <c r="E137" s="1"/>
      <c r="F137"/>
      <c r="G137" s="1"/>
      <c r="H137"/>
      <c r="J137"/>
      <c r="L137"/>
      <c r="N137"/>
      <c r="P137"/>
      <c r="R137"/>
      <c r="T137"/>
      <c r="U137" s="1"/>
      <c r="V137"/>
      <c r="W137" s="1"/>
      <c r="X137"/>
      <c r="Y137" s="1"/>
      <c r="Z137"/>
      <c r="AA137" s="1"/>
      <c r="AB137"/>
      <c r="AD137"/>
      <c r="AP137"/>
      <c r="AR137"/>
    </row>
    <row r="138" spans="5:44" ht="7.35" customHeight="1" x14ac:dyDescent="0.25">
      <c r="E138" s="1"/>
      <c r="F138"/>
      <c r="G138" s="1"/>
      <c r="H138"/>
      <c r="J138"/>
      <c r="L138"/>
      <c r="N138"/>
      <c r="P138"/>
      <c r="R138"/>
      <c r="T138"/>
      <c r="U138" s="1"/>
      <c r="V138"/>
      <c r="W138" s="1"/>
      <c r="X138"/>
      <c r="Y138" s="1"/>
      <c r="Z138"/>
      <c r="AA138" s="1"/>
      <c r="AB138"/>
      <c r="AD138"/>
      <c r="AP138"/>
      <c r="AR138"/>
    </row>
    <row r="139" spans="5:44" ht="7.35" customHeight="1" x14ac:dyDescent="0.25">
      <c r="E139" s="1"/>
      <c r="F139"/>
      <c r="G139" s="1"/>
      <c r="H139"/>
      <c r="J139"/>
      <c r="L139"/>
      <c r="N139"/>
      <c r="P139"/>
      <c r="R139"/>
      <c r="T139"/>
      <c r="U139" s="1"/>
      <c r="V139"/>
      <c r="W139" s="1"/>
      <c r="X139"/>
      <c r="Y139" s="1"/>
      <c r="Z139"/>
      <c r="AA139" s="1"/>
      <c r="AB139"/>
      <c r="AD139"/>
      <c r="AP139"/>
      <c r="AR139"/>
    </row>
    <row r="140" spans="5:44" ht="7.35" customHeight="1" x14ac:dyDescent="0.25">
      <c r="E140" s="1"/>
      <c r="F140"/>
      <c r="G140" s="1"/>
      <c r="H140"/>
      <c r="J140"/>
      <c r="L140"/>
      <c r="N140"/>
      <c r="P140"/>
      <c r="R140"/>
      <c r="T140"/>
      <c r="U140" s="1"/>
      <c r="V140"/>
      <c r="W140" s="1"/>
      <c r="X140"/>
      <c r="Y140" s="1"/>
      <c r="Z140"/>
      <c r="AA140" s="1"/>
      <c r="AB140"/>
      <c r="AD140"/>
      <c r="AP140"/>
      <c r="AR140"/>
    </row>
    <row r="141" spans="5:44" ht="7.35" customHeight="1" x14ac:dyDescent="0.25">
      <c r="E141" s="1"/>
      <c r="F141"/>
      <c r="G141" s="1"/>
      <c r="H141"/>
      <c r="J141"/>
      <c r="L141"/>
      <c r="N141"/>
      <c r="P141"/>
      <c r="R141"/>
      <c r="T141"/>
      <c r="U141" s="1"/>
      <c r="V141"/>
      <c r="W141" s="1"/>
      <c r="X141"/>
      <c r="Y141" s="1"/>
      <c r="Z141"/>
      <c r="AA141" s="1"/>
      <c r="AB141"/>
      <c r="AD141"/>
      <c r="AP141"/>
      <c r="AR141"/>
    </row>
    <row r="142" spans="5:44" ht="7.35" customHeight="1" x14ac:dyDescent="0.25">
      <c r="E142" s="1"/>
      <c r="F142"/>
      <c r="G142" s="1"/>
      <c r="H142"/>
      <c r="J142"/>
      <c r="L142"/>
      <c r="N142"/>
      <c r="P142"/>
      <c r="R142"/>
      <c r="T142"/>
      <c r="U142" s="1"/>
      <c r="V142"/>
      <c r="W142" s="1"/>
      <c r="X142"/>
      <c r="Y142" s="1"/>
      <c r="Z142"/>
      <c r="AA142" s="1"/>
      <c r="AB142"/>
      <c r="AD142"/>
      <c r="AP142"/>
      <c r="AR142"/>
    </row>
    <row r="143" spans="5:44" ht="7.35" customHeight="1" x14ac:dyDescent="0.25">
      <c r="E143" s="1"/>
      <c r="F143"/>
      <c r="G143" s="1"/>
      <c r="H143"/>
      <c r="J143"/>
      <c r="L143"/>
      <c r="N143"/>
      <c r="P143"/>
      <c r="R143"/>
      <c r="T143"/>
      <c r="U143" s="1"/>
      <c r="V143"/>
      <c r="W143" s="1"/>
      <c r="X143"/>
      <c r="Y143" s="1"/>
      <c r="Z143"/>
      <c r="AA143" s="1"/>
      <c r="AB143"/>
      <c r="AD143"/>
      <c r="AP143"/>
      <c r="AR143"/>
    </row>
    <row r="144" spans="5:44" ht="7.35" customHeight="1" x14ac:dyDescent="0.25">
      <c r="E144" s="1"/>
      <c r="F144"/>
      <c r="G144" s="1"/>
      <c r="H144"/>
      <c r="J144"/>
      <c r="L144"/>
      <c r="N144"/>
      <c r="P144"/>
      <c r="R144"/>
      <c r="T144"/>
      <c r="U144" s="1"/>
      <c r="V144"/>
      <c r="W144" s="1"/>
      <c r="X144"/>
      <c r="Y144" s="1"/>
      <c r="Z144"/>
      <c r="AA144" s="1"/>
      <c r="AB144"/>
      <c r="AD144"/>
      <c r="AP144"/>
      <c r="AR144"/>
    </row>
    <row r="145" spans="5:44" ht="7.35" customHeight="1" x14ac:dyDescent="0.25">
      <c r="E145" s="1"/>
      <c r="F145"/>
      <c r="G145" s="1"/>
      <c r="H145"/>
      <c r="J145"/>
      <c r="L145"/>
      <c r="N145"/>
      <c r="P145"/>
      <c r="R145"/>
      <c r="T145"/>
      <c r="U145" s="1"/>
      <c r="V145"/>
      <c r="W145" s="1"/>
      <c r="X145"/>
      <c r="Y145" s="1"/>
      <c r="Z145"/>
      <c r="AA145" s="1"/>
      <c r="AB145"/>
      <c r="AD145"/>
      <c r="AP145"/>
      <c r="AR145"/>
    </row>
    <row r="146" spans="5:44" ht="7.35" customHeight="1" x14ac:dyDescent="0.25">
      <c r="E146" s="1"/>
      <c r="F146"/>
      <c r="G146" s="1"/>
      <c r="H146"/>
      <c r="J146"/>
      <c r="L146"/>
      <c r="N146"/>
      <c r="P146"/>
      <c r="R146"/>
      <c r="T146"/>
      <c r="U146" s="1"/>
      <c r="V146"/>
      <c r="W146" s="1"/>
      <c r="X146"/>
      <c r="Y146" s="1"/>
      <c r="Z146"/>
      <c r="AA146" s="1"/>
      <c r="AB146"/>
      <c r="AD146"/>
      <c r="AP146"/>
      <c r="AR146"/>
    </row>
    <row r="147" spans="5:44" ht="7.35" customHeight="1" x14ac:dyDescent="0.25">
      <c r="E147" s="1"/>
      <c r="F147"/>
      <c r="G147" s="1"/>
      <c r="H147"/>
      <c r="J147"/>
      <c r="L147"/>
      <c r="N147"/>
      <c r="P147"/>
      <c r="R147"/>
      <c r="T147"/>
      <c r="U147" s="1"/>
      <c r="V147"/>
      <c r="W147" s="1"/>
      <c r="X147"/>
      <c r="Y147" s="1"/>
      <c r="Z147"/>
      <c r="AA147" s="1"/>
      <c r="AB147"/>
      <c r="AD147"/>
      <c r="AP147"/>
      <c r="AR147"/>
    </row>
    <row r="148" spans="5:44" ht="7.35" customHeight="1" x14ac:dyDescent="0.25">
      <c r="E148" s="1"/>
      <c r="F148"/>
      <c r="G148" s="1"/>
      <c r="H148"/>
      <c r="J148"/>
      <c r="L148"/>
      <c r="N148"/>
      <c r="P148"/>
      <c r="R148"/>
      <c r="T148"/>
      <c r="U148" s="1"/>
      <c r="V148"/>
      <c r="W148" s="1"/>
      <c r="X148"/>
      <c r="Y148" s="1"/>
      <c r="Z148"/>
      <c r="AA148" s="1"/>
      <c r="AB148"/>
      <c r="AD148"/>
      <c r="AP148"/>
      <c r="AR148"/>
    </row>
    <row r="149" spans="5:44" ht="7.35" customHeight="1" x14ac:dyDescent="0.25">
      <c r="E149" s="1"/>
      <c r="F149"/>
      <c r="G149" s="1"/>
      <c r="H149"/>
      <c r="J149"/>
      <c r="L149"/>
      <c r="N149"/>
      <c r="P149"/>
      <c r="R149"/>
      <c r="T149"/>
      <c r="U149" s="1"/>
      <c r="V149"/>
      <c r="W149" s="1"/>
      <c r="X149"/>
      <c r="Y149" s="1"/>
      <c r="Z149"/>
      <c r="AA149" s="1"/>
      <c r="AB149"/>
      <c r="AD149"/>
      <c r="AP149"/>
      <c r="AR149"/>
    </row>
    <row r="150" spans="5:44" ht="7.35" customHeight="1" x14ac:dyDescent="0.25">
      <c r="E150" s="1"/>
      <c r="F150"/>
      <c r="G150" s="1"/>
      <c r="H150"/>
      <c r="J150"/>
      <c r="L150"/>
      <c r="N150"/>
      <c r="P150"/>
      <c r="R150"/>
      <c r="T150"/>
      <c r="U150" s="1"/>
      <c r="V150"/>
      <c r="W150" s="1"/>
      <c r="X150"/>
      <c r="Y150" s="1"/>
      <c r="Z150"/>
      <c r="AA150" s="1"/>
      <c r="AB150"/>
      <c r="AD150"/>
      <c r="AP150"/>
      <c r="AR150"/>
    </row>
    <row r="151" spans="5:44" ht="7.35" customHeight="1" x14ac:dyDescent="0.25">
      <c r="E151" s="1"/>
      <c r="F151"/>
      <c r="G151" s="1"/>
      <c r="H151"/>
      <c r="J151"/>
      <c r="L151"/>
      <c r="N151"/>
      <c r="P151"/>
      <c r="R151"/>
      <c r="T151"/>
      <c r="U151" s="1"/>
      <c r="V151"/>
      <c r="W151" s="1"/>
      <c r="X151"/>
      <c r="Y151" s="1"/>
      <c r="Z151"/>
      <c r="AA151" s="1"/>
      <c r="AB151"/>
      <c r="AD151"/>
      <c r="AP151"/>
      <c r="AR151"/>
    </row>
    <row r="152" spans="5:44" ht="7.35" customHeight="1" x14ac:dyDescent="0.25">
      <c r="E152" s="1"/>
      <c r="F152"/>
      <c r="G152" s="1"/>
      <c r="H152"/>
      <c r="J152"/>
      <c r="L152"/>
      <c r="N152"/>
      <c r="P152"/>
      <c r="R152"/>
      <c r="T152"/>
      <c r="U152" s="1"/>
      <c r="V152"/>
      <c r="W152" s="1"/>
      <c r="X152"/>
      <c r="Y152" s="1"/>
      <c r="Z152"/>
      <c r="AA152" s="1"/>
      <c r="AB152"/>
      <c r="AD152"/>
      <c r="AP152"/>
      <c r="AR152"/>
    </row>
    <row r="153" spans="5:44" ht="7.35" customHeight="1" x14ac:dyDescent="0.25">
      <c r="E153" s="1"/>
      <c r="F153"/>
      <c r="G153" s="1"/>
      <c r="H153"/>
      <c r="J153"/>
      <c r="L153"/>
      <c r="N153"/>
      <c r="P153"/>
      <c r="R153"/>
      <c r="T153"/>
      <c r="U153" s="1"/>
      <c r="V153"/>
      <c r="W153" s="1"/>
      <c r="X153"/>
      <c r="Y153" s="1"/>
      <c r="Z153"/>
      <c r="AA153" s="1"/>
      <c r="AB153"/>
      <c r="AD153"/>
      <c r="AP153"/>
      <c r="AR153"/>
    </row>
    <row r="154" spans="5:44" ht="7.35" customHeight="1" x14ac:dyDescent="0.25">
      <c r="E154" s="1"/>
      <c r="F154"/>
      <c r="G154" s="1"/>
      <c r="H154"/>
      <c r="J154"/>
      <c r="L154"/>
      <c r="N154"/>
      <c r="P154"/>
      <c r="R154"/>
      <c r="T154"/>
      <c r="U154" s="1"/>
      <c r="V154"/>
      <c r="W154" s="1"/>
      <c r="X154"/>
      <c r="Y154" s="1"/>
      <c r="Z154"/>
      <c r="AA154" s="1"/>
      <c r="AB154"/>
      <c r="AD154"/>
      <c r="AP154"/>
      <c r="AR154"/>
    </row>
    <row r="155" spans="5:44" ht="7.35" customHeight="1" x14ac:dyDescent="0.25">
      <c r="E155" s="1"/>
      <c r="F155"/>
      <c r="G155" s="1"/>
      <c r="H155"/>
      <c r="J155"/>
      <c r="L155"/>
      <c r="N155"/>
      <c r="P155"/>
      <c r="R155"/>
      <c r="T155"/>
      <c r="U155" s="1"/>
      <c r="V155"/>
      <c r="W155" s="1"/>
      <c r="X155"/>
      <c r="Y155" s="1"/>
      <c r="Z155"/>
      <c r="AA155" s="1"/>
      <c r="AB155"/>
      <c r="AD155"/>
      <c r="AP155"/>
      <c r="AR155"/>
    </row>
    <row r="156" spans="5:44" ht="7.35" customHeight="1" x14ac:dyDescent="0.25">
      <c r="E156" s="1"/>
      <c r="F156"/>
      <c r="G156" s="1"/>
      <c r="H156"/>
      <c r="J156"/>
      <c r="L156"/>
      <c r="N156"/>
      <c r="P156"/>
      <c r="R156"/>
      <c r="T156"/>
      <c r="U156" s="1"/>
      <c r="V156"/>
      <c r="W156" s="1"/>
      <c r="X156"/>
      <c r="Y156" s="1"/>
      <c r="Z156"/>
      <c r="AA156" s="1"/>
      <c r="AB156"/>
      <c r="AD156"/>
      <c r="AP156"/>
      <c r="AR156"/>
    </row>
    <row r="157" spans="5:44" ht="7.35" customHeight="1" x14ac:dyDescent="0.25">
      <c r="E157" s="1"/>
      <c r="F157"/>
      <c r="G157" s="1"/>
      <c r="H157"/>
      <c r="J157"/>
      <c r="L157"/>
      <c r="N157"/>
      <c r="P157"/>
      <c r="R157"/>
      <c r="T157"/>
      <c r="U157" s="1"/>
      <c r="V157"/>
      <c r="W157" s="1"/>
      <c r="X157"/>
      <c r="Y157" s="1"/>
      <c r="Z157"/>
      <c r="AA157" s="1"/>
      <c r="AB157"/>
      <c r="AD157"/>
      <c r="AP157"/>
      <c r="AR157"/>
    </row>
    <row r="158" spans="5:44" ht="7.35" customHeight="1" x14ac:dyDescent="0.25">
      <c r="E158" s="1"/>
      <c r="F158"/>
      <c r="G158" s="1"/>
      <c r="H158"/>
      <c r="J158"/>
      <c r="L158"/>
      <c r="N158"/>
      <c r="P158"/>
      <c r="R158"/>
      <c r="T158"/>
      <c r="U158" s="1"/>
      <c r="V158"/>
      <c r="W158" s="1"/>
      <c r="X158"/>
      <c r="Y158" s="1"/>
      <c r="Z158"/>
      <c r="AA158" s="1"/>
      <c r="AB158"/>
      <c r="AD158"/>
      <c r="AP158"/>
      <c r="AR158"/>
    </row>
    <row r="159" spans="5:44" ht="7.35" customHeight="1" x14ac:dyDescent="0.25">
      <c r="E159" s="1"/>
      <c r="F159"/>
      <c r="G159" s="1"/>
      <c r="H159"/>
      <c r="J159"/>
      <c r="L159"/>
      <c r="N159"/>
      <c r="P159"/>
      <c r="R159"/>
      <c r="T159"/>
      <c r="U159" s="1"/>
      <c r="V159"/>
      <c r="W159" s="1"/>
      <c r="X159"/>
      <c r="Y159" s="1"/>
      <c r="Z159"/>
      <c r="AA159" s="1"/>
      <c r="AB159"/>
      <c r="AD159"/>
      <c r="AP159"/>
      <c r="AR159"/>
    </row>
    <row r="160" spans="5:44" ht="7.35" customHeight="1" x14ac:dyDescent="0.25">
      <c r="E160" s="1"/>
      <c r="F160"/>
      <c r="G160" s="1"/>
      <c r="H160"/>
      <c r="J160"/>
      <c r="L160"/>
      <c r="N160"/>
      <c r="P160"/>
      <c r="R160"/>
      <c r="T160"/>
      <c r="U160" s="1"/>
      <c r="V160"/>
      <c r="W160" s="1"/>
      <c r="X160"/>
      <c r="Y160" s="1"/>
      <c r="Z160"/>
      <c r="AA160" s="1"/>
      <c r="AB160"/>
      <c r="AD160"/>
      <c r="AP160"/>
      <c r="AR160"/>
    </row>
    <row r="161" spans="5:44" ht="7.35" customHeight="1" x14ac:dyDescent="0.25">
      <c r="E161" s="1"/>
      <c r="F161"/>
      <c r="G161" s="1"/>
      <c r="H161"/>
      <c r="J161"/>
      <c r="L161"/>
      <c r="N161"/>
      <c r="P161"/>
      <c r="R161"/>
      <c r="T161"/>
      <c r="U161" s="1"/>
      <c r="V161"/>
      <c r="W161" s="1"/>
      <c r="X161"/>
      <c r="Y161" s="1"/>
      <c r="Z161"/>
      <c r="AA161" s="1"/>
      <c r="AB161"/>
      <c r="AD161"/>
      <c r="AP161"/>
      <c r="AR161"/>
    </row>
    <row r="162" spans="5:44" ht="7.35" customHeight="1" x14ac:dyDescent="0.25">
      <c r="E162" s="1"/>
      <c r="F162"/>
      <c r="G162" s="1"/>
      <c r="H162"/>
      <c r="J162"/>
      <c r="L162"/>
      <c r="N162"/>
      <c r="P162"/>
      <c r="R162"/>
      <c r="T162"/>
      <c r="U162" s="1"/>
      <c r="V162"/>
      <c r="W162" s="1"/>
      <c r="X162"/>
      <c r="Y162" s="1"/>
      <c r="Z162"/>
      <c r="AA162" s="1"/>
      <c r="AB162"/>
      <c r="AD162"/>
      <c r="AP162"/>
      <c r="AR162"/>
    </row>
    <row r="163" spans="5:44" ht="7.35" customHeight="1" x14ac:dyDescent="0.25">
      <c r="E163" s="1"/>
      <c r="F163"/>
      <c r="G163" s="1"/>
      <c r="H163"/>
      <c r="J163"/>
      <c r="L163"/>
      <c r="N163"/>
      <c r="P163"/>
      <c r="R163"/>
      <c r="T163"/>
      <c r="U163" s="1"/>
      <c r="V163"/>
      <c r="W163" s="1"/>
      <c r="X163"/>
      <c r="Y163" s="1"/>
      <c r="Z163"/>
      <c r="AA163" s="1"/>
      <c r="AB163"/>
      <c r="AD163"/>
      <c r="AP163"/>
      <c r="AR163"/>
    </row>
    <row r="164" spans="5:44" ht="7.35" customHeight="1" x14ac:dyDescent="0.25">
      <c r="E164" s="1"/>
      <c r="F164"/>
      <c r="G164" s="1"/>
      <c r="H164"/>
      <c r="J164"/>
      <c r="L164"/>
      <c r="N164"/>
      <c r="P164"/>
      <c r="R164"/>
      <c r="T164"/>
      <c r="U164" s="1"/>
      <c r="V164"/>
      <c r="W164" s="1"/>
      <c r="X164"/>
      <c r="Y164" s="1"/>
      <c r="Z164"/>
      <c r="AA164" s="1"/>
      <c r="AB164"/>
      <c r="AD164"/>
      <c r="AP164"/>
      <c r="AR164"/>
    </row>
    <row r="165" spans="5:44" ht="7.35" customHeight="1" x14ac:dyDescent="0.25">
      <c r="E165" s="1"/>
      <c r="F165"/>
      <c r="G165" s="1"/>
      <c r="H165"/>
      <c r="J165"/>
      <c r="L165"/>
      <c r="N165"/>
      <c r="P165"/>
      <c r="R165"/>
      <c r="T165"/>
      <c r="U165" s="1"/>
      <c r="V165"/>
      <c r="W165" s="1"/>
      <c r="X165"/>
      <c r="Y165" s="1"/>
      <c r="Z165"/>
      <c r="AA165" s="1"/>
      <c r="AB165"/>
      <c r="AD165"/>
      <c r="AP165"/>
      <c r="AR165"/>
    </row>
    <row r="166" spans="5:44" ht="7.35" customHeight="1" x14ac:dyDescent="0.25">
      <c r="E166" s="1"/>
      <c r="F166"/>
      <c r="G166" s="1"/>
      <c r="H166"/>
      <c r="J166"/>
      <c r="L166"/>
      <c r="N166"/>
      <c r="P166"/>
      <c r="R166"/>
      <c r="T166"/>
      <c r="U166" s="1"/>
      <c r="V166"/>
      <c r="W166" s="1"/>
      <c r="X166"/>
      <c r="Y166" s="1"/>
      <c r="Z166"/>
      <c r="AA166" s="1"/>
      <c r="AB166"/>
      <c r="AD166"/>
      <c r="AP166"/>
      <c r="AR166"/>
    </row>
    <row r="167" spans="5:44" ht="7.35" customHeight="1" x14ac:dyDescent="0.25">
      <c r="E167" s="1"/>
      <c r="F167"/>
      <c r="G167" s="1"/>
      <c r="H167"/>
      <c r="J167"/>
      <c r="L167"/>
      <c r="N167"/>
      <c r="P167"/>
      <c r="R167"/>
      <c r="T167"/>
      <c r="U167" s="1"/>
      <c r="V167"/>
      <c r="W167" s="1"/>
      <c r="X167"/>
      <c r="Y167" s="1"/>
      <c r="Z167"/>
      <c r="AA167" s="1"/>
      <c r="AB167"/>
      <c r="AD167"/>
      <c r="AP167"/>
      <c r="AR167"/>
    </row>
    <row r="168" spans="5:44" ht="7.35" customHeight="1" x14ac:dyDescent="0.25">
      <c r="E168" s="1"/>
      <c r="F168"/>
      <c r="G168" s="1"/>
      <c r="H168"/>
      <c r="J168"/>
      <c r="L168"/>
      <c r="N168"/>
      <c r="P168"/>
      <c r="R168"/>
      <c r="T168"/>
      <c r="U168" s="1"/>
      <c r="V168"/>
      <c r="W168" s="1"/>
      <c r="X168"/>
      <c r="Y168" s="1"/>
      <c r="Z168"/>
      <c r="AA168" s="1"/>
      <c r="AB168"/>
      <c r="AD168"/>
      <c r="AP168"/>
      <c r="AR168"/>
    </row>
    <row r="169" spans="5:44" ht="7.35" customHeight="1" x14ac:dyDescent="0.25">
      <c r="E169" s="1"/>
      <c r="F169"/>
      <c r="G169" s="1"/>
      <c r="H169"/>
      <c r="J169"/>
      <c r="L169"/>
      <c r="N169"/>
      <c r="P169"/>
      <c r="R169"/>
      <c r="T169"/>
      <c r="U169" s="1"/>
      <c r="V169"/>
      <c r="W169" s="1"/>
      <c r="X169"/>
      <c r="Y169" s="1"/>
      <c r="Z169"/>
      <c r="AA169" s="1"/>
      <c r="AB169"/>
      <c r="AD169"/>
      <c r="AP169"/>
      <c r="AR169"/>
    </row>
    <row r="170" spans="5:44" ht="7.35" customHeight="1" x14ac:dyDescent="0.25">
      <c r="E170" s="1"/>
      <c r="F170"/>
      <c r="G170" s="1"/>
      <c r="H170"/>
      <c r="J170"/>
      <c r="L170"/>
      <c r="N170"/>
      <c r="P170"/>
      <c r="R170"/>
      <c r="T170"/>
      <c r="U170" s="1"/>
      <c r="V170"/>
      <c r="W170" s="1"/>
      <c r="X170"/>
      <c r="Y170" s="1"/>
      <c r="Z170"/>
      <c r="AA170" s="1"/>
      <c r="AB170"/>
      <c r="AD170"/>
      <c r="AP170"/>
      <c r="AR170"/>
    </row>
    <row r="171" spans="5:44" ht="7.35" customHeight="1" x14ac:dyDescent="0.25">
      <c r="E171" s="1"/>
      <c r="F171"/>
      <c r="G171" s="1"/>
      <c r="H171"/>
      <c r="J171"/>
      <c r="L171"/>
      <c r="N171"/>
      <c r="P171"/>
      <c r="R171"/>
      <c r="T171"/>
      <c r="U171" s="1"/>
      <c r="V171"/>
      <c r="W171" s="1"/>
      <c r="X171"/>
      <c r="Y171" s="1"/>
      <c r="Z171"/>
      <c r="AA171" s="1"/>
      <c r="AB171"/>
      <c r="AD171"/>
      <c r="AP171"/>
      <c r="AR171"/>
    </row>
    <row r="172" spans="5:44" ht="7.35" customHeight="1" x14ac:dyDescent="0.25">
      <c r="E172" s="1"/>
      <c r="F172"/>
      <c r="G172" s="1"/>
      <c r="H172"/>
      <c r="J172"/>
      <c r="L172"/>
      <c r="N172"/>
      <c r="P172"/>
      <c r="R172"/>
      <c r="T172"/>
      <c r="U172" s="1"/>
      <c r="V172"/>
      <c r="W172" s="1"/>
      <c r="X172"/>
      <c r="Y172" s="1"/>
      <c r="Z172"/>
      <c r="AA172" s="1"/>
      <c r="AB172"/>
      <c r="AD172"/>
      <c r="AP172"/>
      <c r="AR172"/>
    </row>
    <row r="173" spans="5:44" ht="7.35" customHeight="1" x14ac:dyDescent="0.25">
      <c r="E173" s="1"/>
      <c r="F173"/>
      <c r="G173" s="1"/>
      <c r="H173"/>
      <c r="J173"/>
      <c r="L173"/>
      <c r="N173"/>
      <c r="P173"/>
      <c r="R173"/>
      <c r="T173"/>
      <c r="U173" s="1"/>
      <c r="V173"/>
      <c r="W173" s="1"/>
      <c r="X173"/>
      <c r="Y173" s="1"/>
      <c r="Z173"/>
      <c r="AA173" s="1"/>
      <c r="AB173"/>
      <c r="AD173"/>
      <c r="AP173"/>
      <c r="AR173"/>
    </row>
    <row r="174" spans="5:44" ht="7.35" customHeight="1" x14ac:dyDescent="0.25">
      <c r="E174" s="1"/>
      <c r="F174"/>
      <c r="G174" s="1"/>
      <c r="H174"/>
      <c r="J174"/>
      <c r="L174"/>
      <c r="N174"/>
      <c r="P174"/>
      <c r="R174"/>
      <c r="T174"/>
      <c r="U174" s="1"/>
      <c r="V174"/>
      <c r="W174" s="1"/>
      <c r="X174"/>
      <c r="Y174" s="1"/>
      <c r="Z174"/>
      <c r="AA174" s="1"/>
      <c r="AB174"/>
      <c r="AD174"/>
      <c r="AP174"/>
      <c r="AR174"/>
    </row>
    <row r="175" spans="5:44" ht="7.35" customHeight="1" x14ac:dyDescent="0.25">
      <c r="E175" s="1"/>
      <c r="F175"/>
      <c r="G175" s="1"/>
      <c r="H175"/>
      <c r="J175"/>
      <c r="L175"/>
      <c r="N175"/>
      <c r="P175"/>
      <c r="R175"/>
      <c r="T175"/>
      <c r="U175" s="1"/>
      <c r="V175"/>
      <c r="W175" s="1"/>
      <c r="X175"/>
      <c r="Y175" s="1"/>
      <c r="Z175"/>
      <c r="AA175" s="1"/>
      <c r="AB175"/>
      <c r="AD175"/>
      <c r="AP175"/>
      <c r="AR175"/>
    </row>
    <row r="176" spans="5:44" ht="7.35" customHeight="1" x14ac:dyDescent="0.25">
      <c r="E176" s="1"/>
      <c r="F176"/>
      <c r="G176" s="1"/>
      <c r="H176"/>
      <c r="J176"/>
      <c r="L176"/>
      <c r="N176"/>
      <c r="P176"/>
      <c r="R176"/>
      <c r="T176"/>
      <c r="U176" s="1"/>
      <c r="V176"/>
      <c r="W176" s="1"/>
      <c r="X176"/>
      <c r="Y176" s="1"/>
      <c r="Z176"/>
      <c r="AA176" s="1"/>
      <c r="AB176"/>
      <c r="AD176"/>
      <c r="AP176"/>
      <c r="AR176"/>
    </row>
    <row r="177" spans="5:44" ht="7.35" customHeight="1" x14ac:dyDescent="0.25">
      <c r="E177" s="1"/>
      <c r="F177"/>
      <c r="G177" s="1"/>
      <c r="H177"/>
      <c r="J177"/>
      <c r="L177"/>
      <c r="N177"/>
      <c r="P177"/>
      <c r="R177"/>
      <c r="T177"/>
      <c r="U177" s="1"/>
      <c r="V177"/>
      <c r="W177" s="1"/>
      <c r="X177"/>
      <c r="Y177" s="1"/>
      <c r="Z177"/>
      <c r="AA177" s="1"/>
      <c r="AB177"/>
      <c r="AD177"/>
      <c r="AP177"/>
      <c r="AR177"/>
    </row>
    <row r="178" spans="5:44" ht="7.35" customHeight="1" x14ac:dyDescent="0.25">
      <c r="E178" s="1"/>
      <c r="F178"/>
      <c r="G178" s="1"/>
      <c r="H178"/>
      <c r="J178"/>
      <c r="L178"/>
      <c r="N178"/>
      <c r="P178"/>
      <c r="R178"/>
      <c r="T178"/>
      <c r="U178" s="1"/>
      <c r="V178"/>
      <c r="W178" s="1"/>
      <c r="X178"/>
      <c r="Y178" s="1"/>
      <c r="Z178"/>
      <c r="AA178" s="1"/>
      <c r="AB178"/>
      <c r="AD178"/>
      <c r="AP178"/>
      <c r="AR178"/>
    </row>
    <row r="179" spans="5:44" ht="7.35" customHeight="1" x14ac:dyDescent="0.25">
      <c r="E179" s="1"/>
      <c r="F179"/>
      <c r="G179" s="1"/>
      <c r="H179"/>
      <c r="J179"/>
      <c r="L179"/>
      <c r="N179"/>
      <c r="P179"/>
      <c r="R179"/>
      <c r="T179"/>
      <c r="U179" s="1"/>
      <c r="V179"/>
      <c r="W179" s="1"/>
      <c r="X179"/>
      <c r="Y179" s="1"/>
      <c r="Z179"/>
      <c r="AA179" s="1"/>
      <c r="AB179"/>
      <c r="AD179"/>
      <c r="AP179"/>
      <c r="AR179"/>
    </row>
    <row r="180" spans="5:44" ht="7.35" customHeight="1" x14ac:dyDescent="0.25">
      <c r="E180" s="1"/>
      <c r="F180"/>
      <c r="G180" s="1"/>
      <c r="H180"/>
      <c r="J180"/>
      <c r="L180"/>
      <c r="N180"/>
      <c r="P180"/>
      <c r="R180"/>
      <c r="T180"/>
      <c r="U180" s="1"/>
      <c r="V180"/>
      <c r="W180" s="1"/>
      <c r="X180"/>
      <c r="Y180" s="1"/>
      <c r="Z180"/>
      <c r="AA180" s="1"/>
      <c r="AB180"/>
      <c r="AD180"/>
      <c r="AP180"/>
      <c r="AR180"/>
    </row>
    <row r="181" spans="5:44" ht="7.35" customHeight="1" x14ac:dyDescent="0.25">
      <c r="E181" s="1"/>
      <c r="F181"/>
      <c r="G181" s="1"/>
      <c r="H181"/>
      <c r="J181"/>
      <c r="L181"/>
      <c r="N181"/>
      <c r="P181"/>
      <c r="R181"/>
      <c r="T181"/>
      <c r="U181" s="1"/>
      <c r="V181"/>
      <c r="W181" s="1"/>
      <c r="X181"/>
      <c r="Y181" s="1"/>
      <c r="Z181"/>
      <c r="AA181" s="1"/>
      <c r="AB181"/>
      <c r="AD181"/>
      <c r="AP181"/>
      <c r="AR181"/>
    </row>
    <row r="182" spans="5:44" ht="7.35" customHeight="1" x14ac:dyDescent="0.25">
      <c r="E182" s="1"/>
      <c r="F182"/>
      <c r="G182" s="1"/>
      <c r="H182"/>
      <c r="J182"/>
      <c r="L182"/>
      <c r="N182"/>
      <c r="P182"/>
      <c r="R182"/>
      <c r="T182"/>
      <c r="U182" s="1"/>
      <c r="V182"/>
      <c r="W182" s="1"/>
      <c r="X182"/>
      <c r="Y182" s="1"/>
      <c r="Z182"/>
      <c r="AA182" s="1"/>
      <c r="AB182"/>
      <c r="AD182"/>
      <c r="AP182"/>
      <c r="AR182"/>
    </row>
    <row r="183" spans="5:44" ht="7.35" customHeight="1" x14ac:dyDescent="0.25">
      <c r="E183" s="1"/>
      <c r="F183"/>
      <c r="G183" s="1"/>
      <c r="H183"/>
      <c r="J183"/>
      <c r="L183"/>
      <c r="N183"/>
      <c r="P183"/>
      <c r="R183"/>
      <c r="T183"/>
      <c r="U183" s="1"/>
      <c r="V183"/>
      <c r="W183" s="1"/>
      <c r="X183"/>
      <c r="Y183" s="1"/>
      <c r="Z183"/>
      <c r="AA183" s="1"/>
      <c r="AB183"/>
      <c r="AD183"/>
      <c r="AP183"/>
      <c r="AR183"/>
    </row>
    <row r="184" spans="5:44" ht="7.35" customHeight="1" x14ac:dyDescent="0.25">
      <c r="E184" s="1"/>
      <c r="F184"/>
      <c r="G184" s="1"/>
      <c r="H184"/>
      <c r="J184"/>
      <c r="L184"/>
      <c r="N184"/>
      <c r="P184"/>
      <c r="R184"/>
      <c r="T184"/>
      <c r="U184" s="1"/>
      <c r="V184"/>
      <c r="W184" s="1"/>
      <c r="X184"/>
      <c r="Y184" s="1"/>
      <c r="Z184"/>
      <c r="AA184" s="1"/>
      <c r="AB184"/>
      <c r="AD184"/>
      <c r="AP184"/>
      <c r="AR184"/>
    </row>
    <row r="185" spans="5:44" ht="7.35" customHeight="1" x14ac:dyDescent="0.25">
      <c r="E185" s="1"/>
      <c r="F185"/>
      <c r="G185" s="1"/>
      <c r="H185"/>
      <c r="J185"/>
      <c r="L185"/>
      <c r="N185"/>
      <c r="P185"/>
      <c r="R185"/>
      <c r="T185"/>
      <c r="U185" s="1"/>
      <c r="V185"/>
      <c r="W185" s="1"/>
      <c r="X185"/>
      <c r="Y185" s="1"/>
      <c r="Z185"/>
      <c r="AA185" s="1"/>
      <c r="AB185"/>
      <c r="AD185"/>
      <c r="AP185"/>
      <c r="AR185"/>
    </row>
    <row r="186" spans="5:44" ht="7.35" customHeight="1" x14ac:dyDescent="0.25">
      <c r="E186" s="1"/>
      <c r="F186"/>
      <c r="G186" s="1"/>
      <c r="H186"/>
      <c r="J186"/>
      <c r="L186"/>
      <c r="N186"/>
      <c r="P186"/>
      <c r="R186"/>
      <c r="T186"/>
      <c r="U186" s="1"/>
      <c r="V186"/>
      <c r="W186" s="1"/>
      <c r="X186"/>
      <c r="Y186" s="1"/>
      <c r="Z186"/>
      <c r="AA186" s="1"/>
      <c r="AB186"/>
      <c r="AD186"/>
      <c r="AP186"/>
      <c r="AR186"/>
    </row>
    <row r="187" spans="5:44" ht="7.35" customHeight="1" x14ac:dyDescent="0.25">
      <c r="E187" s="1"/>
      <c r="F187"/>
      <c r="G187" s="1"/>
      <c r="H187"/>
      <c r="J187"/>
      <c r="L187"/>
      <c r="N187"/>
      <c r="P187"/>
      <c r="R187"/>
      <c r="T187"/>
      <c r="U187" s="1"/>
      <c r="V187"/>
      <c r="W187" s="1"/>
      <c r="X187"/>
      <c r="Y187" s="1"/>
      <c r="Z187"/>
      <c r="AA187" s="1"/>
      <c r="AB187"/>
      <c r="AD187"/>
      <c r="AP187"/>
      <c r="AR187"/>
    </row>
    <row r="188" spans="5:44" ht="7.35" customHeight="1" x14ac:dyDescent="0.25">
      <c r="E188" s="1"/>
      <c r="F188"/>
      <c r="G188" s="1"/>
      <c r="H188"/>
      <c r="J188"/>
      <c r="L188"/>
      <c r="N188"/>
      <c r="P188"/>
      <c r="R188"/>
      <c r="T188"/>
      <c r="U188" s="1"/>
      <c r="V188"/>
      <c r="W188" s="1"/>
      <c r="X188"/>
      <c r="Y188" s="1"/>
      <c r="Z188"/>
      <c r="AA188" s="1"/>
      <c r="AB188"/>
      <c r="AD188"/>
      <c r="AP188"/>
      <c r="AR188"/>
    </row>
    <row r="189" spans="5:44" ht="7.35" customHeight="1" x14ac:dyDescent="0.25">
      <c r="E189" s="1"/>
      <c r="F189"/>
      <c r="G189" s="1"/>
      <c r="H189"/>
      <c r="J189"/>
      <c r="L189"/>
      <c r="N189"/>
      <c r="P189"/>
      <c r="R189"/>
      <c r="T189"/>
      <c r="U189" s="1"/>
      <c r="V189"/>
      <c r="W189" s="1"/>
      <c r="X189"/>
      <c r="Y189" s="1"/>
      <c r="Z189"/>
      <c r="AA189" s="1"/>
      <c r="AB189"/>
      <c r="AD189"/>
      <c r="AP189"/>
      <c r="AR189"/>
    </row>
    <row r="190" spans="5:44" ht="7.35" customHeight="1" x14ac:dyDescent="0.25">
      <c r="E190" s="1"/>
      <c r="F190"/>
      <c r="G190" s="1"/>
      <c r="H190"/>
      <c r="J190"/>
      <c r="L190"/>
      <c r="N190"/>
      <c r="P190"/>
      <c r="R190"/>
      <c r="T190"/>
      <c r="U190" s="1"/>
      <c r="V190"/>
      <c r="W190" s="1"/>
      <c r="X190"/>
      <c r="Y190" s="1"/>
      <c r="Z190"/>
      <c r="AA190" s="1"/>
      <c r="AB190"/>
      <c r="AD190"/>
      <c r="AP190"/>
      <c r="AR190"/>
    </row>
    <row r="191" spans="5:44" ht="7.35" customHeight="1" x14ac:dyDescent="0.25">
      <c r="E191" s="1"/>
      <c r="F191"/>
      <c r="G191" s="1"/>
      <c r="H191"/>
      <c r="J191"/>
      <c r="L191"/>
      <c r="N191"/>
      <c r="P191"/>
      <c r="R191"/>
      <c r="T191"/>
      <c r="U191" s="1"/>
      <c r="V191"/>
      <c r="W191" s="1"/>
      <c r="X191"/>
      <c r="Y191" s="1"/>
      <c r="Z191"/>
      <c r="AA191" s="1"/>
      <c r="AB191"/>
      <c r="AD191"/>
      <c r="AP191"/>
      <c r="AR191"/>
    </row>
    <row r="192" spans="5:44" ht="7.35" customHeight="1" x14ac:dyDescent="0.25">
      <c r="E192" s="1"/>
      <c r="F192"/>
      <c r="G192" s="1"/>
      <c r="H192"/>
      <c r="J192"/>
      <c r="L192"/>
      <c r="N192"/>
      <c r="P192"/>
      <c r="R192"/>
      <c r="T192"/>
      <c r="U192" s="1"/>
      <c r="V192"/>
      <c r="W192" s="1"/>
      <c r="X192"/>
      <c r="Y192" s="1"/>
      <c r="Z192"/>
      <c r="AA192" s="1"/>
      <c r="AB192"/>
      <c r="AD192"/>
      <c r="AP192"/>
      <c r="AR192"/>
    </row>
    <row r="193" spans="5:44" ht="7.35" customHeight="1" x14ac:dyDescent="0.25">
      <c r="E193" s="1"/>
      <c r="F193"/>
      <c r="G193" s="1"/>
      <c r="H193"/>
      <c r="J193"/>
      <c r="L193"/>
      <c r="N193"/>
      <c r="P193"/>
      <c r="R193"/>
      <c r="T193"/>
      <c r="U193" s="1"/>
      <c r="V193"/>
      <c r="W193" s="1"/>
      <c r="X193"/>
      <c r="Y193" s="1"/>
      <c r="Z193"/>
      <c r="AA193" s="1"/>
      <c r="AB193"/>
      <c r="AD193"/>
      <c r="AP193"/>
      <c r="AR193"/>
    </row>
    <row r="194" spans="5:44" ht="7.35" customHeight="1" x14ac:dyDescent="0.25">
      <c r="E194" s="1"/>
      <c r="F194"/>
      <c r="G194" s="1"/>
      <c r="H194"/>
      <c r="J194"/>
      <c r="L194"/>
      <c r="N194"/>
      <c r="P194"/>
      <c r="R194"/>
      <c r="T194"/>
      <c r="U194" s="1"/>
      <c r="V194"/>
      <c r="W194" s="1"/>
      <c r="X194"/>
      <c r="Y194" s="1"/>
      <c r="Z194"/>
      <c r="AA194" s="1"/>
      <c r="AB194"/>
      <c r="AD194"/>
      <c r="AP194"/>
      <c r="AR194"/>
    </row>
    <row r="195" spans="5:44" ht="7.35" customHeight="1" x14ac:dyDescent="0.25">
      <c r="E195" s="1"/>
      <c r="F195"/>
      <c r="G195" s="1"/>
      <c r="H195"/>
      <c r="J195"/>
      <c r="L195"/>
      <c r="N195"/>
      <c r="P195"/>
      <c r="R195"/>
      <c r="T195"/>
      <c r="U195" s="1"/>
      <c r="V195"/>
      <c r="W195" s="1"/>
      <c r="X195"/>
      <c r="Y195" s="1"/>
      <c r="Z195"/>
      <c r="AA195" s="1"/>
      <c r="AB195"/>
      <c r="AD195"/>
      <c r="AP195"/>
      <c r="AR195"/>
    </row>
    <row r="196" spans="5:44" ht="7.35" customHeight="1" x14ac:dyDescent="0.25">
      <c r="E196" s="1"/>
      <c r="F196"/>
      <c r="G196" s="1"/>
      <c r="H196"/>
      <c r="J196"/>
      <c r="L196"/>
      <c r="N196"/>
      <c r="P196"/>
      <c r="R196"/>
      <c r="T196"/>
      <c r="U196" s="1"/>
      <c r="V196"/>
      <c r="W196" s="1"/>
      <c r="X196"/>
      <c r="Y196" s="1"/>
      <c r="Z196"/>
      <c r="AA196" s="1"/>
      <c r="AB196"/>
      <c r="AD196"/>
      <c r="AP196"/>
      <c r="AR196"/>
    </row>
    <row r="197" spans="5:44" ht="7.35" customHeight="1" x14ac:dyDescent="0.25">
      <c r="E197" s="1"/>
      <c r="F197"/>
      <c r="G197" s="1"/>
      <c r="H197"/>
      <c r="J197"/>
      <c r="L197"/>
      <c r="N197"/>
      <c r="P197"/>
      <c r="R197"/>
      <c r="T197"/>
      <c r="U197" s="1"/>
      <c r="V197"/>
      <c r="W197" s="1"/>
      <c r="X197"/>
      <c r="Y197" s="1"/>
      <c r="Z197"/>
      <c r="AA197" s="1"/>
      <c r="AB197"/>
      <c r="AD197"/>
      <c r="AP197"/>
      <c r="AR197"/>
    </row>
    <row r="198" spans="5:44" ht="7.35" customHeight="1" x14ac:dyDescent="0.25">
      <c r="E198" s="1"/>
      <c r="F198"/>
      <c r="G198" s="1"/>
      <c r="H198"/>
      <c r="J198"/>
      <c r="L198"/>
      <c r="N198"/>
      <c r="P198"/>
      <c r="R198"/>
      <c r="T198"/>
      <c r="U198" s="1"/>
      <c r="V198"/>
      <c r="W198" s="1"/>
      <c r="X198"/>
      <c r="Y198" s="1"/>
      <c r="Z198"/>
      <c r="AA198" s="1"/>
      <c r="AB198"/>
      <c r="AD198"/>
      <c r="AP198"/>
      <c r="AR198"/>
    </row>
    <row r="199" spans="5:44" ht="7.35" customHeight="1" x14ac:dyDescent="0.25">
      <c r="E199" s="1"/>
      <c r="F199"/>
      <c r="G199" s="1"/>
      <c r="H199"/>
      <c r="J199"/>
      <c r="L199"/>
      <c r="N199"/>
      <c r="P199"/>
      <c r="R199"/>
      <c r="T199"/>
      <c r="U199" s="1"/>
      <c r="V199"/>
      <c r="W199" s="1"/>
      <c r="X199"/>
      <c r="Y199" s="1"/>
      <c r="Z199"/>
      <c r="AA199" s="1"/>
      <c r="AB199"/>
      <c r="AD199"/>
      <c r="AP199"/>
      <c r="AR199"/>
    </row>
    <row r="200" spans="5:44" ht="7.35" customHeight="1" x14ac:dyDescent="0.25">
      <c r="E200" s="1"/>
      <c r="F200"/>
      <c r="G200" s="1"/>
      <c r="H200"/>
      <c r="J200"/>
      <c r="L200"/>
      <c r="N200"/>
      <c r="P200"/>
      <c r="R200"/>
      <c r="T200"/>
      <c r="U200" s="1"/>
      <c r="V200"/>
      <c r="W200" s="1"/>
      <c r="X200"/>
      <c r="Y200" s="1"/>
      <c r="Z200"/>
      <c r="AA200" s="1"/>
      <c r="AB200"/>
      <c r="AD200"/>
      <c r="AP200"/>
      <c r="AR200"/>
    </row>
    <row r="201" spans="5:44" ht="7.35" customHeight="1" x14ac:dyDescent="0.25">
      <c r="E201" s="1"/>
      <c r="F201"/>
      <c r="G201" s="1"/>
      <c r="H201"/>
      <c r="J201"/>
      <c r="L201"/>
      <c r="N201"/>
      <c r="P201"/>
      <c r="R201"/>
      <c r="T201"/>
      <c r="U201" s="1"/>
      <c r="V201"/>
      <c r="W201" s="1"/>
      <c r="X201"/>
      <c r="Y201" s="1"/>
      <c r="Z201"/>
      <c r="AA201" s="1"/>
      <c r="AB201"/>
      <c r="AD201"/>
      <c r="AP201"/>
      <c r="AR201"/>
    </row>
    <row r="202" spans="5:44" ht="7.35" customHeight="1" x14ac:dyDescent="0.25">
      <c r="E202" s="1"/>
      <c r="F202"/>
      <c r="G202" s="1"/>
      <c r="H202"/>
      <c r="J202"/>
      <c r="L202"/>
      <c r="N202"/>
      <c r="P202"/>
      <c r="R202"/>
      <c r="T202"/>
      <c r="U202" s="1"/>
      <c r="V202"/>
      <c r="W202" s="1"/>
      <c r="X202"/>
      <c r="Y202" s="1"/>
      <c r="Z202"/>
      <c r="AA202" s="1"/>
      <c r="AB202"/>
      <c r="AD202"/>
      <c r="AP202"/>
      <c r="AR202"/>
    </row>
    <row r="203" spans="5:44" ht="7.35" customHeight="1" x14ac:dyDescent="0.25">
      <c r="E203" s="1"/>
      <c r="F203"/>
      <c r="G203" s="1"/>
      <c r="H203"/>
      <c r="J203"/>
      <c r="L203"/>
      <c r="N203"/>
      <c r="P203"/>
      <c r="R203"/>
      <c r="T203"/>
      <c r="U203" s="1"/>
      <c r="V203"/>
      <c r="W203" s="1"/>
      <c r="X203"/>
      <c r="Y203" s="1"/>
      <c r="Z203"/>
      <c r="AA203" s="1"/>
      <c r="AB203"/>
      <c r="AD203"/>
      <c r="AP203"/>
      <c r="AR203"/>
    </row>
    <row r="204" spans="5:44" ht="7.35" customHeight="1" x14ac:dyDescent="0.25">
      <c r="E204" s="1"/>
      <c r="F204"/>
      <c r="G204" s="1"/>
      <c r="H204"/>
      <c r="J204"/>
      <c r="L204"/>
      <c r="N204"/>
      <c r="P204"/>
      <c r="R204"/>
      <c r="T204"/>
      <c r="U204" s="1"/>
      <c r="V204"/>
      <c r="W204" s="1"/>
      <c r="X204"/>
      <c r="Y204" s="1"/>
      <c r="Z204"/>
      <c r="AA204" s="1"/>
      <c r="AB204"/>
      <c r="AD204"/>
      <c r="AP204"/>
      <c r="AR204"/>
    </row>
    <row r="205" spans="5:44" ht="7.35" customHeight="1" x14ac:dyDescent="0.25">
      <c r="E205" s="1"/>
      <c r="F205"/>
      <c r="G205" s="1"/>
      <c r="H205"/>
      <c r="J205"/>
      <c r="L205"/>
      <c r="N205"/>
      <c r="P205"/>
      <c r="R205"/>
      <c r="T205"/>
      <c r="U205" s="1"/>
      <c r="V205"/>
      <c r="W205" s="1"/>
      <c r="X205"/>
      <c r="Y205" s="1"/>
      <c r="Z205"/>
      <c r="AA205" s="1"/>
      <c r="AB205"/>
      <c r="AD205"/>
      <c r="AP205"/>
      <c r="AR205"/>
    </row>
    <row r="206" spans="5:44" ht="7.35" customHeight="1" x14ac:dyDescent="0.25">
      <c r="E206" s="1"/>
      <c r="F206"/>
      <c r="G206" s="1"/>
      <c r="H206"/>
      <c r="J206"/>
      <c r="L206"/>
      <c r="N206"/>
      <c r="P206"/>
      <c r="R206"/>
      <c r="T206"/>
      <c r="U206" s="1"/>
      <c r="V206"/>
      <c r="W206" s="1"/>
      <c r="X206"/>
      <c r="Y206" s="1"/>
      <c r="Z206"/>
      <c r="AA206" s="1"/>
      <c r="AB206"/>
      <c r="AD206"/>
      <c r="AP206"/>
      <c r="AR206"/>
    </row>
    <row r="207" spans="5:44" ht="7.35" customHeight="1" x14ac:dyDescent="0.25">
      <c r="E207" s="1"/>
      <c r="F207"/>
      <c r="G207" s="1"/>
      <c r="H207"/>
      <c r="J207"/>
      <c r="L207"/>
      <c r="N207"/>
      <c r="P207"/>
      <c r="R207"/>
      <c r="T207"/>
      <c r="U207" s="1"/>
      <c r="V207"/>
      <c r="W207" s="1"/>
      <c r="X207"/>
      <c r="Y207" s="1"/>
      <c r="Z207"/>
      <c r="AA207" s="1"/>
      <c r="AB207"/>
      <c r="AD207"/>
      <c r="AP207"/>
      <c r="AR207"/>
    </row>
    <row r="208" spans="5:44" ht="7.35" customHeight="1" x14ac:dyDescent="0.25">
      <c r="E208" s="1"/>
      <c r="F208"/>
      <c r="G208" s="1"/>
      <c r="H208"/>
      <c r="J208"/>
      <c r="L208"/>
      <c r="N208"/>
      <c r="P208"/>
      <c r="R208"/>
      <c r="T208"/>
      <c r="U208" s="1"/>
      <c r="V208"/>
      <c r="W208" s="1"/>
      <c r="X208"/>
      <c r="Y208" s="1"/>
      <c r="Z208"/>
      <c r="AA208" s="1"/>
      <c r="AB208"/>
      <c r="AD208"/>
      <c r="AP208"/>
      <c r="AR208"/>
    </row>
    <row r="209" spans="5:44" ht="7.35" customHeight="1" x14ac:dyDescent="0.25">
      <c r="E209" s="1"/>
      <c r="F209"/>
      <c r="G209" s="1"/>
      <c r="H209"/>
      <c r="J209"/>
      <c r="L209"/>
      <c r="N209"/>
      <c r="P209"/>
      <c r="R209"/>
      <c r="T209"/>
      <c r="U209" s="1"/>
      <c r="V209"/>
      <c r="W209" s="1"/>
      <c r="X209"/>
      <c r="Y209" s="1"/>
      <c r="Z209"/>
      <c r="AA209" s="1"/>
      <c r="AB209"/>
      <c r="AD209"/>
      <c r="AP209"/>
      <c r="AR209"/>
    </row>
    <row r="210" spans="5:44" ht="7.35" customHeight="1" x14ac:dyDescent="0.25">
      <c r="E210" s="1"/>
      <c r="F210"/>
      <c r="G210" s="1"/>
      <c r="H210"/>
      <c r="J210"/>
      <c r="L210"/>
      <c r="N210"/>
      <c r="P210"/>
      <c r="R210"/>
      <c r="T210"/>
      <c r="U210" s="1"/>
      <c r="V210"/>
      <c r="W210" s="1"/>
      <c r="X210"/>
      <c r="Y210" s="1"/>
      <c r="Z210"/>
      <c r="AA210" s="1"/>
      <c r="AB210"/>
      <c r="AD210"/>
      <c r="AP210"/>
      <c r="AR210"/>
    </row>
    <row r="211" spans="5:44" ht="7.35" customHeight="1" x14ac:dyDescent="0.25">
      <c r="E211" s="1"/>
      <c r="F211"/>
      <c r="G211" s="1"/>
      <c r="H211"/>
      <c r="J211"/>
      <c r="L211"/>
      <c r="N211"/>
      <c r="P211"/>
      <c r="R211"/>
      <c r="T211"/>
      <c r="U211" s="1"/>
      <c r="V211"/>
      <c r="W211" s="1"/>
      <c r="X211"/>
      <c r="Y211" s="1"/>
      <c r="Z211"/>
      <c r="AA211" s="1"/>
      <c r="AB211"/>
      <c r="AD211"/>
      <c r="AP211"/>
      <c r="AR211"/>
    </row>
    <row r="212" spans="5:44" ht="7.35" customHeight="1" x14ac:dyDescent="0.25">
      <c r="E212" s="1"/>
      <c r="F212"/>
      <c r="G212" s="1"/>
      <c r="H212"/>
      <c r="J212"/>
      <c r="L212"/>
      <c r="N212"/>
      <c r="P212"/>
      <c r="R212"/>
      <c r="T212"/>
      <c r="U212" s="1"/>
      <c r="V212"/>
      <c r="W212" s="1"/>
      <c r="X212"/>
      <c r="Y212" s="1"/>
      <c r="Z212"/>
      <c r="AA212" s="1"/>
      <c r="AB212"/>
      <c r="AD212"/>
      <c r="AP212"/>
      <c r="AR212"/>
    </row>
    <row r="213" spans="5:44" ht="7.35" customHeight="1" x14ac:dyDescent="0.25">
      <c r="E213" s="1"/>
      <c r="F213"/>
      <c r="G213" s="1"/>
      <c r="H213"/>
      <c r="J213"/>
      <c r="L213"/>
      <c r="N213"/>
      <c r="P213"/>
      <c r="R213"/>
      <c r="T213"/>
      <c r="U213" s="1"/>
      <c r="V213"/>
      <c r="W213" s="1"/>
      <c r="X213"/>
      <c r="Y213" s="1"/>
      <c r="Z213"/>
      <c r="AA213" s="1"/>
      <c r="AB213"/>
      <c r="AD213"/>
      <c r="AP213"/>
      <c r="AR213"/>
    </row>
    <row r="214" spans="5:44" ht="7.35" customHeight="1" x14ac:dyDescent="0.25">
      <c r="E214" s="1"/>
      <c r="F214"/>
      <c r="G214" s="1"/>
      <c r="H214"/>
      <c r="J214"/>
      <c r="L214"/>
      <c r="N214"/>
      <c r="P214"/>
      <c r="R214"/>
      <c r="T214"/>
      <c r="U214" s="1"/>
      <c r="V214"/>
      <c r="W214" s="1"/>
      <c r="X214"/>
      <c r="Y214" s="1"/>
      <c r="Z214"/>
      <c r="AA214" s="1"/>
      <c r="AB214"/>
      <c r="AD214"/>
      <c r="AP214"/>
      <c r="AR214"/>
    </row>
    <row r="215" spans="5:44" ht="7.35" customHeight="1" x14ac:dyDescent="0.25">
      <c r="E215" s="1"/>
      <c r="F215"/>
      <c r="G215" s="1"/>
      <c r="H215"/>
      <c r="J215"/>
      <c r="L215"/>
      <c r="N215"/>
      <c r="P215"/>
      <c r="R215"/>
      <c r="T215"/>
      <c r="U215" s="1"/>
      <c r="V215"/>
      <c r="W215" s="1"/>
      <c r="X215"/>
      <c r="Y215" s="1"/>
      <c r="Z215"/>
      <c r="AA215" s="1"/>
      <c r="AB215"/>
      <c r="AD215"/>
      <c r="AP215"/>
      <c r="AR215"/>
    </row>
    <row r="216" spans="5:44" ht="7.35" customHeight="1" x14ac:dyDescent="0.25">
      <c r="E216" s="1"/>
      <c r="F216"/>
      <c r="G216" s="1"/>
      <c r="H216"/>
      <c r="J216"/>
      <c r="L216"/>
      <c r="N216"/>
      <c r="P216"/>
      <c r="R216"/>
      <c r="T216"/>
      <c r="U216" s="1"/>
      <c r="V216"/>
      <c r="W216" s="1"/>
      <c r="X216"/>
      <c r="Y216" s="1"/>
      <c r="Z216"/>
      <c r="AA216" s="1"/>
      <c r="AB216"/>
      <c r="AD216"/>
      <c r="AP216"/>
      <c r="AR216"/>
    </row>
    <row r="217" spans="5:44" ht="7.35" customHeight="1" x14ac:dyDescent="0.25">
      <c r="E217" s="1"/>
      <c r="F217"/>
      <c r="G217" s="1"/>
      <c r="H217"/>
      <c r="J217"/>
      <c r="L217"/>
      <c r="N217"/>
      <c r="P217"/>
      <c r="R217"/>
      <c r="T217"/>
      <c r="U217" s="1"/>
      <c r="V217"/>
      <c r="W217" s="1"/>
      <c r="X217"/>
      <c r="Y217" s="1"/>
      <c r="Z217"/>
      <c r="AA217" s="1"/>
      <c r="AB217"/>
      <c r="AD217"/>
      <c r="AP217"/>
      <c r="AR217"/>
    </row>
    <row r="218" spans="5:44" ht="7.35" customHeight="1" x14ac:dyDescent="0.25">
      <c r="E218" s="1"/>
      <c r="F218"/>
      <c r="G218" s="1"/>
      <c r="H218"/>
      <c r="J218"/>
      <c r="L218"/>
      <c r="N218"/>
      <c r="P218"/>
      <c r="R218"/>
      <c r="T218"/>
      <c r="U218" s="1"/>
      <c r="V218"/>
      <c r="W218" s="1"/>
      <c r="X218"/>
      <c r="Y218" s="1"/>
      <c r="Z218"/>
      <c r="AA218" s="1"/>
      <c r="AB218"/>
      <c r="AD218"/>
      <c r="AP218"/>
      <c r="AR218"/>
    </row>
    <row r="219" spans="5:44" ht="7.35" customHeight="1" x14ac:dyDescent="0.25">
      <c r="E219" s="1"/>
      <c r="F219"/>
      <c r="G219" s="1"/>
      <c r="H219"/>
      <c r="J219"/>
      <c r="L219"/>
      <c r="N219"/>
      <c r="P219"/>
      <c r="R219"/>
      <c r="T219"/>
      <c r="U219" s="1"/>
      <c r="V219"/>
      <c r="W219" s="1"/>
      <c r="X219"/>
      <c r="Y219" s="1"/>
      <c r="Z219"/>
      <c r="AA219" s="1"/>
      <c r="AB219"/>
      <c r="AD219"/>
      <c r="AP219"/>
      <c r="AR219"/>
    </row>
    <row r="220" spans="5:44" ht="7.35" customHeight="1" x14ac:dyDescent="0.25">
      <c r="E220" s="1"/>
      <c r="F220"/>
      <c r="G220" s="1"/>
      <c r="H220"/>
      <c r="J220"/>
      <c r="L220"/>
      <c r="N220"/>
      <c r="P220"/>
      <c r="R220"/>
      <c r="T220"/>
      <c r="U220" s="1"/>
      <c r="V220"/>
      <c r="W220" s="1"/>
      <c r="X220"/>
      <c r="Y220" s="1"/>
      <c r="Z220"/>
      <c r="AA220" s="1"/>
      <c r="AB220"/>
      <c r="AD220"/>
      <c r="AP220"/>
      <c r="AR220"/>
    </row>
    <row r="221" spans="5:44" ht="7.35" customHeight="1" x14ac:dyDescent="0.25">
      <c r="E221" s="1"/>
      <c r="F221"/>
      <c r="G221" s="1"/>
      <c r="H221"/>
      <c r="J221"/>
      <c r="L221"/>
      <c r="N221"/>
      <c r="P221"/>
      <c r="R221"/>
      <c r="T221"/>
      <c r="U221" s="1"/>
      <c r="V221"/>
      <c r="W221" s="1"/>
      <c r="X221"/>
      <c r="Y221" s="1"/>
      <c r="Z221"/>
      <c r="AA221" s="1"/>
      <c r="AB221"/>
      <c r="AD221"/>
      <c r="AP221"/>
      <c r="AR221"/>
    </row>
    <row r="222" spans="5:44" ht="7.35" customHeight="1" x14ac:dyDescent="0.25">
      <c r="E222" s="1"/>
      <c r="F222"/>
      <c r="G222" s="1"/>
      <c r="H222"/>
      <c r="J222"/>
      <c r="L222"/>
      <c r="N222"/>
      <c r="P222"/>
      <c r="R222"/>
      <c r="T222"/>
      <c r="U222" s="1"/>
      <c r="V222"/>
      <c r="W222" s="1"/>
      <c r="X222"/>
      <c r="Y222" s="1"/>
      <c r="Z222"/>
      <c r="AA222" s="1"/>
      <c r="AB222"/>
      <c r="AD222"/>
      <c r="AP222"/>
      <c r="AR222"/>
    </row>
    <row r="223" spans="5:44" ht="7.35" customHeight="1" x14ac:dyDescent="0.25">
      <c r="E223" s="1"/>
      <c r="F223"/>
      <c r="G223" s="1"/>
      <c r="H223"/>
      <c r="J223"/>
      <c r="L223"/>
      <c r="N223"/>
      <c r="P223"/>
      <c r="R223"/>
      <c r="T223"/>
      <c r="U223" s="1"/>
      <c r="V223"/>
      <c r="W223" s="1"/>
      <c r="X223"/>
      <c r="Y223" s="1"/>
      <c r="Z223"/>
      <c r="AA223" s="1"/>
      <c r="AB223"/>
      <c r="AD223"/>
      <c r="AP223"/>
      <c r="AR223"/>
    </row>
    <row r="224" spans="5:44" ht="7.35" customHeight="1" x14ac:dyDescent="0.25">
      <c r="E224" s="1"/>
      <c r="F224"/>
      <c r="G224" s="1"/>
      <c r="H224"/>
      <c r="J224"/>
      <c r="L224"/>
      <c r="N224"/>
      <c r="P224"/>
      <c r="R224"/>
      <c r="T224"/>
      <c r="U224" s="1"/>
      <c r="V224"/>
      <c r="W224" s="1"/>
      <c r="X224"/>
      <c r="Y224" s="1"/>
      <c r="Z224"/>
      <c r="AA224" s="1"/>
      <c r="AB224"/>
      <c r="AD224"/>
      <c r="AP224"/>
      <c r="AR224"/>
    </row>
    <row r="225" spans="5:44" ht="7.35" customHeight="1" x14ac:dyDescent="0.25">
      <c r="E225" s="1"/>
      <c r="F225"/>
      <c r="G225" s="1"/>
      <c r="H225"/>
      <c r="J225"/>
      <c r="L225"/>
      <c r="N225"/>
      <c r="P225"/>
      <c r="R225"/>
      <c r="T225"/>
      <c r="U225" s="1"/>
      <c r="V225"/>
      <c r="W225" s="1"/>
      <c r="X225"/>
      <c r="Y225" s="1"/>
      <c r="Z225"/>
      <c r="AA225" s="1"/>
      <c r="AB225"/>
      <c r="AD225"/>
      <c r="AP225"/>
      <c r="AR225"/>
    </row>
    <row r="226" spans="5:44" ht="7.35" customHeight="1" x14ac:dyDescent="0.25">
      <c r="E226" s="1"/>
      <c r="F226"/>
      <c r="G226" s="1"/>
      <c r="H226"/>
      <c r="J226"/>
      <c r="L226"/>
      <c r="N226"/>
      <c r="P226"/>
      <c r="R226"/>
      <c r="T226"/>
      <c r="U226" s="1"/>
      <c r="V226"/>
      <c r="W226" s="1"/>
      <c r="X226"/>
      <c r="Y226" s="1"/>
      <c r="Z226"/>
      <c r="AA226" s="1"/>
      <c r="AB226"/>
      <c r="AD226"/>
      <c r="AP226"/>
      <c r="AR226"/>
    </row>
    <row r="227" spans="5:44" ht="7.35" customHeight="1" x14ac:dyDescent="0.25">
      <c r="E227" s="1"/>
      <c r="F227"/>
      <c r="G227" s="1"/>
      <c r="H227"/>
      <c r="J227"/>
      <c r="L227"/>
      <c r="N227"/>
      <c r="P227"/>
      <c r="R227"/>
      <c r="T227"/>
      <c r="U227" s="1"/>
      <c r="V227"/>
      <c r="W227" s="1"/>
      <c r="X227"/>
      <c r="Y227" s="1"/>
      <c r="Z227"/>
      <c r="AA227" s="1"/>
      <c r="AB227"/>
      <c r="AD227"/>
      <c r="AP227"/>
      <c r="AR227"/>
    </row>
    <row r="228" spans="5:44" ht="7.35" customHeight="1" x14ac:dyDescent="0.25">
      <c r="E228" s="1"/>
      <c r="F228"/>
      <c r="G228" s="1"/>
      <c r="H228"/>
      <c r="J228"/>
      <c r="L228"/>
      <c r="N228"/>
      <c r="P228"/>
      <c r="R228"/>
      <c r="T228"/>
      <c r="U228" s="1"/>
      <c r="V228"/>
      <c r="W228" s="1"/>
      <c r="X228"/>
      <c r="Y228" s="1"/>
      <c r="Z228"/>
      <c r="AA228" s="1"/>
      <c r="AB228"/>
      <c r="AD228"/>
      <c r="AP228"/>
      <c r="AR228"/>
    </row>
    <row r="229" spans="5:44" ht="7.35" customHeight="1" x14ac:dyDescent="0.25">
      <c r="E229" s="1"/>
      <c r="F229"/>
      <c r="G229" s="1"/>
      <c r="H229"/>
      <c r="J229"/>
      <c r="L229"/>
      <c r="N229"/>
      <c r="P229"/>
      <c r="R229"/>
      <c r="T229"/>
      <c r="U229" s="1"/>
      <c r="V229"/>
      <c r="W229" s="1"/>
      <c r="X229"/>
      <c r="Y229" s="1"/>
      <c r="Z229"/>
      <c r="AA229" s="1"/>
      <c r="AB229"/>
      <c r="AD229"/>
      <c r="AP229"/>
      <c r="AR229"/>
    </row>
    <row r="230" spans="5:44" ht="7.35" customHeight="1" x14ac:dyDescent="0.25">
      <c r="E230" s="1"/>
      <c r="F230"/>
      <c r="G230" s="1"/>
      <c r="H230"/>
      <c r="J230"/>
      <c r="L230"/>
      <c r="N230"/>
      <c r="P230"/>
      <c r="R230"/>
      <c r="T230"/>
      <c r="U230" s="1"/>
      <c r="V230"/>
      <c r="W230" s="1"/>
      <c r="X230"/>
      <c r="Y230" s="1"/>
      <c r="Z230"/>
      <c r="AA230" s="1"/>
      <c r="AB230"/>
      <c r="AD230"/>
      <c r="AP230"/>
      <c r="AR230"/>
    </row>
    <row r="231" spans="5:44" ht="7.35" customHeight="1" x14ac:dyDescent="0.25">
      <c r="E231" s="1"/>
      <c r="F231"/>
      <c r="G231" s="1"/>
      <c r="H231"/>
      <c r="J231"/>
      <c r="L231"/>
      <c r="N231"/>
      <c r="P231"/>
      <c r="R231"/>
      <c r="T231"/>
      <c r="U231" s="1"/>
      <c r="V231"/>
      <c r="W231" s="1"/>
      <c r="X231"/>
      <c r="Y231" s="1"/>
      <c r="Z231"/>
      <c r="AA231" s="1"/>
      <c r="AB231"/>
      <c r="AD231"/>
      <c r="AP231"/>
      <c r="AR231"/>
    </row>
    <row r="232" spans="5:44" ht="7.35" customHeight="1" x14ac:dyDescent="0.25">
      <c r="E232" s="1"/>
      <c r="F232"/>
      <c r="G232" s="1"/>
      <c r="H232"/>
      <c r="J232"/>
      <c r="L232"/>
      <c r="N232"/>
      <c r="P232"/>
      <c r="R232"/>
      <c r="T232"/>
      <c r="U232" s="1"/>
      <c r="V232"/>
      <c r="W232" s="1"/>
      <c r="X232"/>
      <c r="Y232" s="1"/>
      <c r="Z232"/>
      <c r="AA232" s="1"/>
      <c r="AB232"/>
      <c r="AD232"/>
      <c r="AP232"/>
      <c r="AR232"/>
    </row>
    <row r="233" spans="5:44" ht="7.35" customHeight="1" x14ac:dyDescent="0.25">
      <c r="E233" s="1"/>
      <c r="F233"/>
      <c r="G233" s="1"/>
      <c r="H233"/>
      <c r="J233"/>
      <c r="L233"/>
      <c r="N233"/>
      <c r="P233"/>
      <c r="R233"/>
      <c r="T233"/>
      <c r="U233" s="1"/>
      <c r="V233"/>
      <c r="W233" s="1"/>
      <c r="X233"/>
      <c r="Y233" s="1"/>
      <c r="Z233"/>
      <c r="AA233" s="1"/>
      <c r="AB233"/>
      <c r="AD233"/>
      <c r="AP233"/>
      <c r="AR233"/>
    </row>
    <row r="234" spans="5:44" ht="7.35" customHeight="1" x14ac:dyDescent="0.25">
      <c r="E234" s="1"/>
      <c r="F234"/>
      <c r="G234" s="1"/>
      <c r="H234"/>
      <c r="J234"/>
      <c r="L234"/>
      <c r="N234"/>
      <c r="P234"/>
      <c r="R234"/>
      <c r="T234"/>
      <c r="U234" s="1"/>
      <c r="V234"/>
      <c r="W234" s="1"/>
      <c r="X234"/>
      <c r="Y234" s="1"/>
      <c r="Z234"/>
      <c r="AA234" s="1"/>
      <c r="AB234"/>
      <c r="AD234"/>
      <c r="AP234"/>
      <c r="AR234"/>
    </row>
    <row r="235" spans="5:44" ht="7.35" customHeight="1" x14ac:dyDescent="0.25">
      <c r="E235" s="1"/>
      <c r="F235"/>
      <c r="G235" s="1"/>
      <c r="H235"/>
      <c r="J235"/>
      <c r="L235"/>
      <c r="N235"/>
      <c r="P235"/>
      <c r="R235"/>
      <c r="T235"/>
      <c r="U235" s="1"/>
      <c r="V235"/>
      <c r="W235" s="1"/>
      <c r="X235"/>
      <c r="Y235" s="1"/>
      <c r="Z235"/>
      <c r="AA235" s="1"/>
      <c r="AB235"/>
      <c r="AD235"/>
      <c r="AP235"/>
      <c r="AR235"/>
    </row>
    <row r="236" spans="5:44" ht="7.35" customHeight="1" x14ac:dyDescent="0.25">
      <c r="E236" s="1"/>
      <c r="F236"/>
      <c r="G236" s="1"/>
      <c r="H236"/>
      <c r="J236"/>
      <c r="L236"/>
      <c r="N236"/>
      <c r="P236"/>
      <c r="R236"/>
      <c r="T236"/>
      <c r="U236" s="1"/>
      <c r="V236"/>
      <c r="W236" s="1"/>
      <c r="X236"/>
      <c r="Y236" s="1"/>
      <c r="Z236"/>
      <c r="AA236" s="1"/>
      <c r="AB236"/>
      <c r="AD236"/>
      <c r="AP236"/>
      <c r="AR236"/>
    </row>
    <row r="237" spans="5:44" ht="7.35" customHeight="1" x14ac:dyDescent="0.25">
      <c r="E237" s="1"/>
      <c r="F237"/>
      <c r="G237" s="1"/>
      <c r="H237"/>
      <c r="J237"/>
      <c r="L237"/>
      <c r="N237"/>
      <c r="P237"/>
      <c r="R237"/>
      <c r="T237"/>
      <c r="U237" s="1"/>
      <c r="V237"/>
      <c r="W237" s="1"/>
      <c r="X237"/>
      <c r="Y237" s="1"/>
      <c r="Z237"/>
      <c r="AA237" s="1"/>
      <c r="AB237"/>
      <c r="AD237"/>
      <c r="AP237"/>
      <c r="AR237"/>
    </row>
    <row r="238" spans="5:44" ht="7.35" customHeight="1" x14ac:dyDescent="0.25">
      <c r="E238" s="1"/>
      <c r="F238"/>
      <c r="G238" s="1"/>
      <c r="H238"/>
      <c r="J238"/>
      <c r="L238"/>
      <c r="N238"/>
      <c r="P238"/>
      <c r="R238"/>
      <c r="T238"/>
      <c r="U238" s="1"/>
      <c r="V238"/>
      <c r="W238" s="1"/>
      <c r="X238"/>
      <c r="Y238" s="1"/>
      <c r="Z238"/>
      <c r="AA238" s="1"/>
      <c r="AB238"/>
      <c r="AD238"/>
      <c r="AP238"/>
      <c r="AR238"/>
    </row>
    <row r="239" spans="5:44" ht="7.35" customHeight="1" x14ac:dyDescent="0.25">
      <c r="E239" s="1"/>
      <c r="F239"/>
      <c r="G239" s="1"/>
      <c r="H239"/>
      <c r="J239"/>
      <c r="L239"/>
      <c r="N239"/>
      <c r="P239"/>
      <c r="R239"/>
      <c r="T239"/>
      <c r="U239" s="1"/>
      <c r="V239"/>
      <c r="W239" s="1"/>
      <c r="X239"/>
      <c r="Y239" s="1"/>
      <c r="Z239"/>
      <c r="AA239" s="1"/>
      <c r="AB239"/>
      <c r="AD239"/>
      <c r="AP239"/>
      <c r="AR239"/>
    </row>
    <row r="240" spans="5:44" ht="7.35" customHeight="1" x14ac:dyDescent="0.25">
      <c r="E240" s="1"/>
      <c r="F240"/>
      <c r="G240" s="1"/>
      <c r="H240"/>
      <c r="J240"/>
      <c r="L240"/>
      <c r="N240"/>
      <c r="P240"/>
      <c r="R240"/>
      <c r="T240"/>
      <c r="U240" s="1"/>
      <c r="V240"/>
      <c r="W240" s="1"/>
      <c r="X240"/>
      <c r="Y240" s="1"/>
      <c r="Z240"/>
      <c r="AA240" s="1"/>
      <c r="AB240"/>
      <c r="AD240"/>
      <c r="AP240"/>
      <c r="AR240"/>
    </row>
    <row r="241" spans="5:44" ht="7.35" customHeight="1" x14ac:dyDescent="0.25">
      <c r="E241" s="1"/>
      <c r="F241"/>
      <c r="G241" s="1"/>
      <c r="H241"/>
      <c r="J241"/>
      <c r="L241"/>
      <c r="N241"/>
      <c r="P241"/>
      <c r="R241"/>
      <c r="T241"/>
      <c r="U241" s="1"/>
      <c r="V241"/>
      <c r="W241" s="1"/>
      <c r="X241"/>
      <c r="Y241" s="1"/>
      <c r="Z241"/>
      <c r="AA241" s="1"/>
      <c r="AB241"/>
      <c r="AD241"/>
      <c r="AP241"/>
      <c r="AR241"/>
    </row>
    <row r="242" spans="5:44" ht="7.35" customHeight="1" x14ac:dyDescent="0.25">
      <c r="E242" s="1"/>
      <c r="F242"/>
      <c r="G242" s="1"/>
      <c r="H242"/>
      <c r="J242"/>
      <c r="L242"/>
      <c r="N242"/>
      <c r="P242"/>
      <c r="R242"/>
      <c r="T242"/>
      <c r="U242" s="1"/>
      <c r="V242"/>
      <c r="W242" s="1"/>
      <c r="X242"/>
      <c r="Y242" s="1"/>
      <c r="Z242"/>
      <c r="AA242" s="1"/>
      <c r="AB242"/>
      <c r="AD242"/>
      <c r="AP242"/>
      <c r="AR242"/>
    </row>
    <row r="243" spans="5:44" ht="7.35" customHeight="1" x14ac:dyDescent="0.25">
      <c r="E243" s="1"/>
      <c r="F243"/>
      <c r="G243" s="1"/>
      <c r="H243"/>
      <c r="J243"/>
      <c r="L243"/>
      <c r="N243"/>
      <c r="P243"/>
      <c r="R243"/>
      <c r="T243"/>
      <c r="U243" s="1"/>
      <c r="V243"/>
      <c r="W243" s="1"/>
      <c r="X243"/>
      <c r="Y243" s="1"/>
      <c r="Z243"/>
      <c r="AA243" s="1"/>
      <c r="AB243"/>
      <c r="AD243"/>
      <c r="AP243"/>
      <c r="AR243"/>
    </row>
    <row r="244" spans="5:44" ht="7.35" customHeight="1" x14ac:dyDescent="0.25">
      <c r="E244" s="1"/>
      <c r="F244"/>
      <c r="G244" s="1"/>
      <c r="H244"/>
      <c r="J244"/>
      <c r="L244"/>
      <c r="N244"/>
      <c r="P244"/>
      <c r="R244"/>
      <c r="T244"/>
      <c r="U244" s="1"/>
      <c r="V244"/>
      <c r="W244" s="1"/>
      <c r="X244"/>
      <c r="Y244" s="1"/>
      <c r="Z244"/>
      <c r="AA244" s="1"/>
      <c r="AB244"/>
      <c r="AD244"/>
      <c r="AP244"/>
      <c r="AR244"/>
    </row>
    <row r="245" spans="5:44" ht="7.35" customHeight="1" x14ac:dyDescent="0.25">
      <c r="E245" s="1"/>
      <c r="F245"/>
      <c r="G245" s="1"/>
      <c r="H245"/>
      <c r="J245"/>
      <c r="L245"/>
      <c r="N245"/>
      <c r="P245"/>
      <c r="R245"/>
      <c r="T245"/>
      <c r="U245" s="1"/>
      <c r="V245"/>
      <c r="W245" s="1"/>
      <c r="X245"/>
      <c r="Y245" s="1"/>
      <c r="Z245"/>
      <c r="AA245" s="1"/>
      <c r="AB245"/>
      <c r="AD245"/>
      <c r="AP245"/>
      <c r="AR245"/>
    </row>
    <row r="246" spans="5:44" ht="7.35" customHeight="1" x14ac:dyDescent="0.25">
      <c r="E246" s="1"/>
      <c r="F246"/>
      <c r="G246" s="1"/>
      <c r="H246"/>
      <c r="J246"/>
      <c r="L246"/>
      <c r="N246"/>
      <c r="P246"/>
      <c r="R246"/>
      <c r="T246"/>
      <c r="U246" s="1"/>
      <c r="V246"/>
      <c r="W246" s="1"/>
      <c r="X246"/>
      <c r="Y246" s="1"/>
      <c r="Z246"/>
      <c r="AA246" s="1"/>
      <c r="AB246"/>
      <c r="AD246"/>
      <c r="AP246"/>
      <c r="AR246"/>
    </row>
    <row r="247" spans="5:44" ht="7.35" customHeight="1" x14ac:dyDescent="0.25">
      <c r="E247" s="1"/>
      <c r="F247"/>
      <c r="G247" s="1"/>
      <c r="H247"/>
      <c r="J247"/>
      <c r="L247"/>
      <c r="N247"/>
      <c r="P247"/>
      <c r="R247"/>
      <c r="T247"/>
      <c r="U247" s="1"/>
      <c r="V247"/>
      <c r="W247" s="1"/>
      <c r="X247"/>
      <c r="Y247" s="1"/>
      <c r="Z247"/>
      <c r="AA247" s="1"/>
      <c r="AB247"/>
      <c r="AD247"/>
      <c r="AP247"/>
      <c r="AR247"/>
    </row>
    <row r="248" spans="5:44" ht="7.35" customHeight="1" x14ac:dyDescent="0.25">
      <c r="E248" s="1"/>
      <c r="F248"/>
      <c r="G248" s="1"/>
      <c r="H248"/>
      <c r="J248"/>
      <c r="L248"/>
      <c r="N248"/>
      <c r="P248"/>
      <c r="R248"/>
      <c r="T248"/>
      <c r="U248" s="1"/>
      <c r="V248"/>
      <c r="W248" s="1"/>
      <c r="X248"/>
      <c r="Y248" s="1"/>
      <c r="Z248"/>
      <c r="AA248" s="1"/>
      <c r="AB248"/>
      <c r="AD248"/>
      <c r="AP248"/>
      <c r="AR248"/>
    </row>
    <row r="249" spans="5:44" ht="7.35" customHeight="1" x14ac:dyDescent="0.25">
      <c r="E249" s="1"/>
      <c r="F249"/>
      <c r="G249" s="1"/>
      <c r="H249"/>
      <c r="J249"/>
      <c r="L249"/>
      <c r="N249"/>
      <c r="P249"/>
      <c r="R249"/>
      <c r="T249"/>
      <c r="U249" s="1"/>
      <c r="V249"/>
      <c r="W249" s="1"/>
      <c r="X249"/>
      <c r="Y249" s="1"/>
      <c r="Z249"/>
      <c r="AA249" s="1"/>
      <c r="AB249"/>
      <c r="AD249"/>
      <c r="AP249"/>
      <c r="AR249"/>
    </row>
    <row r="250" spans="5:44" ht="7.35" customHeight="1" x14ac:dyDescent="0.25">
      <c r="E250" s="1"/>
      <c r="F250"/>
      <c r="G250" s="1"/>
      <c r="H250"/>
      <c r="J250"/>
      <c r="L250"/>
      <c r="N250"/>
      <c r="P250"/>
      <c r="R250"/>
      <c r="T250"/>
      <c r="U250" s="1"/>
      <c r="V250"/>
      <c r="W250" s="1"/>
      <c r="X250"/>
      <c r="Y250" s="1"/>
      <c r="Z250"/>
      <c r="AA250" s="1"/>
      <c r="AB250"/>
      <c r="AD250"/>
      <c r="AP250"/>
      <c r="AR250"/>
    </row>
    <row r="251" spans="5:44" ht="7.35" customHeight="1" x14ac:dyDescent="0.25">
      <c r="E251" s="1"/>
      <c r="F251"/>
      <c r="G251" s="1"/>
      <c r="H251"/>
      <c r="J251"/>
      <c r="L251"/>
      <c r="N251"/>
      <c r="P251"/>
      <c r="R251"/>
      <c r="T251"/>
      <c r="U251" s="1"/>
      <c r="V251"/>
      <c r="W251" s="1"/>
      <c r="X251"/>
      <c r="Y251" s="1"/>
      <c r="Z251"/>
      <c r="AA251" s="1"/>
      <c r="AB251"/>
      <c r="AD251"/>
      <c r="AP251"/>
      <c r="AR251"/>
    </row>
    <row r="252" spans="5:44" ht="7.35" customHeight="1" x14ac:dyDescent="0.25">
      <c r="E252" s="1"/>
      <c r="F252"/>
      <c r="G252" s="1"/>
      <c r="H252"/>
      <c r="J252"/>
      <c r="L252"/>
      <c r="N252"/>
      <c r="P252"/>
      <c r="R252"/>
      <c r="T252"/>
      <c r="U252" s="1"/>
      <c r="V252"/>
      <c r="W252" s="1"/>
      <c r="X252"/>
      <c r="Y252" s="1"/>
      <c r="Z252"/>
      <c r="AA252" s="1"/>
      <c r="AB252"/>
      <c r="AD252"/>
      <c r="AP252"/>
      <c r="AR252"/>
    </row>
    <row r="253" spans="5:44" ht="7.35" customHeight="1" x14ac:dyDescent="0.25">
      <c r="E253" s="1"/>
      <c r="F253"/>
      <c r="G253" s="1"/>
      <c r="H253"/>
      <c r="J253"/>
      <c r="L253"/>
      <c r="N253"/>
      <c r="P253"/>
      <c r="R253"/>
      <c r="T253"/>
      <c r="U253" s="1"/>
      <c r="V253"/>
      <c r="W253" s="1"/>
      <c r="X253"/>
      <c r="Y253" s="1"/>
      <c r="Z253"/>
      <c r="AA253" s="1"/>
      <c r="AB253"/>
      <c r="AD253"/>
      <c r="AP253"/>
      <c r="AR253"/>
    </row>
    <row r="254" spans="5:44" ht="7.35" customHeight="1" x14ac:dyDescent="0.25">
      <c r="E254" s="1"/>
      <c r="F254"/>
      <c r="G254" s="1"/>
      <c r="H254"/>
      <c r="J254"/>
      <c r="L254"/>
      <c r="N254"/>
      <c r="P254"/>
      <c r="R254"/>
      <c r="T254"/>
      <c r="U254" s="1"/>
      <c r="V254"/>
      <c r="W254" s="1"/>
      <c r="X254"/>
      <c r="Y254" s="1"/>
      <c r="Z254"/>
      <c r="AA254" s="1"/>
      <c r="AB254"/>
      <c r="AD254"/>
      <c r="AP254"/>
      <c r="AR254"/>
    </row>
    <row r="255" spans="5:44" ht="7.35" customHeight="1" x14ac:dyDescent="0.25">
      <c r="E255" s="1"/>
      <c r="F255"/>
      <c r="G255" s="1"/>
      <c r="H255"/>
      <c r="J255"/>
      <c r="L255"/>
      <c r="N255"/>
      <c r="P255"/>
      <c r="R255"/>
      <c r="T255"/>
      <c r="U255" s="1"/>
      <c r="V255"/>
      <c r="W255" s="1"/>
      <c r="X255"/>
      <c r="Y255" s="1"/>
      <c r="Z255"/>
      <c r="AA255" s="1"/>
      <c r="AB255"/>
      <c r="AD255"/>
      <c r="AP255"/>
      <c r="AR255"/>
    </row>
    <row r="256" spans="5:44" ht="7.35" customHeight="1" x14ac:dyDescent="0.25">
      <c r="E256" s="1"/>
      <c r="F256"/>
      <c r="G256" s="1"/>
      <c r="H256"/>
      <c r="J256"/>
      <c r="L256"/>
      <c r="N256"/>
      <c r="P256"/>
      <c r="R256"/>
      <c r="T256"/>
      <c r="U256" s="1"/>
      <c r="V256"/>
      <c r="W256" s="1"/>
      <c r="X256"/>
      <c r="Y256" s="1"/>
      <c r="Z256"/>
      <c r="AA256" s="1"/>
      <c r="AB256"/>
      <c r="AD256"/>
      <c r="AP256"/>
      <c r="AR256"/>
    </row>
    <row r="257" spans="5:44" ht="7.35" customHeight="1" x14ac:dyDescent="0.25">
      <c r="E257" s="1"/>
      <c r="F257"/>
      <c r="G257" s="1"/>
      <c r="H257"/>
      <c r="J257"/>
      <c r="L257"/>
      <c r="N257"/>
      <c r="P257"/>
      <c r="R257"/>
      <c r="T257"/>
      <c r="U257" s="1"/>
      <c r="V257"/>
      <c r="W257" s="1"/>
      <c r="X257"/>
      <c r="Y257" s="1"/>
      <c r="Z257"/>
      <c r="AA257" s="1"/>
      <c r="AB257"/>
      <c r="AD257"/>
      <c r="AP257"/>
      <c r="AR257"/>
    </row>
    <row r="258" spans="5:44" ht="7.35" customHeight="1" x14ac:dyDescent="0.25">
      <c r="E258" s="1"/>
      <c r="F258"/>
      <c r="G258" s="1"/>
      <c r="H258"/>
      <c r="J258"/>
      <c r="L258"/>
      <c r="N258"/>
      <c r="P258"/>
      <c r="R258"/>
      <c r="T258"/>
      <c r="U258" s="1"/>
      <c r="V258"/>
      <c r="W258" s="1"/>
      <c r="X258"/>
      <c r="Y258" s="1"/>
      <c r="Z258"/>
      <c r="AA258" s="1"/>
      <c r="AB258"/>
      <c r="AD258"/>
      <c r="AP258"/>
      <c r="AR258"/>
    </row>
    <row r="259" spans="5:44" ht="7.35" customHeight="1" x14ac:dyDescent="0.25">
      <c r="E259" s="1"/>
      <c r="F259"/>
      <c r="G259" s="1"/>
      <c r="H259"/>
      <c r="J259"/>
      <c r="L259"/>
      <c r="N259"/>
      <c r="P259"/>
      <c r="R259"/>
      <c r="T259"/>
      <c r="U259" s="1"/>
      <c r="V259"/>
      <c r="W259" s="1"/>
      <c r="X259"/>
      <c r="Y259" s="1"/>
      <c r="Z259"/>
      <c r="AA259" s="1"/>
      <c r="AB259"/>
      <c r="AD259"/>
      <c r="AP259"/>
      <c r="AR259"/>
    </row>
    <row r="260" spans="5:44" ht="7.35" customHeight="1" x14ac:dyDescent="0.25">
      <c r="E260" s="1"/>
      <c r="F260"/>
      <c r="G260" s="1"/>
      <c r="H260"/>
      <c r="J260"/>
      <c r="L260"/>
      <c r="N260"/>
      <c r="P260"/>
      <c r="R260"/>
      <c r="T260"/>
      <c r="U260" s="1"/>
      <c r="V260"/>
      <c r="W260" s="1"/>
      <c r="X260"/>
      <c r="Y260" s="1"/>
      <c r="Z260"/>
      <c r="AA260" s="1"/>
      <c r="AB260"/>
      <c r="AD260"/>
      <c r="AP260"/>
      <c r="AR260"/>
    </row>
    <row r="261" spans="5:44" ht="7.35" customHeight="1" x14ac:dyDescent="0.25">
      <c r="E261" s="1"/>
      <c r="F261"/>
      <c r="G261" s="1"/>
      <c r="H261"/>
      <c r="J261"/>
      <c r="L261"/>
      <c r="N261"/>
      <c r="P261"/>
      <c r="R261"/>
      <c r="T261"/>
      <c r="U261" s="1"/>
      <c r="V261"/>
      <c r="W261" s="1"/>
      <c r="X261"/>
      <c r="Y261" s="1"/>
      <c r="Z261"/>
      <c r="AA261" s="1"/>
      <c r="AB261"/>
      <c r="AD261"/>
      <c r="AP261"/>
      <c r="AR261"/>
    </row>
    <row r="262" spans="5:44" ht="7.35" customHeight="1" x14ac:dyDescent="0.25">
      <c r="J262"/>
      <c r="L262"/>
      <c r="N262"/>
      <c r="P262"/>
      <c r="R262"/>
      <c r="T262"/>
      <c r="U262" s="1"/>
      <c r="V262"/>
      <c r="W262" s="1"/>
      <c r="X262"/>
      <c r="Y262" s="1"/>
      <c r="Z262"/>
      <c r="AA262" s="1"/>
      <c r="AB262"/>
      <c r="AD262"/>
      <c r="AP262"/>
      <c r="AR262"/>
    </row>
    <row r="263" spans="5:44" ht="7.35" customHeight="1" x14ac:dyDescent="0.25">
      <c r="J263"/>
      <c r="L263"/>
      <c r="N263"/>
      <c r="P263"/>
      <c r="R263"/>
      <c r="T263"/>
      <c r="U263" s="1"/>
      <c r="V263"/>
      <c r="W263" s="1"/>
      <c r="X263"/>
      <c r="Y263" s="1"/>
      <c r="Z263"/>
      <c r="AA263" s="1"/>
      <c r="AB263"/>
      <c r="AD263"/>
      <c r="AP263"/>
      <c r="AR263"/>
    </row>
    <row r="264" spans="5:44" ht="7.35" customHeight="1" x14ac:dyDescent="0.25">
      <c r="J264"/>
      <c r="L264"/>
      <c r="N264"/>
      <c r="P264"/>
      <c r="R264"/>
      <c r="T264"/>
      <c r="U264" s="1"/>
      <c r="V264"/>
      <c r="W264" s="1"/>
      <c r="X264"/>
      <c r="Y264" s="1"/>
      <c r="Z264"/>
      <c r="AA264" s="1"/>
      <c r="AB264"/>
      <c r="AD264"/>
      <c r="AP264"/>
      <c r="AR264"/>
    </row>
    <row r="265" spans="5:44" ht="7.35" customHeight="1" x14ac:dyDescent="0.25">
      <c r="J265"/>
      <c r="L265"/>
      <c r="N265"/>
      <c r="P265"/>
      <c r="R265"/>
      <c r="T265"/>
      <c r="U265" s="1"/>
      <c r="V265"/>
      <c r="W265" s="1"/>
      <c r="X265"/>
      <c r="Y265" s="1"/>
      <c r="Z265"/>
      <c r="AA265" s="1"/>
      <c r="AB265"/>
      <c r="AD265"/>
      <c r="AP265"/>
      <c r="AR265"/>
    </row>
    <row r="266" spans="5:44" ht="7.35" customHeight="1" x14ac:dyDescent="0.25">
      <c r="J266"/>
      <c r="L266"/>
      <c r="N266"/>
      <c r="P266"/>
      <c r="R266"/>
      <c r="T266"/>
      <c r="U266" s="1"/>
      <c r="V266"/>
      <c r="W266" s="1"/>
      <c r="X266"/>
      <c r="Y266" s="1"/>
      <c r="Z266"/>
      <c r="AA266" s="1"/>
      <c r="AB266"/>
      <c r="AD266"/>
      <c r="AP266"/>
      <c r="AR266"/>
    </row>
    <row r="267" spans="5:44" ht="7.35" customHeight="1" x14ac:dyDescent="0.25">
      <c r="J267"/>
      <c r="L267"/>
      <c r="N267"/>
      <c r="P267"/>
      <c r="R267"/>
      <c r="T267"/>
      <c r="U267" s="1"/>
      <c r="V267"/>
      <c r="W267" s="1"/>
      <c r="X267"/>
      <c r="Y267" s="1"/>
      <c r="Z267"/>
      <c r="AA267" s="1"/>
      <c r="AB267"/>
      <c r="AD267"/>
      <c r="AP267"/>
      <c r="AR267"/>
    </row>
    <row r="268" spans="5:44" ht="7.35" customHeight="1" x14ac:dyDescent="0.25">
      <c r="J268"/>
      <c r="L268"/>
      <c r="N268"/>
      <c r="P268"/>
      <c r="R268"/>
      <c r="T268"/>
      <c r="U268" s="1"/>
      <c r="V268"/>
      <c r="W268" s="1"/>
      <c r="X268"/>
      <c r="Y268" s="1"/>
      <c r="Z268"/>
      <c r="AA268" s="1"/>
      <c r="AB268"/>
      <c r="AD268"/>
      <c r="AP268"/>
      <c r="AR268"/>
    </row>
    <row r="269" spans="5:44" ht="7.35" customHeight="1" x14ac:dyDescent="0.25">
      <c r="J269"/>
      <c r="L269"/>
      <c r="N269"/>
      <c r="P269"/>
      <c r="R269"/>
      <c r="T269"/>
      <c r="U269" s="1"/>
      <c r="V269"/>
      <c r="W269" s="1"/>
      <c r="X269"/>
      <c r="Y269" s="1"/>
      <c r="Z269"/>
      <c r="AA269" s="1"/>
      <c r="AB269"/>
      <c r="AD269"/>
      <c r="AP269"/>
      <c r="AR269"/>
    </row>
    <row r="270" spans="5:44" ht="7.35" customHeight="1" x14ac:dyDescent="0.25">
      <c r="J270"/>
      <c r="L270"/>
      <c r="N270"/>
      <c r="P270"/>
      <c r="R270"/>
      <c r="T270"/>
      <c r="U270" s="1"/>
      <c r="V270"/>
      <c r="W270" s="1"/>
      <c r="X270"/>
      <c r="Y270" s="1"/>
      <c r="Z270"/>
      <c r="AA270" s="1"/>
      <c r="AB270"/>
      <c r="AD270"/>
      <c r="AP270"/>
      <c r="AR270"/>
    </row>
    <row r="271" spans="5:44" ht="7.35" customHeight="1" x14ac:dyDescent="0.25">
      <c r="J271"/>
      <c r="L271"/>
      <c r="N271"/>
      <c r="P271"/>
      <c r="R271"/>
      <c r="T271"/>
      <c r="U271" s="1"/>
      <c r="V271"/>
      <c r="W271" s="1"/>
      <c r="X271"/>
      <c r="Y271" s="1"/>
      <c r="Z271"/>
      <c r="AA271" s="1"/>
      <c r="AB271"/>
      <c r="AD271"/>
      <c r="AP271"/>
      <c r="AR271"/>
    </row>
    <row r="272" spans="5:44" ht="7.35" customHeight="1" x14ac:dyDescent="0.25">
      <c r="J272"/>
      <c r="L272"/>
      <c r="N272"/>
      <c r="P272"/>
      <c r="R272"/>
      <c r="T272"/>
      <c r="U272" s="1"/>
      <c r="V272"/>
      <c r="W272" s="1"/>
      <c r="X272"/>
      <c r="Y272" s="1"/>
      <c r="Z272"/>
      <c r="AA272" s="1"/>
      <c r="AB272"/>
      <c r="AD272"/>
      <c r="AP272"/>
      <c r="AR272"/>
    </row>
    <row r="273" spans="10:44" ht="7.35" customHeight="1" x14ac:dyDescent="0.25">
      <c r="J273"/>
      <c r="L273"/>
      <c r="N273"/>
      <c r="P273"/>
      <c r="R273"/>
      <c r="T273"/>
      <c r="U273" s="1"/>
      <c r="V273"/>
      <c r="W273" s="1"/>
      <c r="X273"/>
      <c r="Y273" s="1"/>
      <c r="Z273"/>
      <c r="AA273" s="1"/>
      <c r="AB273"/>
      <c r="AD273"/>
      <c r="AP273"/>
      <c r="AR273"/>
    </row>
    <row r="274" spans="10:44" ht="7.35" customHeight="1" x14ac:dyDescent="0.25">
      <c r="J274"/>
      <c r="L274"/>
      <c r="N274"/>
      <c r="P274"/>
      <c r="R274"/>
      <c r="T274"/>
      <c r="U274" s="1"/>
      <c r="V274"/>
      <c r="W274" s="1"/>
      <c r="X274"/>
      <c r="Y274" s="1"/>
      <c r="Z274"/>
      <c r="AA274" s="1"/>
      <c r="AB274"/>
      <c r="AD274"/>
      <c r="AP274"/>
      <c r="AR274"/>
    </row>
    <row r="275" spans="10:44" ht="7.35" customHeight="1" x14ac:dyDescent="0.25">
      <c r="J275"/>
      <c r="L275"/>
      <c r="N275"/>
      <c r="P275"/>
      <c r="R275"/>
      <c r="T275"/>
      <c r="U275" s="1"/>
      <c r="V275"/>
      <c r="W275" s="1"/>
      <c r="X275"/>
      <c r="Y275" s="1"/>
      <c r="Z275"/>
      <c r="AA275" s="1"/>
      <c r="AB275"/>
      <c r="AD275"/>
      <c r="AP275"/>
      <c r="AR275"/>
    </row>
    <row r="276" spans="10:44" ht="7.35" customHeight="1" x14ac:dyDescent="0.25">
      <c r="J276"/>
      <c r="L276"/>
      <c r="N276"/>
      <c r="P276"/>
      <c r="R276"/>
      <c r="T276"/>
      <c r="U276" s="1"/>
      <c r="V276"/>
      <c r="W276" s="1"/>
      <c r="X276"/>
      <c r="Y276" s="1"/>
      <c r="Z276"/>
      <c r="AA276" s="1"/>
      <c r="AB276"/>
      <c r="AD276"/>
      <c r="AP276"/>
      <c r="AR276"/>
    </row>
    <row r="277" spans="10:44" ht="7.35" customHeight="1" x14ac:dyDescent="0.25">
      <c r="J277"/>
      <c r="L277"/>
      <c r="N277"/>
      <c r="P277"/>
      <c r="R277"/>
      <c r="T277"/>
      <c r="U277" s="1"/>
      <c r="V277"/>
      <c r="W277" s="1"/>
      <c r="X277"/>
      <c r="Y277" s="1"/>
      <c r="Z277"/>
      <c r="AA277" s="1"/>
      <c r="AB277"/>
      <c r="AD277"/>
      <c r="AP277"/>
      <c r="AR277"/>
    </row>
    <row r="278" spans="10:44" ht="7.35" customHeight="1" x14ac:dyDescent="0.25">
      <c r="J278"/>
      <c r="L278"/>
      <c r="N278"/>
      <c r="P278"/>
      <c r="R278"/>
      <c r="T278"/>
      <c r="U278" s="1"/>
      <c r="V278"/>
      <c r="W278" s="1"/>
      <c r="X278"/>
      <c r="Y278" s="1"/>
      <c r="Z278"/>
      <c r="AA278" s="1"/>
      <c r="AB278"/>
      <c r="AD278"/>
      <c r="AP278"/>
      <c r="AR278"/>
    </row>
    <row r="279" spans="10:44" ht="7.35" customHeight="1" x14ac:dyDescent="0.25">
      <c r="J279"/>
      <c r="L279"/>
      <c r="N279"/>
      <c r="P279"/>
      <c r="R279"/>
      <c r="T279"/>
      <c r="U279" s="1"/>
      <c r="V279"/>
      <c r="W279" s="1"/>
      <c r="X279"/>
      <c r="Y279" s="1"/>
      <c r="Z279"/>
      <c r="AA279" s="1"/>
      <c r="AB279"/>
      <c r="AD279"/>
      <c r="AP279"/>
      <c r="AR279"/>
    </row>
    <row r="280" spans="10:44" ht="7.35" customHeight="1" x14ac:dyDescent="0.25">
      <c r="J280"/>
      <c r="L280"/>
      <c r="N280"/>
      <c r="P280"/>
      <c r="R280"/>
      <c r="T280"/>
      <c r="U280" s="1"/>
      <c r="V280"/>
      <c r="W280" s="1"/>
      <c r="X280"/>
      <c r="Y280" s="1"/>
      <c r="Z280"/>
      <c r="AA280" s="1"/>
      <c r="AB280"/>
      <c r="AD280"/>
      <c r="AP280"/>
    </row>
    <row r="281" spans="10:44" ht="7.35" customHeight="1" x14ac:dyDescent="0.25">
      <c r="J281"/>
      <c r="L281"/>
      <c r="N281"/>
      <c r="P281"/>
      <c r="R281"/>
      <c r="T281"/>
      <c r="U281" s="1"/>
      <c r="V281"/>
      <c r="W281" s="1"/>
      <c r="X281"/>
      <c r="Y281" s="1"/>
      <c r="Z281"/>
      <c r="AA281" s="1"/>
      <c r="AB281"/>
      <c r="AD281"/>
      <c r="AP281"/>
    </row>
    <row r="282" spans="10:44" ht="7.35" customHeight="1" x14ac:dyDescent="0.25">
      <c r="J282"/>
      <c r="L282"/>
      <c r="P282"/>
      <c r="R282"/>
      <c r="T282"/>
      <c r="U282" s="1"/>
      <c r="V282"/>
      <c r="W282" s="1"/>
      <c r="X282"/>
      <c r="Y282" s="1"/>
      <c r="Z282"/>
      <c r="AA282" s="1"/>
      <c r="AB282"/>
      <c r="AP282"/>
    </row>
    <row r="283" spans="10:44" ht="7.35" customHeight="1" x14ac:dyDescent="0.25">
      <c r="L283"/>
      <c r="P283"/>
      <c r="R283"/>
      <c r="T283"/>
      <c r="U283" s="1"/>
      <c r="V283"/>
      <c r="W283" s="1"/>
      <c r="X283"/>
      <c r="Y283" s="1"/>
      <c r="Z283"/>
      <c r="AA283" s="1"/>
      <c r="AB283"/>
      <c r="AP283"/>
    </row>
    <row r="284" spans="10:44" ht="7.35" customHeight="1" x14ac:dyDescent="0.25">
      <c r="P284"/>
      <c r="R284"/>
      <c r="T284"/>
      <c r="U284" s="1"/>
      <c r="V284"/>
      <c r="W284" s="1"/>
      <c r="X284"/>
      <c r="Y284" s="1"/>
      <c r="Z284"/>
      <c r="AA284" s="1"/>
      <c r="AB284"/>
    </row>
    <row r="285" spans="10:44" ht="7.35" customHeight="1" x14ac:dyDescent="0.25">
      <c r="P285"/>
      <c r="R285"/>
      <c r="T285"/>
      <c r="U285" s="1"/>
      <c r="V285"/>
      <c r="W285" s="1"/>
      <c r="X285"/>
      <c r="Y285" s="1"/>
      <c r="Z285"/>
      <c r="AA285" s="1"/>
      <c r="AB285"/>
    </row>
    <row r="286" spans="10:44" ht="7.35" customHeight="1" x14ac:dyDescent="0.25">
      <c r="T286"/>
      <c r="U286" s="1"/>
      <c r="V286"/>
      <c r="W286" s="1"/>
      <c r="X286"/>
      <c r="Y286" s="1"/>
      <c r="Z286"/>
      <c r="AA286" s="1"/>
      <c r="AB286"/>
    </row>
    <row r="287" spans="10:44" ht="7.35" customHeight="1" x14ac:dyDescent="0.25">
      <c r="T287"/>
      <c r="AA287" s="1"/>
      <c r="AB287"/>
    </row>
    <row r="288" spans="10:44" ht="7.35" customHeight="1" x14ac:dyDescent="0.25">
      <c r="T288"/>
      <c r="AA288" s="1"/>
      <c r="AB288"/>
    </row>
    <row r="289" spans="27:28" ht="7.35" customHeight="1" x14ac:dyDescent="0.25">
      <c r="AA289" s="1"/>
      <c r="AB289"/>
    </row>
  </sheetData>
  <sortState xmlns:xlrd2="http://schemas.microsoft.com/office/spreadsheetml/2017/richdata2" ref="S2:T293">
    <sortCondition ref="S1:S293"/>
  </sortState>
  <phoneticPr fontId="1" type="noConversion"/>
  <conditionalFormatting sqref="A1:XFD1048576">
    <cfRule type="duplicateValues" dxfId="1" priority="1"/>
  </conditionalFormatting>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B955-C978-4740-9ABF-09D323578570}">
  <dimension ref="A1:D21"/>
  <sheetViews>
    <sheetView zoomScale="190" zoomScaleNormal="190" workbookViewId="0">
      <pane ySplit="1" topLeftCell="A2" activePane="bottomLeft" state="frozen"/>
      <selection pane="bottomLeft" activeCell="H22" sqref="H22"/>
    </sheetView>
  </sheetViews>
  <sheetFormatPr defaultRowHeight="9.6" customHeight="1" x14ac:dyDescent="0.25"/>
  <cols>
    <col min="1" max="1" width="4.5703125" bestFit="1" customWidth="1"/>
    <col min="2" max="2" width="8.42578125" style="11" customWidth="1"/>
    <col min="3" max="4" width="8.85546875" style="11" customWidth="1"/>
    <col min="5" max="47" width="3.42578125" customWidth="1"/>
  </cols>
  <sheetData>
    <row r="1" spans="1:4" ht="24" customHeight="1" x14ac:dyDescent="0.25">
      <c r="A1" s="6" t="s">
        <v>399</v>
      </c>
      <c r="B1" s="8" t="s">
        <v>411</v>
      </c>
      <c r="C1" s="8" t="s">
        <v>409</v>
      </c>
      <c r="D1" s="8" t="s">
        <v>424</v>
      </c>
    </row>
    <row r="2" spans="1:4" ht="8.4499999999999993" customHeight="1" x14ac:dyDescent="0.25">
      <c r="A2" s="5" t="s">
        <v>410</v>
      </c>
      <c r="B2" s="9">
        <v>-1713.7985000000001</v>
      </c>
      <c r="C2" s="9">
        <v>3523.4690999999998</v>
      </c>
      <c r="D2" s="9" t="s">
        <v>412</v>
      </c>
    </row>
    <row r="3" spans="1:4" ht="8.4499999999999993" customHeight="1" x14ac:dyDescent="0.25">
      <c r="A3" s="3" t="s">
        <v>400</v>
      </c>
      <c r="B3" s="9" t="s">
        <v>425</v>
      </c>
      <c r="C3" s="9" t="s">
        <v>438</v>
      </c>
      <c r="D3" s="9" t="s">
        <v>412</v>
      </c>
    </row>
    <row r="4" spans="1:4" ht="8.4499999999999993" customHeight="1" x14ac:dyDescent="0.25">
      <c r="A4" s="3" t="s">
        <v>401</v>
      </c>
      <c r="B4" s="9" t="s">
        <v>426</v>
      </c>
      <c r="C4" s="9" t="s">
        <v>439</v>
      </c>
      <c r="D4" s="9" t="s">
        <v>412</v>
      </c>
    </row>
    <row r="5" spans="1:4" ht="8.4499999999999993" customHeight="1" x14ac:dyDescent="0.25">
      <c r="A5" s="3" t="s">
        <v>402</v>
      </c>
      <c r="B5" s="9" t="s">
        <v>427</v>
      </c>
      <c r="C5" s="9" t="s">
        <v>440</v>
      </c>
      <c r="D5" s="9" t="s">
        <v>412</v>
      </c>
    </row>
    <row r="6" spans="1:4" ht="8.4499999999999993" customHeight="1" x14ac:dyDescent="0.25">
      <c r="A6" s="3" t="s">
        <v>403</v>
      </c>
      <c r="B6" s="9" t="s">
        <v>428</v>
      </c>
      <c r="C6" s="9" t="s">
        <v>441</v>
      </c>
      <c r="D6" s="9" t="s">
        <v>412</v>
      </c>
    </row>
    <row r="7" spans="1:4" ht="8.4499999999999993" customHeight="1" x14ac:dyDescent="0.25">
      <c r="A7" s="3" t="s">
        <v>414</v>
      </c>
      <c r="B7" s="9" t="s">
        <v>429</v>
      </c>
      <c r="C7" s="9" t="s">
        <v>442</v>
      </c>
      <c r="D7" s="9" t="s">
        <v>412</v>
      </c>
    </row>
    <row r="8" spans="1:4" ht="8.4499999999999993" customHeight="1" x14ac:dyDescent="0.25">
      <c r="A8" s="3" t="s">
        <v>415</v>
      </c>
      <c r="B8" s="9" t="s">
        <v>429</v>
      </c>
      <c r="C8" s="9" t="s">
        <v>442</v>
      </c>
      <c r="D8" s="9" t="s">
        <v>412</v>
      </c>
    </row>
    <row r="9" spans="1:4" ht="8.4499999999999993" customHeight="1" x14ac:dyDescent="0.25">
      <c r="A9" s="3" t="s">
        <v>413</v>
      </c>
      <c r="B9" s="9" t="s">
        <v>430</v>
      </c>
      <c r="C9" s="9" t="s">
        <v>443</v>
      </c>
      <c r="D9" s="9" t="s">
        <v>412</v>
      </c>
    </row>
    <row r="10" spans="1:4" ht="8.4499999999999993" customHeight="1" x14ac:dyDescent="0.25">
      <c r="A10" s="3" t="s">
        <v>416</v>
      </c>
      <c r="B10" s="9" t="s">
        <v>431</v>
      </c>
      <c r="C10" s="9" t="s">
        <v>444</v>
      </c>
      <c r="D10" s="9" t="s">
        <v>412</v>
      </c>
    </row>
    <row r="11" spans="1:4" ht="8.4499999999999993" customHeight="1" x14ac:dyDescent="0.25">
      <c r="A11" s="3" t="s">
        <v>417</v>
      </c>
      <c r="B11" s="9" t="s">
        <v>431</v>
      </c>
      <c r="C11" s="9" t="s">
        <v>444</v>
      </c>
      <c r="D11" s="9" t="s">
        <v>412</v>
      </c>
    </row>
    <row r="12" spans="1:4" ht="8.4499999999999993" customHeight="1" x14ac:dyDescent="0.25">
      <c r="A12" s="3" t="s">
        <v>404</v>
      </c>
      <c r="B12" s="9" t="s">
        <v>432</v>
      </c>
      <c r="C12" s="9" t="s">
        <v>445</v>
      </c>
      <c r="D12" s="9" t="s">
        <v>412</v>
      </c>
    </row>
    <row r="13" spans="1:4" ht="8.4499999999999993" customHeight="1" x14ac:dyDescent="0.25">
      <c r="A13" s="3" t="s">
        <v>405</v>
      </c>
      <c r="B13" s="9" t="s">
        <v>433</v>
      </c>
      <c r="C13" s="9" t="s">
        <v>446</v>
      </c>
      <c r="D13" s="9" t="s">
        <v>412</v>
      </c>
    </row>
    <row r="14" spans="1:4" ht="8.4499999999999993" customHeight="1" x14ac:dyDescent="0.25">
      <c r="A14" s="3" t="s">
        <v>418</v>
      </c>
      <c r="B14" s="9" t="s">
        <v>434</v>
      </c>
      <c r="C14" s="9" t="s">
        <v>447</v>
      </c>
      <c r="D14" s="9" t="s">
        <v>412</v>
      </c>
    </row>
    <row r="15" spans="1:4" ht="8.4499999999999993" customHeight="1" x14ac:dyDescent="0.25">
      <c r="A15" s="3" t="s">
        <v>419</v>
      </c>
      <c r="B15" s="9" t="s">
        <v>434</v>
      </c>
      <c r="C15" s="9" t="s">
        <v>447</v>
      </c>
      <c r="D15" s="9" t="s">
        <v>412</v>
      </c>
    </row>
    <row r="16" spans="1:4" ht="8.4499999999999993" customHeight="1" x14ac:dyDescent="0.25">
      <c r="A16" s="3" t="s">
        <v>420</v>
      </c>
      <c r="B16" s="9" t="s">
        <v>435</v>
      </c>
      <c r="C16" s="9" t="s">
        <v>448</v>
      </c>
      <c r="D16" s="9" t="s">
        <v>412</v>
      </c>
    </row>
    <row r="17" spans="1:4" ht="8.4499999999999993" customHeight="1" x14ac:dyDescent="0.25">
      <c r="A17" s="3" t="s">
        <v>421</v>
      </c>
      <c r="B17" s="9" t="s">
        <v>435</v>
      </c>
      <c r="C17" s="9" t="s">
        <v>448</v>
      </c>
      <c r="D17" s="9" t="s">
        <v>412</v>
      </c>
    </row>
    <row r="18" spans="1:4" ht="8.4499999999999993" customHeight="1" x14ac:dyDescent="0.25">
      <c r="A18" s="3" t="s">
        <v>422</v>
      </c>
      <c r="B18" s="9" t="s">
        <v>436</v>
      </c>
      <c r="C18" s="9" t="s">
        <v>449</v>
      </c>
      <c r="D18" s="9" t="s">
        <v>412</v>
      </c>
    </row>
    <row r="19" spans="1:4" ht="8.4499999999999993" customHeight="1" x14ac:dyDescent="0.25">
      <c r="A19" s="3" t="s">
        <v>423</v>
      </c>
      <c r="B19" s="9" t="s">
        <v>436</v>
      </c>
      <c r="C19" s="9" t="s">
        <v>449</v>
      </c>
      <c r="D19" s="9" t="s">
        <v>412</v>
      </c>
    </row>
    <row r="20" spans="1:4" ht="8.4499999999999993" customHeight="1" x14ac:dyDescent="0.25">
      <c r="A20" s="3" t="s">
        <v>406</v>
      </c>
      <c r="B20" s="9" t="s">
        <v>437</v>
      </c>
      <c r="C20" s="9" t="s">
        <v>450</v>
      </c>
      <c r="D20" s="9" t="s">
        <v>412</v>
      </c>
    </row>
    <row r="21" spans="1:4" ht="8.4499999999999993" customHeight="1" x14ac:dyDescent="0.25">
      <c r="A21" s="3" t="s">
        <v>408</v>
      </c>
      <c r="B21" s="10">
        <v>442.87099999999998</v>
      </c>
      <c r="C21" s="10">
        <v>19.622</v>
      </c>
      <c r="D21" s="9" t="s">
        <v>412</v>
      </c>
    </row>
  </sheetData>
  <phoneticPr fontId="1" type="noConversion"/>
  <pageMargins left="0.511811024" right="0.511811024" top="0.78740157499999996" bottom="0.78740157499999996" header="0.31496062000000002" footer="0.31496062000000002"/>
  <ignoredErrors>
    <ignoredError sqref="B3:D20 D2 D2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2FFF-74FB-4C99-A84D-B76EE57D74CF}">
  <dimension ref="A1:Y297"/>
  <sheetViews>
    <sheetView zoomScale="205" zoomScaleNormal="205" workbookViewId="0">
      <pane ySplit="1" topLeftCell="A47" activePane="bottomLeft" state="frozen"/>
      <selection activeCell="B3" sqref="B3"/>
      <selection pane="bottomLeft" activeCell="B3" sqref="B3"/>
    </sheetView>
  </sheetViews>
  <sheetFormatPr defaultRowHeight="8.25" customHeight="1" x14ac:dyDescent="0.25"/>
  <cols>
    <col min="1" max="1" width="3.7109375" customWidth="1"/>
    <col min="2" max="2" width="8.5703125" bestFit="1" customWidth="1"/>
    <col min="3" max="3" width="2.85546875" style="1" customWidth="1"/>
    <col min="4" max="4" width="8.28515625" bestFit="1" customWidth="1"/>
    <col min="5" max="5" width="2.42578125" style="19" customWidth="1"/>
    <col min="6" max="6" width="4.85546875" style="19" bestFit="1" customWidth="1"/>
    <col min="7" max="7" width="2.42578125" style="19" customWidth="1"/>
    <col min="8" max="8" width="4.7109375" style="19" customWidth="1"/>
    <col min="9" max="9" width="2.42578125" style="19" customWidth="1"/>
    <col min="10" max="10" width="4" style="19" bestFit="1" customWidth="1"/>
    <col min="11" max="11" width="2.42578125" style="19" customWidth="1"/>
    <col min="12" max="12" width="3.85546875" style="19" bestFit="1" customWidth="1"/>
    <col min="13" max="13" width="2.42578125" style="20" customWidth="1"/>
    <col min="14" max="14" width="12.28515625" bestFit="1" customWidth="1"/>
    <col min="15" max="15" width="2.42578125" style="1" customWidth="1"/>
    <col min="16" max="16" width="16.5703125" customWidth="1"/>
    <col min="17" max="17" width="2.42578125" style="1" customWidth="1"/>
    <col min="18" max="18" width="12.28515625" bestFit="1" customWidth="1"/>
    <col min="19" max="19" width="2.42578125" style="1" customWidth="1"/>
    <col min="20" max="20" width="19" bestFit="1" customWidth="1"/>
    <col min="21" max="21" width="2.42578125" style="1" customWidth="1"/>
    <col min="22" max="22" width="5.140625" customWidth="1"/>
    <col min="23" max="23" width="18.5703125" customWidth="1"/>
    <col min="24" max="24" width="21.140625" customWidth="1"/>
    <col min="25" max="25" width="41.140625" customWidth="1"/>
  </cols>
  <sheetData>
    <row r="1" spans="1:25" ht="26.25" customHeight="1" x14ac:dyDescent="0.25">
      <c r="A1" s="15">
        <v>0</v>
      </c>
      <c r="B1" s="7" t="s">
        <v>31</v>
      </c>
      <c r="C1" s="16" t="s">
        <v>60</v>
      </c>
      <c r="D1" s="7" t="s">
        <v>37</v>
      </c>
      <c r="E1" s="16" t="s">
        <v>248</v>
      </c>
      <c r="F1" s="16" t="s">
        <v>504</v>
      </c>
      <c r="G1" s="16" t="s">
        <v>249</v>
      </c>
      <c r="H1" s="16" t="s">
        <v>504</v>
      </c>
      <c r="I1" s="16" t="s">
        <v>0</v>
      </c>
      <c r="J1" s="16" t="s">
        <v>504</v>
      </c>
      <c r="K1" s="16" t="s">
        <v>505</v>
      </c>
      <c r="L1" s="16" t="s">
        <v>504</v>
      </c>
      <c r="M1" s="16" t="s">
        <v>482</v>
      </c>
      <c r="N1" s="17" t="s">
        <v>57</v>
      </c>
      <c r="O1" s="16" t="s">
        <v>483</v>
      </c>
      <c r="P1" s="17" t="s">
        <v>58</v>
      </c>
      <c r="Q1" s="16" t="s">
        <v>484</v>
      </c>
      <c r="R1" s="17" t="s">
        <v>59</v>
      </c>
      <c r="S1" s="16" t="s">
        <v>485</v>
      </c>
      <c r="T1" s="17" t="s">
        <v>74</v>
      </c>
      <c r="U1" s="16" t="s">
        <v>486</v>
      </c>
      <c r="V1" s="21" t="s">
        <v>557</v>
      </c>
      <c r="W1" s="7" t="s">
        <v>93</v>
      </c>
      <c r="X1" s="7" t="s">
        <v>709</v>
      </c>
      <c r="Y1" s="7" t="s">
        <v>49</v>
      </c>
    </row>
    <row r="2" spans="1:25" ht="8.25" customHeight="1" x14ac:dyDescent="0.25">
      <c r="A2" s="13">
        <v>1</v>
      </c>
      <c r="B2" s="5" t="s">
        <v>451</v>
      </c>
      <c r="C2" s="12" t="s">
        <v>17</v>
      </c>
      <c r="D2" s="3" t="s">
        <v>480</v>
      </c>
      <c r="E2" s="12" t="s">
        <v>248</v>
      </c>
      <c r="F2" s="2" t="s">
        <v>2</v>
      </c>
      <c r="G2" s="12" t="s">
        <v>249</v>
      </c>
      <c r="H2" s="2" t="s">
        <v>2</v>
      </c>
      <c r="I2" s="12" t="s">
        <v>0</v>
      </c>
      <c r="J2" s="2" t="s">
        <v>2</v>
      </c>
      <c r="K2" s="12" t="s">
        <v>505</v>
      </c>
      <c r="L2" s="2" t="s">
        <v>2</v>
      </c>
      <c r="M2" s="12" t="s">
        <v>22</v>
      </c>
      <c r="N2" s="14" t="s">
        <v>487</v>
      </c>
      <c r="O2" s="12" t="s">
        <v>1</v>
      </c>
      <c r="P2" s="14" t="s">
        <v>360</v>
      </c>
      <c r="Q2" s="12" t="s">
        <v>2</v>
      </c>
      <c r="R2" s="14" t="s">
        <v>2</v>
      </c>
      <c r="S2" s="12" t="s">
        <v>2</v>
      </c>
      <c r="T2" s="14" t="s">
        <v>2</v>
      </c>
      <c r="U2" s="12" t="s">
        <v>314</v>
      </c>
      <c r="V2" s="4" t="s">
        <v>0</v>
      </c>
      <c r="W2" s="3" t="str">
        <f t="shared" ref="W2:W65" si="0">_xlfn.CONCAT(C2,IF(F2=".","",_xlfn.CONCAT("-",E2,F2)),IF(H2=".","",_xlfn.CONCAT("-",G2,H2)),IF(J2=".","",_xlfn.CONCAT("-",I2,J2)),IF(L2=".","",_xlfn.CONCAT("-",K2,L2)), IF(M2=".","",_xlfn.CONCAT("-",M2)),IF(O2=".","",_xlfn.CONCAT("-",O2)), IF(Q2=".","",_xlfn.CONCAT("-",Q2)), IF(S2=".","",_xlfn.CONCAT("-",S2)))</f>
        <v>VAS-CXA-PNE</v>
      </c>
      <c r="X2" s="3" t="str">
        <f t="shared" ref="X2:X65" si="1">_xlfn.CONCAT(W2,"-",A2)</f>
        <v>VAS-CXA-PNE-1</v>
      </c>
      <c r="Y2" s="3" t="str">
        <f>SUBSTITUTE(SUBSTITUTE(_xlfn.CONCAT(D2," .",F2," .",H2," .",J2," .",N2," .",P2," .",R2," .",T2,". .Localização: bloco"," .",V2)," ."," ")," .","")</f>
        <v>VasoSanitário com caixa acoplada para pessoa com necessidade especial. Localização: bloco A</v>
      </c>
    </row>
    <row r="3" spans="1:25" ht="8.25" customHeight="1" x14ac:dyDescent="0.25">
      <c r="A3" s="13">
        <v>2</v>
      </c>
      <c r="B3" s="5" t="s">
        <v>451</v>
      </c>
      <c r="C3" s="12" t="s">
        <v>17</v>
      </c>
      <c r="D3" s="3" t="s">
        <v>480</v>
      </c>
      <c r="E3" s="12" t="s">
        <v>248</v>
      </c>
      <c r="F3" s="2" t="s">
        <v>2</v>
      </c>
      <c r="G3" s="12" t="s">
        <v>249</v>
      </c>
      <c r="H3" s="2" t="s">
        <v>2</v>
      </c>
      <c r="I3" s="12" t="s">
        <v>0</v>
      </c>
      <c r="J3" s="2" t="s">
        <v>2</v>
      </c>
      <c r="K3" s="12" t="s">
        <v>505</v>
      </c>
      <c r="L3" s="2" t="s">
        <v>2</v>
      </c>
      <c r="M3" s="12" t="s">
        <v>23</v>
      </c>
      <c r="N3" s="14" t="s">
        <v>488</v>
      </c>
      <c r="O3" s="12" t="s">
        <v>2</v>
      </c>
      <c r="P3" s="14" t="s">
        <v>2</v>
      </c>
      <c r="Q3" s="12" t="s">
        <v>2</v>
      </c>
      <c r="R3" s="14" t="s">
        <v>2</v>
      </c>
      <c r="S3" s="12" t="s">
        <v>2</v>
      </c>
      <c r="T3" s="14" t="s">
        <v>2</v>
      </c>
      <c r="U3" s="12" t="s">
        <v>314</v>
      </c>
      <c r="V3" s="4" t="s">
        <v>0</v>
      </c>
      <c r="W3" s="3" t="str">
        <f t="shared" si="0"/>
        <v>VAS-VAL</v>
      </c>
      <c r="X3" s="3" t="str">
        <f t="shared" si="1"/>
        <v>VAS-VAL-2</v>
      </c>
      <c r="Y3" s="3" t="str">
        <f t="shared" ref="Y3:Y66" si="2">SUBSTITUTE(SUBSTITUTE(_xlfn.CONCAT(D3," .",F3," .",H3," .",J3," .",N3," .",P3," .",R3," .",T3,". .Localização: bloco"," .",V3)," ."," ")," .","")</f>
        <v>VasoSanitário de válvula. Localização: bloco A</v>
      </c>
    </row>
    <row r="4" spans="1:25" ht="8.25" customHeight="1" x14ac:dyDescent="0.25">
      <c r="A4" s="13">
        <v>3</v>
      </c>
      <c r="B4" s="5" t="s">
        <v>451</v>
      </c>
      <c r="C4" s="12" t="s">
        <v>17</v>
      </c>
      <c r="D4" s="3" t="s">
        <v>480</v>
      </c>
      <c r="E4" s="12" t="s">
        <v>248</v>
      </c>
      <c r="F4" s="2" t="s">
        <v>2</v>
      </c>
      <c r="G4" s="12" t="s">
        <v>249</v>
      </c>
      <c r="H4" s="2" t="s">
        <v>2</v>
      </c>
      <c r="I4" s="12" t="s">
        <v>0</v>
      </c>
      <c r="J4" s="2" t="s">
        <v>2</v>
      </c>
      <c r="K4" s="12" t="s">
        <v>505</v>
      </c>
      <c r="L4" s="2" t="s">
        <v>2</v>
      </c>
      <c r="M4" s="12" t="s">
        <v>92</v>
      </c>
      <c r="N4" s="14" t="s">
        <v>84</v>
      </c>
      <c r="O4" s="12" t="s">
        <v>2</v>
      </c>
      <c r="P4" s="14" t="s">
        <v>2</v>
      </c>
      <c r="Q4" s="12" t="s">
        <v>2</v>
      </c>
      <c r="R4" s="14" t="s">
        <v>2</v>
      </c>
      <c r="S4" s="12" t="s">
        <v>2</v>
      </c>
      <c r="T4" s="14" t="s">
        <v>2</v>
      </c>
      <c r="U4" s="12" t="s">
        <v>314</v>
      </c>
      <c r="V4" s="4" t="s">
        <v>0</v>
      </c>
      <c r="W4" s="3" t="str">
        <f t="shared" si="0"/>
        <v>VAS-CON</v>
      </c>
      <c r="X4" s="3" t="str">
        <f t="shared" si="1"/>
        <v>VAS-CON-3</v>
      </c>
      <c r="Y4" s="3" t="str">
        <f t="shared" si="2"/>
        <v>VasoSanitário convencional. Localização: bloco A</v>
      </c>
    </row>
    <row r="5" spans="1:25" ht="8.25" customHeight="1" x14ac:dyDescent="0.25">
      <c r="A5" s="13">
        <v>4</v>
      </c>
      <c r="B5" s="5" t="s">
        <v>451</v>
      </c>
      <c r="C5" s="12" t="s">
        <v>6</v>
      </c>
      <c r="D5" s="3" t="s">
        <v>3</v>
      </c>
      <c r="E5" s="12" t="s">
        <v>248</v>
      </c>
      <c r="F5" s="2" t="s">
        <v>2</v>
      </c>
      <c r="G5" s="12" t="s">
        <v>249</v>
      </c>
      <c r="H5" s="2" t="s">
        <v>2</v>
      </c>
      <c r="I5" s="12" t="s">
        <v>0</v>
      </c>
      <c r="J5" s="2" t="s">
        <v>2</v>
      </c>
      <c r="K5" s="12" t="s">
        <v>505</v>
      </c>
      <c r="L5" s="2" t="s">
        <v>2</v>
      </c>
      <c r="M5" s="12" t="s">
        <v>92</v>
      </c>
      <c r="N5" s="14" t="s">
        <v>84</v>
      </c>
      <c r="O5" s="12" t="s">
        <v>9</v>
      </c>
      <c r="P5" s="14" t="s">
        <v>82</v>
      </c>
      <c r="Q5" s="12" t="s">
        <v>2</v>
      </c>
      <c r="R5" s="14" t="s">
        <v>2</v>
      </c>
      <c r="S5" s="12" t="s">
        <v>2</v>
      </c>
      <c r="T5" s="14" t="s">
        <v>2</v>
      </c>
      <c r="U5" s="12" t="s">
        <v>314</v>
      </c>
      <c r="V5" s="4" t="s">
        <v>0</v>
      </c>
      <c r="W5" s="3" t="str">
        <f t="shared" si="0"/>
        <v>MIC-CON-ADU</v>
      </c>
      <c r="X5" s="3" t="str">
        <f t="shared" si="1"/>
        <v>MIC-CON-ADU-4</v>
      </c>
      <c r="Y5" s="3" t="str">
        <f t="shared" si="2"/>
        <v>Mictório convencional adulto. Localização: bloco A</v>
      </c>
    </row>
    <row r="6" spans="1:25" ht="8.25" customHeight="1" x14ac:dyDescent="0.25">
      <c r="A6" s="13">
        <v>5</v>
      </c>
      <c r="B6" s="5" t="s">
        <v>451</v>
      </c>
      <c r="C6" s="12" t="s">
        <v>6</v>
      </c>
      <c r="D6" s="3" t="s">
        <v>3</v>
      </c>
      <c r="E6" s="12" t="s">
        <v>248</v>
      </c>
      <c r="F6" s="2" t="s">
        <v>2</v>
      </c>
      <c r="G6" s="12" t="s">
        <v>249</v>
      </c>
      <c r="H6" s="2" t="s">
        <v>2</v>
      </c>
      <c r="I6" s="12" t="s">
        <v>0</v>
      </c>
      <c r="J6" s="2" t="s">
        <v>2</v>
      </c>
      <c r="K6" s="12" t="s">
        <v>505</v>
      </c>
      <c r="L6" s="2" t="s">
        <v>2</v>
      </c>
      <c r="M6" s="12" t="s">
        <v>92</v>
      </c>
      <c r="N6" s="14" t="s">
        <v>84</v>
      </c>
      <c r="O6" s="12" t="s">
        <v>10</v>
      </c>
      <c r="P6" s="14" t="s">
        <v>85</v>
      </c>
      <c r="Q6" s="12" t="s">
        <v>2</v>
      </c>
      <c r="R6" s="14" t="s">
        <v>2</v>
      </c>
      <c r="S6" s="12" t="s">
        <v>2</v>
      </c>
      <c r="T6" s="14" t="s">
        <v>2</v>
      </c>
      <c r="U6" s="12" t="s">
        <v>314</v>
      </c>
      <c r="V6" s="4" t="s">
        <v>0</v>
      </c>
      <c r="W6" s="3" t="str">
        <f t="shared" si="0"/>
        <v>MIC-CON-CRI</v>
      </c>
      <c r="X6" s="3" t="str">
        <f t="shared" si="1"/>
        <v>MIC-CON-CRI-5</v>
      </c>
      <c r="Y6" s="3" t="str">
        <f t="shared" si="2"/>
        <v>Mictório convencional crianças. Localização: bloco A</v>
      </c>
    </row>
    <row r="7" spans="1:25" ht="8.25" customHeight="1" x14ac:dyDescent="0.25">
      <c r="A7" s="13">
        <v>6</v>
      </c>
      <c r="B7" s="5" t="s">
        <v>451</v>
      </c>
      <c r="C7" s="12" t="s">
        <v>7</v>
      </c>
      <c r="D7" s="3" t="s">
        <v>4</v>
      </c>
      <c r="E7" s="12" t="s">
        <v>248</v>
      </c>
      <c r="F7" s="2" t="s">
        <v>2</v>
      </c>
      <c r="G7" s="12" t="s">
        <v>249</v>
      </c>
      <c r="H7" s="2" t="s">
        <v>2</v>
      </c>
      <c r="I7" s="12" t="s">
        <v>0</v>
      </c>
      <c r="J7" s="2" t="s">
        <v>2</v>
      </c>
      <c r="K7" s="12" t="s">
        <v>505</v>
      </c>
      <c r="L7" s="2" t="s">
        <v>2</v>
      </c>
      <c r="M7" s="12" t="s">
        <v>92</v>
      </c>
      <c r="N7" s="14" t="s">
        <v>84</v>
      </c>
      <c r="O7" s="12" t="s">
        <v>2</v>
      </c>
      <c r="P7" s="14" t="s">
        <v>2</v>
      </c>
      <c r="Q7" s="12" t="s">
        <v>2</v>
      </c>
      <c r="R7" s="14" t="s">
        <v>2</v>
      </c>
      <c r="S7" s="12" t="s">
        <v>2</v>
      </c>
      <c r="T7" s="14" t="s">
        <v>2</v>
      </c>
      <c r="U7" s="12" t="s">
        <v>314</v>
      </c>
      <c r="V7" s="4" t="s">
        <v>0</v>
      </c>
      <c r="W7" s="3" t="str">
        <f t="shared" si="0"/>
        <v>BID-CON</v>
      </c>
      <c r="X7" s="3" t="str">
        <f t="shared" si="1"/>
        <v>BID-CON-6</v>
      </c>
      <c r="Y7" s="3" t="str">
        <f t="shared" si="2"/>
        <v>Bidet convencional. Localização: bloco A</v>
      </c>
    </row>
    <row r="8" spans="1:25" ht="8.25" customHeight="1" x14ac:dyDescent="0.25">
      <c r="A8" s="13">
        <v>7</v>
      </c>
      <c r="B8" s="5" t="s">
        <v>451</v>
      </c>
      <c r="C8" s="12" t="s">
        <v>8</v>
      </c>
      <c r="D8" s="3" t="s">
        <v>5</v>
      </c>
      <c r="E8" s="12" t="s">
        <v>248</v>
      </c>
      <c r="F8" s="2" t="s">
        <v>2</v>
      </c>
      <c r="G8" s="12" t="s">
        <v>249</v>
      </c>
      <c r="H8" s="2" t="s">
        <v>2</v>
      </c>
      <c r="I8" s="12" t="s">
        <v>0</v>
      </c>
      <c r="J8" s="2" t="s">
        <v>2</v>
      </c>
      <c r="K8" s="12" t="s">
        <v>505</v>
      </c>
      <c r="L8" s="2" t="s">
        <v>2</v>
      </c>
      <c r="M8" s="12" t="s">
        <v>11</v>
      </c>
      <c r="N8" s="14" t="s">
        <v>88</v>
      </c>
      <c r="O8" s="12" t="s">
        <v>2</v>
      </c>
      <c r="P8" s="14" t="s">
        <v>2</v>
      </c>
      <c r="Q8" s="12" t="s">
        <v>2</v>
      </c>
      <c r="R8" s="14" t="s">
        <v>2</v>
      </c>
      <c r="S8" s="12" t="s">
        <v>2</v>
      </c>
      <c r="T8" s="14" t="s">
        <v>2</v>
      </c>
      <c r="U8" s="12" t="s">
        <v>314</v>
      </c>
      <c r="V8" s="4" t="s">
        <v>0</v>
      </c>
      <c r="W8" s="3" t="str">
        <f t="shared" si="0"/>
        <v>LAV-SUS</v>
      </c>
      <c r="X8" s="3" t="str">
        <f t="shared" si="1"/>
        <v>LAV-SUS-7</v>
      </c>
      <c r="Y8" s="3" t="str">
        <f t="shared" si="2"/>
        <v>Lavatório suspenso. Localização: bloco A</v>
      </c>
    </row>
    <row r="9" spans="1:25" ht="8.25" customHeight="1" x14ac:dyDescent="0.25">
      <c r="A9" s="13">
        <v>8</v>
      </c>
      <c r="B9" s="5" t="s">
        <v>451</v>
      </c>
      <c r="C9" s="12" t="s">
        <v>8</v>
      </c>
      <c r="D9" s="3" t="s">
        <v>5</v>
      </c>
      <c r="E9" s="12" t="s">
        <v>248</v>
      </c>
      <c r="F9" s="2" t="s">
        <v>2</v>
      </c>
      <c r="G9" s="12" t="s">
        <v>249</v>
      </c>
      <c r="H9" s="2" t="s">
        <v>2</v>
      </c>
      <c r="I9" s="12" t="s">
        <v>0</v>
      </c>
      <c r="J9" s="2" t="s">
        <v>2</v>
      </c>
      <c r="K9" s="12" t="s">
        <v>505</v>
      </c>
      <c r="L9" s="2" t="s">
        <v>2</v>
      </c>
      <c r="M9" s="12" t="s">
        <v>12</v>
      </c>
      <c r="N9" s="14" t="s">
        <v>489</v>
      </c>
      <c r="O9" s="12" t="s">
        <v>1</v>
      </c>
      <c r="P9" s="14" t="s">
        <v>564</v>
      </c>
      <c r="Q9" s="12" t="s">
        <v>2</v>
      </c>
      <c r="R9" s="14" t="s">
        <v>2</v>
      </c>
      <c r="S9" s="12" t="s">
        <v>2</v>
      </c>
      <c r="T9" s="14" t="s">
        <v>2</v>
      </c>
      <c r="U9" s="12" t="s">
        <v>314</v>
      </c>
      <c r="V9" s="4" t="s">
        <v>0</v>
      </c>
      <c r="W9" s="3" t="str">
        <f t="shared" si="0"/>
        <v>LAV-COL-PNE</v>
      </c>
      <c r="X9" s="3" t="str">
        <f t="shared" si="1"/>
        <v>LAV-COL-PNE-8</v>
      </c>
      <c r="Y9" s="3" t="str">
        <f t="shared" si="2"/>
        <v>Lavatório de coluna pessoa com necessidade especial. Localização: bloco A</v>
      </c>
    </row>
    <row r="10" spans="1:25" ht="8.25" customHeight="1" x14ac:dyDescent="0.25">
      <c r="A10" s="13">
        <v>9</v>
      </c>
      <c r="B10" s="5" t="s">
        <v>451</v>
      </c>
      <c r="C10" s="12" t="s">
        <v>8</v>
      </c>
      <c r="D10" s="3" t="s">
        <v>5</v>
      </c>
      <c r="E10" s="12" t="s">
        <v>248</v>
      </c>
      <c r="F10" s="2" t="s">
        <v>2</v>
      </c>
      <c r="G10" s="12" t="s">
        <v>249</v>
      </c>
      <c r="H10" s="2" t="s">
        <v>2</v>
      </c>
      <c r="I10" s="12" t="s">
        <v>0</v>
      </c>
      <c r="J10" s="2" t="s">
        <v>2</v>
      </c>
      <c r="K10" s="12" t="s">
        <v>505</v>
      </c>
      <c r="L10" s="2" t="s">
        <v>2</v>
      </c>
      <c r="M10" s="12" t="s">
        <v>308</v>
      </c>
      <c r="N10" s="14" t="s">
        <v>490</v>
      </c>
      <c r="O10" s="12" t="s">
        <v>2</v>
      </c>
      <c r="P10" s="14" t="s">
        <v>2</v>
      </c>
      <c r="Q10" s="12" t="s">
        <v>2</v>
      </c>
      <c r="R10" s="14" t="s">
        <v>2</v>
      </c>
      <c r="S10" s="12" t="s">
        <v>2</v>
      </c>
      <c r="T10" s="14" t="s">
        <v>2</v>
      </c>
      <c r="U10" s="12" t="s">
        <v>314</v>
      </c>
      <c r="V10" s="4" t="s">
        <v>0</v>
      </c>
      <c r="W10" s="3" t="str">
        <f t="shared" si="0"/>
        <v>LAV-CNT</v>
      </c>
      <c r="X10" s="3" t="str">
        <f t="shared" si="1"/>
        <v>LAV-CNT-9</v>
      </c>
      <c r="Y10" s="3" t="str">
        <f t="shared" si="2"/>
        <v>Lavatório de canto. Localização: bloco A</v>
      </c>
    </row>
    <row r="11" spans="1:25" ht="8.25" customHeight="1" x14ac:dyDescent="0.25">
      <c r="A11" s="13">
        <v>10</v>
      </c>
      <c r="B11" s="5" t="s">
        <v>451</v>
      </c>
      <c r="C11" s="12" t="s">
        <v>8</v>
      </c>
      <c r="D11" s="3" t="s">
        <v>5</v>
      </c>
      <c r="E11" s="12" t="s">
        <v>248</v>
      </c>
      <c r="F11" s="2" t="s">
        <v>2</v>
      </c>
      <c r="G11" s="12" t="s">
        <v>249</v>
      </c>
      <c r="H11" s="2" t="s">
        <v>2</v>
      </c>
      <c r="I11" s="12" t="s">
        <v>0</v>
      </c>
      <c r="J11" s="2" t="s">
        <v>2</v>
      </c>
      <c r="K11" s="12" t="s">
        <v>505</v>
      </c>
      <c r="L11" s="2" t="s">
        <v>2</v>
      </c>
      <c r="M11" s="12" t="s">
        <v>2</v>
      </c>
      <c r="N11" s="14" t="s">
        <v>2</v>
      </c>
      <c r="O11" s="12" t="s">
        <v>2</v>
      </c>
      <c r="P11" s="14" t="s">
        <v>2</v>
      </c>
      <c r="Q11" s="12" t="s">
        <v>2</v>
      </c>
      <c r="R11" s="14" t="s">
        <v>2</v>
      </c>
      <c r="S11" s="12" t="s">
        <v>2</v>
      </c>
      <c r="T11" s="14" t="s">
        <v>2</v>
      </c>
      <c r="U11" s="12" t="s">
        <v>314</v>
      </c>
      <c r="V11" s="4" t="s">
        <v>0</v>
      </c>
      <c r="W11" s="3" t="str">
        <f t="shared" si="0"/>
        <v>LAV</v>
      </c>
      <c r="X11" s="3" t="str">
        <f t="shared" si="1"/>
        <v>LAV-10</v>
      </c>
      <c r="Y11" s="3" t="str">
        <f t="shared" si="2"/>
        <v>Lavatório. Localização: bloco A</v>
      </c>
    </row>
    <row r="12" spans="1:25" ht="8.25" customHeight="1" x14ac:dyDescent="0.25">
      <c r="A12" s="13">
        <v>11</v>
      </c>
      <c r="B12" s="5" t="s">
        <v>451</v>
      </c>
      <c r="C12" s="12" t="s">
        <v>19</v>
      </c>
      <c r="D12" s="3" t="s">
        <v>18</v>
      </c>
      <c r="E12" s="12" t="s">
        <v>248</v>
      </c>
      <c r="F12" s="2" t="s">
        <v>2</v>
      </c>
      <c r="G12" s="12" t="s">
        <v>249</v>
      </c>
      <c r="H12" s="2" t="s">
        <v>2</v>
      </c>
      <c r="I12" s="12" t="s">
        <v>0</v>
      </c>
      <c r="J12" s="2" t="s">
        <v>2</v>
      </c>
      <c r="K12" s="12" t="s">
        <v>505</v>
      </c>
      <c r="L12" s="2" t="s">
        <v>2</v>
      </c>
      <c r="M12" s="12" t="s">
        <v>21</v>
      </c>
      <c r="N12" s="14" t="s">
        <v>491</v>
      </c>
      <c r="O12" s="12" t="s">
        <v>2</v>
      </c>
      <c r="P12" s="14" t="s">
        <v>2</v>
      </c>
      <c r="Q12" s="12" t="s">
        <v>2</v>
      </c>
      <c r="R12" s="14" t="s">
        <v>2</v>
      </c>
      <c r="S12" s="12" t="s">
        <v>2</v>
      </c>
      <c r="T12" s="14" t="s">
        <v>2</v>
      </c>
      <c r="U12" s="12" t="s">
        <v>314</v>
      </c>
      <c r="V12" s="4" t="s">
        <v>0</v>
      </c>
      <c r="W12" s="3" t="str">
        <f t="shared" si="0"/>
        <v>CUB-EMB</v>
      </c>
      <c r="X12" s="3" t="str">
        <f t="shared" si="1"/>
        <v>CUB-EMB-11</v>
      </c>
      <c r="Y12" s="3" t="str">
        <f t="shared" si="2"/>
        <v>Cuba de embutir. Localização: bloco A</v>
      </c>
    </row>
    <row r="13" spans="1:25" ht="8.25" customHeight="1" x14ac:dyDescent="0.25">
      <c r="A13" s="13">
        <v>12</v>
      </c>
      <c r="B13" s="5" t="s">
        <v>451</v>
      </c>
      <c r="C13" s="12" t="s">
        <v>19</v>
      </c>
      <c r="D13" s="3" t="s">
        <v>18</v>
      </c>
      <c r="E13" s="12" t="s">
        <v>248</v>
      </c>
      <c r="F13" s="2" t="s">
        <v>2</v>
      </c>
      <c r="G13" s="12" t="s">
        <v>249</v>
      </c>
      <c r="H13" s="2" t="s">
        <v>2</v>
      </c>
      <c r="I13" s="12" t="s">
        <v>0</v>
      </c>
      <c r="J13" s="2" t="s">
        <v>2</v>
      </c>
      <c r="K13" s="12" t="s">
        <v>505</v>
      </c>
      <c r="L13" s="2" t="s">
        <v>2</v>
      </c>
      <c r="M13" s="12" t="s">
        <v>20</v>
      </c>
      <c r="N13" s="14" t="s">
        <v>492</v>
      </c>
      <c r="O13" s="12" t="s">
        <v>2</v>
      </c>
      <c r="P13" s="14" t="s">
        <v>2</v>
      </c>
      <c r="Q13" s="12" t="s">
        <v>2</v>
      </c>
      <c r="R13" s="14" t="s">
        <v>2</v>
      </c>
      <c r="S13" s="12" t="s">
        <v>2</v>
      </c>
      <c r="T13" s="14" t="s">
        <v>2</v>
      </c>
      <c r="U13" s="12" t="s">
        <v>314</v>
      </c>
      <c r="V13" s="4" t="s">
        <v>0</v>
      </c>
      <c r="W13" s="3" t="str">
        <f t="shared" si="0"/>
        <v>CUB-SPO</v>
      </c>
      <c r="X13" s="3" t="str">
        <f t="shared" si="1"/>
        <v>CUB-SPO-12</v>
      </c>
      <c r="Y13" s="3" t="str">
        <f t="shared" si="2"/>
        <v>Cuba de sobrepor. Localização: bloco A</v>
      </c>
    </row>
    <row r="14" spans="1:25" ht="8.25" customHeight="1" x14ac:dyDescent="0.25">
      <c r="A14" s="13">
        <v>13</v>
      </c>
      <c r="B14" s="5" t="s">
        <v>451</v>
      </c>
      <c r="C14" s="12" t="s">
        <v>135</v>
      </c>
      <c r="D14" s="3" t="s">
        <v>134</v>
      </c>
      <c r="E14" s="12" t="s">
        <v>248</v>
      </c>
      <c r="F14" s="2" t="s">
        <v>2</v>
      </c>
      <c r="G14" s="12" t="s">
        <v>249</v>
      </c>
      <c r="H14" s="2" t="s">
        <v>2</v>
      </c>
      <c r="I14" s="12" t="s">
        <v>0</v>
      </c>
      <c r="J14" s="2" t="s">
        <v>2</v>
      </c>
      <c r="K14" s="12" t="s">
        <v>505</v>
      </c>
      <c r="L14" s="2" t="s">
        <v>2</v>
      </c>
      <c r="M14" s="12" t="s">
        <v>2</v>
      </c>
      <c r="N14" s="14" t="s">
        <v>2</v>
      </c>
      <c r="O14" s="12" t="s">
        <v>2</v>
      </c>
      <c r="P14" s="14" t="s">
        <v>2</v>
      </c>
      <c r="Q14" s="12" t="s">
        <v>2</v>
      </c>
      <c r="R14" s="14" t="s">
        <v>2</v>
      </c>
      <c r="S14" s="12" t="s">
        <v>2</v>
      </c>
      <c r="T14" s="14" t="s">
        <v>2</v>
      </c>
      <c r="U14" s="12" t="s">
        <v>314</v>
      </c>
      <c r="V14" s="4" t="s">
        <v>0</v>
      </c>
      <c r="W14" s="3" t="str">
        <f t="shared" si="0"/>
        <v>TAN</v>
      </c>
      <c r="X14" s="3" t="str">
        <f t="shared" si="1"/>
        <v>TAN-13</v>
      </c>
      <c r="Y14" s="3" t="str">
        <f t="shared" si="2"/>
        <v>Tanque. Localização: bloco A</v>
      </c>
    </row>
    <row r="15" spans="1:25" ht="8.25" customHeight="1" x14ac:dyDescent="0.25">
      <c r="A15" s="13">
        <v>14</v>
      </c>
      <c r="B15" s="5" t="s">
        <v>452</v>
      </c>
      <c r="C15" s="12" t="s">
        <v>95</v>
      </c>
      <c r="D15" s="3" t="s">
        <v>479</v>
      </c>
      <c r="E15" s="12" t="s">
        <v>248</v>
      </c>
      <c r="F15" s="2" t="s">
        <v>2</v>
      </c>
      <c r="G15" s="12" t="s">
        <v>249</v>
      </c>
      <c r="H15" s="2" t="s">
        <v>2</v>
      </c>
      <c r="I15" s="12" t="s">
        <v>0</v>
      </c>
      <c r="J15" s="2" t="s">
        <v>2</v>
      </c>
      <c r="K15" s="12" t="s">
        <v>505</v>
      </c>
      <c r="L15" s="2" t="s">
        <v>2</v>
      </c>
      <c r="M15" s="12" t="s">
        <v>239</v>
      </c>
      <c r="N15" s="14" t="s">
        <v>103</v>
      </c>
      <c r="O15" s="12" t="s">
        <v>111</v>
      </c>
      <c r="P15" s="14" t="s">
        <v>110</v>
      </c>
      <c r="Q15" s="12" t="s">
        <v>2</v>
      </c>
      <c r="R15" s="14" t="s">
        <v>2</v>
      </c>
      <c r="S15" s="12" t="s">
        <v>2</v>
      </c>
      <c r="T15" s="14" t="s">
        <v>2</v>
      </c>
      <c r="U15" s="12" t="s">
        <v>314</v>
      </c>
      <c r="V15" s="4" t="s">
        <v>0</v>
      </c>
      <c r="W15" s="3" t="str">
        <f t="shared" si="0"/>
        <v>MIS-MOC-MES</v>
      </c>
      <c r="X15" s="3" t="str">
        <f t="shared" si="1"/>
        <v>MIS-MOC-MES-14</v>
      </c>
      <c r="Y15" s="3" t="str">
        <f t="shared" si="2"/>
        <v>Misturador monocomando de mesa. Localização: bloco A</v>
      </c>
    </row>
    <row r="16" spans="1:25" ht="8.25" customHeight="1" x14ac:dyDescent="0.25">
      <c r="A16" s="13">
        <v>15</v>
      </c>
      <c r="B16" s="5" t="s">
        <v>452</v>
      </c>
      <c r="C16" s="12" t="s">
        <v>95</v>
      </c>
      <c r="D16" s="3" t="s">
        <v>479</v>
      </c>
      <c r="E16" s="12" t="s">
        <v>248</v>
      </c>
      <c r="F16" s="2" t="s">
        <v>2</v>
      </c>
      <c r="G16" s="12" t="s">
        <v>249</v>
      </c>
      <c r="H16" s="2" t="s">
        <v>2</v>
      </c>
      <c r="I16" s="12" t="s">
        <v>0</v>
      </c>
      <c r="J16" s="2" t="s">
        <v>2</v>
      </c>
      <c r="K16" s="12" t="s">
        <v>505</v>
      </c>
      <c r="L16" s="2" t="s">
        <v>2</v>
      </c>
      <c r="M16" s="12" t="s">
        <v>101</v>
      </c>
      <c r="N16" s="14" t="s">
        <v>493</v>
      </c>
      <c r="O16" s="12" t="s">
        <v>111</v>
      </c>
      <c r="P16" s="14" t="s">
        <v>110</v>
      </c>
      <c r="Q16" s="12" t="s">
        <v>2</v>
      </c>
      <c r="R16" s="14" t="s">
        <v>2</v>
      </c>
      <c r="S16" s="12" t="s">
        <v>2</v>
      </c>
      <c r="T16" s="14" t="s">
        <v>2</v>
      </c>
      <c r="U16" s="12" t="s">
        <v>314</v>
      </c>
      <c r="V16" s="4" t="s">
        <v>0</v>
      </c>
      <c r="W16" s="3" t="str">
        <f t="shared" si="0"/>
        <v>MIS-AFQ-MES</v>
      </c>
      <c r="X16" s="3" t="str">
        <f t="shared" si="1"/>
        <v>MIS-AFQ-MES-15</v>
      </c>
      <c r="Y16" s="3" t="str">
        <f t="shared" si="2"/>
        <v>Misturador água fria e quente de mesa. Localização: bloco A</v>
      </c>
    </row>
    <row r="17" spans="1:25" ht="8.25" customHeight="1" x14ac:dyDescent="0.25">
      <c r="A17" s="13">
        <v>16</v>
      </c>
      <c r="B17" s="5" t="s">
        <v>452</v>
      </c>
      <c r="C17" s="12" t="s">
        <v>95</v>
      </c>
      <c r="D17" s="3" t="s">
        <v>479</v>
      </c>
      <c r="E17" s="12" t="s">
        <v>248</v>
      </c>
      <c r="F17" s="2" t="s">
        <v>2</v>
      </c>
      <c r="G17" s="12" t="s">
        <v>249</v>
      </c>
      <c r="H17" s="2" t="s">
        <v>2</v>
      </c>
      <c r="I17" s="12" t="s">
        <v>0</v>
      </c>
      <c r="J17" s="2" t="s">
        <v>2</v>
      </c>
      <c r="K17" s="12" t="s">
        <v>505</v>
      </c>
      <c r="L17" s="2" t="s">
        <v>2</v>
      </c>
      <c r="M17" s="12" t="s">
        <v>239</v>
      </c>
      <c r="N17" s="14" t="s">
        <v>103</v>
      </c>
      <c r="O17" s="12" t="s">
        <v>54</v>
      </c>
      <c r="P17" s="14" t="s">
        <v>112</v>
      </c>
      <c r="Q17" s="12" t="s">
        <v>2</v>
      </c>
      <c r="R17" s="14" t="s">
        <v>2</v>
      </c>
      <c r="S17" s="12" t="s">
        <v>2</v>
      </c>
      <c r="T17" s="14" t="s">
        <v>2</v>
      </c>
      <c r="U17" s="12" t="s">
        <v>314</v>
      </c>
      <c r="V17" s="4" t="s">
        <v>0</v>
      </c>
      <c r="W17" s="3" t="str">
        <f t="shared" si="0"/>
        <v>MIS-MOC-PAR</v>
      </c>
      <c r="X17" s="3" t="str">
        <f t="shared" si="1"/>
        <v>MIS-MOC-PAR-16</v>
      </c>
      <c r="Y17" s="3" t="str">
        <f t="shared" si="2"/>
        <v>Misturador monocomando de parede. Localização: bloco A</v>
      </c>
    </row>
    <row r="18" spans="1:25" ht="8.25" customHeight="1" x14ac:dyDescent="0.25">
      <c r="A18" s="13">
        <v>17</v>
      </c>
      <c r="B18" s="5" t="s">
        <v>452</v>
      </c>
      <c r="C18" s="12" t="s">
        <v>95</v>
      </c>
      <c r="D18" s="3" t="s">
        <v>479</v>
      </c>
      <c r="E18" s="12" t="s">
        <v>248</v>
      </c>
      <c r="F18" s="2" t="s">
        <v>2</v>
      </c>
      <c r="G18" s="12" t="s">
        <v>249</v>
      </c>
      <c r="H18" s="2" t="s">
        <v>2</v>
      </c>
      <c r="I18" s="12" t="s">
        <v>0</v>
      </c>
      <c r="J18" s="2" t="s">
        <v>2</v>
      </c>
      <c r="K18" s="12" t="s">
        <v>505</v>
      </c>
      <c r="L18" s="2" t="s">
        <v>2</v>
      </c>
      <c r="M18" s="12" t="s">
        <v>101</v>
      </c>
      <c r="N18" s="14" t="s">
        <v>102</v>
      </c>
      <c r="O18" s="12" t="s">
        <v>54</v>
      </c>
      <c r="P18" s="14" t="s">
        <v>112</v>
      </c>
      <c r="Q18" s="12" t="s">
        <v>2</v>
      </c>
      <c r="R18" s="14" t="s">
        <v>2</v>
      </c>
      <c r="S18" s="12" t="s">
        <v>2</v>
      </c>
      <c r="T18" s="14" t="s">
        <v>2</v>
      </c>
      <c r="U18" s="12" t="s">
        <v>314</v>
      </c>
      <c r="V18" s="4" t="s">
        <v>0</v>
      </c>
      <c r="W18" s="3" t="str">
        <f t="shared" si="0"/>
        <v>MIS-AFQ-PAR</v>
      </c>
      <c r="X18" s="3" t="str">
        <f t="shared" si="1"/>
        <v>MIS-AFQ-PAR-17</v>
      </c>
      <c r="Y18" s="3" t="str">
        <f t="shared" si="2"/>
        <v>Misturador agua fria e quente de parede. Localização: bloco A</v>
      </c>
    </row>
    <row r="19" spans="1:25" ht="8.25" customHeight="1" x14ac:dyDescent="0.25">
      <c r="A19" s="13">
        <v>18</v>
      </c>
      <c r="B19" s="5" t="s">
        <v>452</v>
      </c>
      <c r="C19" s="12" t="s">
        <v>138</v>
      </c>
      <c r="D19" s="3" t="s">
        <v>94</v>
      </c>
      <c r="E19" s="12" t="s">
        <v>248</v>
      </c>
      <c r="F19" s="2" t="s">
        <v>2</v>
      </c>
      <c r="G19" s="12" t="s">
        <v>249</v>
      </c>
      <c r="H19" s="2" t="s">
        <v>2</v>
      </c>
      <c r="I19" s="12" t="s">
        <v>0</v>
      </c>
      <c r="J19" s="2" t="s">
        <v>2</v>
      </c>
      <c r="K19" s="12" t="s">
        <v>505</v>
      </c>
      <c r="L19" s="2" t="s">
        <v>2</v>
      </c>
      <c r="M19" s="12" t="s">
        <v>2</v>
      </c>
      <c r="N19" s="14" t="s">
        <v>2</v>
      </c>
      <c r="O19" s="12" t="s">
        <v>119</v>
      </c>
      <c r="P19" s="14" t="s">
        <v>114</v>
      </c>
      <c r="Q19" s="12" t="s">
        <v>2</v>
      </c>
      <c r="R19" s="14" t="s">
        <v>2</v>
      </c>
      <c r="S19" s="12" t="s">
        <v>2</v>
      </c>
      <c r="T19" s="14" t="s">
        <v>2</v>
      </c>
      <c r="U19" s="12" t="s">
        <v>314</v>
      </c>
      <c r="V19" s="4" t="s">
        <v>0</v>
      </c>
      <c r="W19" s="3" t="str">
        <f t="shared" si="0"/>
        <v>CHV-DEZ</v>
      </c>
      <c r="X19" s="3" t="str">
        <f t="shared" si="1"/>
        <v>CHV-DEZ-18</v>
      </c>
      <c r="Y19" s="3" t="str">
        <f t="shared" si="2"/>
        <v>Chuveiro de barra deslizante. Localização: bloco A</v>
      </c>
    </row>
    <row r="20" spans="1:25" ht="8.25" customHeight="1" x14ac:dyDescent="0.25">
      <c r="A20" s="13">
        <v>19</v>
      </c>
      <c r="B20" s="5" t="s">
        <v>452</v>
      </c>
      <c r="C20" s="12" t="s">
        <v>138</v>
      </c>
      <c r="D20" s="3" t="s">
        <v>94</v>
      </c>
      <c r="E20" s="12" t="s">
        <v>248</v>
      </c>
      <c r="F20" s="2" t="s">
        <v>2</v>
      </c>
      <c r="G20" s="12" t="s">
        <v>249</v>
      </c>
      <c r="H20" s="2" t="s">
        <v>2</v>
      </c>
      <c r="I20" s="12" t="s">
        <v>0</v>
      </c>
      <c r="J20" s="2" t="s">
        <v>2</v>
      </c>
      <c r="K20" s="12" t="s">
        <v>505</v>
      </c>
      <c r="L20" s="2" t="s">
        <v>2</v>
      </c>
      <c r="M20" s="12" t="s">
        <v>2</v>
      </c>
      <c r="N20" s="14" t="s">
        <v>2</v>
      </c>
      <c r="O20" s="12" t="s">
        <v>54</v>
      </c>
      <c r="P20" s="14" t="s">
        <v>112</v>
      </c>
      <c r="Q20" s="12" t="s">
        <v>2</v>
      </c>
      <c r="R20" s="14" t="s">
        <v>2</v>
      </c>
      <c r="S20" s="12" t="s">
        <v>2</v>
      </c>
      <c r="T20" s="14" t="s">
        <v>2</v>
      </c>
      <c r="U20" s="12" t="s">
        <v>314</v>
      </c>
      <c r="V20" s="4" t="s">
        <v>0</v>
      </c>
      <c r="W20" s="3" t="str">
        <f t="shared" si="0"/>
        <v>CHV-PAR</v>
      </c>
      <c r="X20" s="3" t="str">
        <f t="shared" si="1"/>
        <v>CHV-PAR-19</v>
      </c>
      <c r="Y20" s="3" t="str">
        <f t="shared" si="2"/>
        <v>Chuveiro de parede. Localização: bloco A</v>
      </c>
    </row>
    <row r="21" spans="1:25" ht="8.25" customHeight="1" x14ac:dyDescent="0.25">
      <c r="A21" s="13">
        <v>20</v>
      </c>
      <c r="B21" s="5" t="s">
        <v>452</v>
      </c>
      <c r="C21" s="12" t="s">
        <v>138</v>
      </c>
      <c r="D21" s="3" t="s">
        <v>94</v>
      </c>
      <c r="E21" s="12" t="s">
        <v>248</v>
      </c>
      <c r="F21" s="2" t="s">
        <v>2</v>
      </c>
      <c r="G21" s="12" t="s">
        <v>249</v>
      </c>
      <c r="H21" s="2" t="s">
        <v>2</v>
      </c>
      <c r="I21" s="12" t="s">
        <v>0</v>
      </c>
      <c r="J21" s="2" t="s">
        <v>2</v>
      </c>
      <c r="K21" s="12" t="s">
        <v>505</v>
      </c>
      <c r="L21" s="2" t="s">
        <v>2</v>
      </c>
      <c r="M21" s="12" t="s">
        <v>2</v>
      </c>
      <c r="N21" s="14" t="s">
        <v>2</v>
      </c>
      <c r="O21" s="12" t="s">
        <v>53</v>
      </c>
      <c r="P21" s="14" t="s">
        <v>113</v>
      </c>
      <c r="Q21" s="12" t="s">
        <v>2</v>
      </c>
      <c r="R21" s="14" t="s">
        <v>2</v>
      </c>
      <c r="S21" s="12" t="s">
        <v>2</v>
      </c>
      <c r="T21" s="14" t="s">
        <v>2</v>
      </c>
      <c r="U21" s="12" t="s">
        <v>314</v>
      </c>
      <c r="V21" s="4" t="s">
        <v>0</v>
      </c>
      <c r="W21" s="3" t="str">
        <f t="shared" si="0"/>
        <v>CHV-TET</v>
      </c>
      <c r="X21" s="3" t="str">
        <f t="shared" si="1"/>
        <v>CHV-TET-20</v>
      </c>
      <c r="Y21" s="3" t="str">
        <f t="shared" si="2"/>
        <v>Chuveiro de teto. Localização: bloco A</v>
      </c>
    </row>
    <row r="22" spans="1:25" ht="8.25" customHeight="1" x14ac:dyDescent="0.25">
      <c r="A22" s="13">
        <v>21</v>
      </c>
      <c r="B22" s="5" t="s">
        <v>452</v>
      </c>
      <c r="C22" s="12" t="s">
        <v>138</v>
      </c>
      <c r="D22" s="3" t="s">
        <v>94</v>
      </c>
      <c r="E22" s="12" t="s">
        <v>248</v>
      </c>
      <c r="F22" s="2" t="s">
        <v>2</v>
      </c>
      <c r="G22" s="12" t="s">
        <v>249</v>
      </c>
      <c r="H22" s="2" t="s">
        <v>2</v>
      </c>
      <c r="I22" s="12" t="s">
        <v>0</v>
      </c>
      <c r="J22" s="2" t="s">
        <v>2</v>
      </c>
      <c r="K22" s="12" t="s">
        <v>505</v>
      </c>
      <c r="L22" s="2" t="s">
        <v>2</v>
      </c>
      <c r="M22" s="12" t="s">
        <v>32</v>
      </c>
      <c r="N22" s="14" t="s">
        <v>96</v>
      </c>
      <c r="O22" s="12" t="s">
        <v>54</v>
      </c>
      <c r="P22" s="14" t="s">
        <v>112</v>
      </c>
      <c r="Q22" s="12" t="s">
        <v>2</v>
      </c>
      <c r="R22" s="14" t="s">
        <v>2</v>
      </c>
      <c r="S22" s="12" t="s">
        <v>2</v>
      </c>
      <c r="T22" s="14" t="s">
        <v>2</v>
      </c>
      <c r="U22" s="12" t="s">
        <v>314</v>
      </c>
      <c r="V22" s="4" t="s">
        <v>0</v>
      </c>
      <c r="W22" s="3" t="str">
        <f t="shared" si="0"/>
        <v>CHV-ELE-PAR</v>
      </c>
      <c r="X22" s="3" t="str">
        <f t="shared" si="1"/>
        <v>CHV-ELE-PAR-21</v>
      </c>
      <c r="Y22" s="3" t="str">
        <f t="shared" si="2"/>
        <v>Chuveiro elétrico de parede. Localização: bloco A</v>
      </c>
    </row>
    <row r="23" spans="1:25" ht="8.25" customHeight="1" x14ac:dyDescent="0.25">
      <c r="A23" s="13">
        <v>22</v>
      </c>
      <c r="B23" s="5" t="s">
        <v>452</v>
      </c>
      <c r="C23" s="12" t="s">
        <v>138</v>
      </c>
      <c r="D23" s="3" t="s">
        <v>94</v>
      </c>
      <c r="E23" s="12" t="s">
        <v>248</v>
      </c>
      <c r="F23" s="2" t="s">
        <v>2</v>
      </c>
      <c r="G23" s="12" t="s">
        <v>249</v>
      </c>
      <c r="H23" s="2" t="s">
        <v>2</v>
      </c>
      <c r="I23" s="12" t="s">
        <v>0</v>
      </c>
      <c r="J23" s="2" t="s">
        <v>2</v>
      </c>
      <c r="K23" s="12" t="s">
        <v>505</v>
      </c>
      <c r="L23" s="2" t="s">
        <v>2</v>
      </c>
      <c r="M23" s="12" t="s">
        <v>32</v>
      </c>
      <c r="N23" s="14" t="s">
        <v>96</v>
      </c>
      <c r="O23" s="12" t="s">
        <v>53</v>
      </c>
      <c r="P23" s="14" t="s">
        <v>113</v>
      </c>
      <c r="Q23" s="12" t="s">
        <v>2</v>
      </c>
      <c r="R23" s="14" t="s">
        <v>2</v>
      </c>
      <c r="S23" s="12" t="s">
        <v>2</v>
      </c>
      <c r="T23" s="14" t="s">
        <v>2</v>
      </c>
      <c r="U23" s="12" t="s">
        <v>314</v>
      </c>
      <c r="V23" s="4" t="s">
        <v>0</v>
      </c>
      <c r="W23" s="3" t="str">
        <f t="shared" si="0"/>
        <v>CHV-ELE-TET</v>
      </c>
      <c r="X23" s="3" t="str">
        <f t="shared" si="1"/>
        <v>CHV-ELE-TET-22</v>
      </c>
      <c r="Y23" s="3" t="str">
        <f t="shared" si="2"/>
        <v>Chuveiro elétrico de teto. Localização: bloco A</v>
      </c>
    </row>
    <row r="24" spans="1:25" ht="8.25" customHeight="1" x14ac:dyDescent="0.25">
      <c r="A24" s="13">
        <v>23</v>
      </c>
      <c r="B24" s="5" t="s">
        <v>452</v>
      </c>
      <c r="C24" s="12" t="s">
        <v>138</v>
      </c>
      <c r="D24" s="3" t="s">
        <v>94</v>
      </c>
      <c r="E24" s="12" t="s">
        <v>248</v>
      </c>
      <c r="F24" s="2" t="s">
        <v>2</v>
      </c>
      <c r="G24" s="12" t="s">
        <v>249</v>
      </c>
      <c r="H24" s="2" t="s">
        <v>2</v>
      </c>
      <c r="I24" s="12" t="s">
        <v>0</v>
      </c>
      <c r="J24" s="2" t="s">
        <v>2</v>
      </c>
      <c r="K24" s="12" t="s">
        <v>505</v>
      </c>
      <c r="L24" s="2" t="s">
        <v>2</v>
      </c>
      <c r="M24" s="12" t="s">
        <v>2</v>
      </c>
      <c r="N24" s="14" t="s">
        <v>2</v>
      </c>
      <c r="O24" s="12" t="s">
        <v>2</v>
      </c>
      <c r="P24" s="14" t="s">
        <v>2</v>
      </c>
      <c r="Q24" s="12" t="s">
        <v>2</v>
      </c>
      <c r="R24" s="14" t="s">
        <v>2</v>
      </c>
      <c r="S24" s="12" t="s">
        <v>2</v>
      </c>
      <c r="T24" s="14" t="s">
        <v>2</v>
      </c>
      <c r="U24" s="12" t="s">
        <v>314</v>
      </c>
      <c r="V24" s="4" t="s">
        <v>0</v>
      </c>
      <c r="W24" s="3" t="str">
        <f t="shared" si="0"/>
        <v>CHV</v>
      </c>
      <c r="X24" s="3" t="str">
        <f t="shared" si="1"/>
        <v>CHV-23</v>
      </c>
      <c r="Y24" s="3" t="str">
        <f t="shared" si="2"/>
        <v>Chuveiro. Localização: bloco A</v>
      </c>
    </row>
    <row r="25" spans="1:25" ht="8.25" customHeight="1" x14ac:dyDescent="0.25">
      <c r="A25" s="13">
        <v>24</v>
      </c>
      <c r="B25" s="5" t="s">
        <v>452</v>
      </c>
      <c r="C25" s="12" t="s">
        <v>98</v>
      </c>
      <c r="D25" s="3" t="s">
        <v>97</v>
      </c>
      <c r="E25" s="12" t="s">
        <v>248</v>
      </c>
      <c r="F25" s="2" t="s">
        <v>2</v>
      </c>
      <c r="G25" s="12" t="s">
        <v>249</v>
      </c>
      <c r="H25" s="2" t="s">
        <v>2</v>
      </c>
      <c r="I25" s="12" t="s">
        <v>0</v>
      </c>
      <c r="J25" s="2" t="s">
        <v>2</v>
      </c>
      <c r="K25" s="12" t="s">
        <v>505</v>
      </c>
      <c r="L25" s="2" t="s">
        <v>2</v>
      </c>
      <c r="M25" s="12" t="s">
        <v>100</v>
      </c>
      <c r="N25" s="14" t="s">
        <v>99</v>
      </c>
      <c r="O25" s="12" t="s">
        <v>2</v>
      </c>
      <c r="P25" s="14" t="s">
        <v>2</v>
      </c>
      <c r="Q25" s="12" t="s">
        <v>2</v>
      </c>
      <c r="R25" s="14" t="s">
        <v>2</v>
      </c>
      <c r="S25" s="12" t="s">
        <v>2</v>
      </c>
      <c r="T25" s="14" t="s">
        <v>2</v>
      </c>
      <c r="U25" s="12" t="s">
        <v>314</v>
      </c>
      <c r="V25" s="4" t="s">
        <v>0</v>
      </c>
      <c r="W25" s="3" t="str">
        <f t="shared" si="0"/>
        <v>DCH-MAN</v>
      </c>
      <c r="X25" s="3" t="str">
        <f t="shared" si="1"/>
        <v>DCH-MAN-24</v>
      </c>
      <c r="Y25" s="3" t="str">
        <f t="shared" si="2"/>
        <v>Ducha manual. Localização: bloco A</v>
      </c>
    </row>
    <row r="26" spans="1:25" ht="8.25" customHeight="1" x14ac:dyDescent="0.25">
      <c r="A26" s="13">
        <v>25</v>
      </c>
      <c r="B26" s="5" t="s">
        <v>452</v>
      </c>
      <c r="C26" s="12" t="s">
        <v>104</v>
      </c>
      <c r="D26" s="3" t="s">
        <v>481</v>
      </c>
      <c r="E26" s="12" t="s">
        <v>248</v>
      </c>
      <c r="F26" s="2" t="s">
        <v>2</v>
      </c>
      <c r="G26" s="12" t="s">
        <v>249</v>
      </c>
      <c r="H26" s="2" t="s">
        <v>2</v>
      </c>
      <c r="I26" s="12" t="s">
        <v>0</v>
      </c>
      <c r="J26" s="2" t="s">
        <v>2</v>
      </c>
      <c r="K26" s="12" t="s">
        <v>505</v>
      </c>
      <c r="L26" s="2" t="s">
        <v>2</v>
      </c>
      <c r="M26" s="12" t="s">
        <v>132</v>
      </c>
      <c r="N26" s="14" t="s">
        <v>498</v>
      </c>
      <c r="O26" s="12" t="s">
        <v>2</v>
      </c>
      <c r="P26" s="14" t="s">
        <v>2</v>
      </c>
      <c r="Q26" s="12" t="s">
        <v>2</v>
      </c>
      <c r="R26" s="14" t="s">
        <v>2</v>
      </c>
      <c r="S26" s="12" t="s">
        <v>2</v>
      </c>
      <c r="T26" s="14" t="s">
        <v>2</v>
      </c>
      <c r="U26" s="12" t="s">
        <v>314</v>
      </c>
      <c r="V26" s="4" t="s">
        <v>0</v>
      </c>
      <c r="W26" s="3" t="str">
        <f t="shared" si="0"/>
        <v>BAA-L35</v>
      </c>
      <c r="X26" s="3" t="str">
        <f t="shared" si="1"/>
        <v>BAA-L35-25</v>
      </c>
      <c r="Y26" s="3" t="str">
        <f t="shared" si="2"/>
        <v>BarraApóio em L 35 cm. Localização: bloco A</v>
      </c>
    </row>
    <row r="27" spans="1:25" ht="8.25" customHeight="1" x14ac:dyDescent="0.25">
      <c r="A27" s="13">
        <v>26</v>
      </c>
      <c r="B27" s="5" t="s">
        <v>452</v>
      </c>
      <c r="C27" s="12" t="s">
        <v>104</v>
      </c>
      <c r="D27" s="3" t="s">
        <v>481</v>
      </c>
      <c r="E27" s="12" t="s">
        <v>248</v>
      </c>
      <c r="F27" s="2" t="s">
        <v>2</v>
      </c>
      <c r="G27" s="12" t="s">
        <v>249</v>
      </c>
      <c r="H27" s="2" t="s">
        <v>2</v>
      </c>
      <c r="I27" s="12" t="s">
        <v>0</v>
      </c>
      <c r="J27" s="2" t="s">
        <v>2</v>
      </c>
      <c r="K27" s="12" t="s">
        <v>505</v>
      </c>
      <c r="L27" s="2" t="s">
        <v>2</v>
      </c>
      <c r="M27" s="12" t="s">
        <v>133</v>
      </c>
      <c r="N27" s="14" t="s">
        <v>522</v>
      </c>
      <c r="O27" s="12" t="s">
        <v>2</v>
      </c>
      <c r="P27" s="14" t="s">
        <v>2</v>
      </c>
      <c r="Q27" s="12" t="s">
        <v>2</v>
      </c>
      <c r="R27" s="14" t="s">
        <v>2</v>
      </c>
      <c r="S27" s="12" t="s">
        <v>2</v>
      </c>
      <c r="T27" s="14" t="s">
        <v>2</v>
      </c>
      <c r="U27" s="12" t="s">
        <v>314</v>
      </c>
      <c r="V27" s="4" t="s">
        <v>0</v>
      </c>
      <c r="W27" s="3" t="str">
        <f t="shared" si="0"/>
        <v>BAA-U75</v>
      </c>
      <c r="X27" s="3" t="str">
        <f t="shared" si="1"/>
        <v>BAA-U75-26</v>
      </c>
      <c r="Y27" s="3" t="str">
        <f t="shared" si="2"/>
        <v>BarraApóio em U 75 cm. Localização: bloco A</v>
      </c>
    </row>
    <row r="28" spans="1:25" ht="8.25" customHeight="1" x14ac:dyDescent="0.25">
      <c r="A28" s="13">
        <v>27</v>
      </c>
      <c r="B28" s="5" t="s">
        <v>13</v>
      </c>
      <c r="C28" s="12" t="s">
        <v>14</v>
      </c>
      <c r="D28" s="3" t="s">
        <v>13</v>
      </c>
      <c r="E28" s="12" t="s">
        <v>248</v>
      </c>
      <c r="F28" s="2" t="s">
        <v>2</v>
      </c>
      <c r="G28" s="12" t="s">
        <v>249</v>
      </c>
      <c r="H28" s="2" t="s">
        <v>524</v>
      </c>
      <c r="I28" s="12" t="s">
        <v>0</v>
      </c>
      <c r="J28" s="2" t="s">
        <v>2</v>
      </c>
      <c r="K28" s="12" t="s">
        <v>505</v>
      </c>
      <c r="L28" s="2" t="s">
        <v>2</v>
      </c>
      <c r="M28" s="12" t="s">
        <v>61</v>
      </c>
      <c r="N28" s="14" t="s">
        <v>143</v>
      </c>
      <c r="O28" s="12" t="s">
        <v>105</v>
      </c>
      <c r="P28" s="14" t="s">
        <v>201</v>
      </c>
      <c r="Q28" s="12" t="s">
        <v>16</v>
      </c>
      <c r="R28" s="14" t="s">
        <v>267</v>
      </c>
      <c r="S28" s="12" t="s">
        <v>34</v>
      </c>
      <c r="T28" s="14" t="s">
        <v>269</v>
      </c>
      <c r="U28" s="12" t="s">
        <v>314</v>
      </c>
      <c r="V28" s="4" t="s">
        <v>0</v>
      </c>
      <c r="W28" s="3" t="str">
        <f t="shared" si="0"/>
        <v>BAN-P0.60m-LIN-1PI-H2O-COP</v>
      </c>
      <c r="X28" s="3" t="str">
        <f t="shared" si="1"/>
        <v>BAN-P0.60m-LIN-1PI-H2O-COP-27</v>
      </c>
      <c r="Y28" s="3" t="str">
        <f t="shared" si="2"/>
        <v>Bancada 0.60m lineal com pia de água para copa. Localização: bloco A</v>
      </c>
    </row>
    <row r="29" spans="1:25" ht="8.25" customHeight="1" x14ac:dyDescent="0.25">
      <c r="A29" s="13">
        <v>28</v>
      </c>
      <c r="B29" s="5" t="s">
        <v>13</v>
      </c>
      <c r="C29" s="12" t="s">
        <v>14</v>
      </c>
      <c r="D29" s="3" t="s">
        <v>13</v>
      </c>
      <c r="E29" s="12" t="s">
        <v>248</v>
      </c>
      <c r="F29" s="2" t="s">
        <v>2</v>
      </c>
      <c r="G29" s="12" t="s">
        <v>249</v>
      </c>
      <c r="H29" s="2" t="s">
        <v>524</v>
      </c>
      <c r="I29" s="12" t="s">
        <v>0</v>
      </c>
      <c r="J29" s="2" t="s">
        <v>2</v>
      </c>
      <c r="K29" s="12" t="s">
        <v>505</v>
      </c>
      <c r="L29" s="2" t="s">
        <v>2</v>
      </c>
      <c r="M29" s="12" t="s">
        <v>61</v>
      </c>
      <c r="N29" s="14" t="s">
        <v>143</v>
      </c>
      <c r="O29" s="12" t="s">
        <v>105</v>
      </c>
      <c r="P29" s="14" t="s">
        <v>201</v>
      </c>
      <c r="Q29" s="12" t="s">
        <v>16</v>
      </c>
      <c r="R29" s="14" t="s">
        <v>267</v>
      </c>
      <c r="S29" s="12" t="s">
        <v>34</v>
      </c>
      <c r="T29" s="14" t="s">
        <v>269</v>
      </c>
      <c r="U29" s="12" t="s">
        <v>314</v>
      </c>
      <c r="V29" s="4" t="s">
        <v>0</v>
      </c>
      <c r="W29" s="3" t="str">
        <f t="shared" si="0"/>
        <v>BAN-P0.60m-LIN-1PI-H2O-COP</v>
      </c>
      <c r="X29" s="3" t="str">
        <f t="shared" si="1"/>
        <v>BAN-P0.60m-LIN-1PI-H2O-COP-28</v>
      </c>
      <c r="Y29" s="3" t="str">
        <f t="shared" si="2"/>
        <v>Bancada 0.60m lineal com pia de água para copa. Localização: bloco A</v>
      </c>
    </row>
    <row r="30" spans="1:25" ht="8.25" customHeight="1" x14ac:dyDescent="0.25">
      <c r="A30" s="13">
        <v>29</v>
      </c>
      <c r="B30" s="5" t="s">
        <v>13</v>
      </c>
      <c r="C30" s="12" t="s">
        <v>14</v>
      </c>
      <c r="D30" s="3" t="s">
        <v>13</v>
      </c>
      <c r="E30" s="12" t="s">
        <v>248</v>
      </c>
      <c r="F30" s="2" t="s">
        <v>2</v>
      </c>
      <c r="G30" s="12" t="s">
        <v>249</v>
      </c>
      <c r="H30" s="2" t="s">
        <v>524</v>
      </c>
      <c r="I30" s="12" t="s">
        <v>0</v>
      </c>
      <c r="J30" s="2" t="s">
        <v>2</v>
      </c>
      <c r="K30" s="12" t="s">
        <v>505</v>
      </c>
      <c r="L30" s="2" t="s">
        <v>2</v>
      </c>
      <c r="M30" s="12" t="s">
        <v>61</v>
      </c>
      <c r="N30" s="14" t="s">
        <v>143</v>
      </c>
      <c r="O30" s="12" t="s">
        <v>107</v>
      </c>
      <c r="P30" s="14" t="s">
        <v>201</v>
      </c>
      <c r="Q30" s="12" t="s">
        <v>16</v>
      </c>
      <c r="R30" s="14" t="s">
        <v>267</v>
      </c>
      <c r="S30" s="12" t="s">
        <v>34</v>
      </c>
      <c r="T30" s="14" t="s">
        <v>269</v>
      </c>
      <c r="U30" s="12" t="s">
        <v>314</v>
      </c>
      <c r="V30" s="4" t="s">
        <v>0</v>
      </c>
      <c r="W30" s="3" t="str">
        <f t="shared" si="0"/>
        <v>BAN-P0.60m-LIN-2PI-H2O-COP</v>
      </c>
      <c r="X30" s="3" t="str">
        <f t="shared" si="1"/>
        <v>BAN-P0.60m-LIN-2PI-H2O-COP-29</v>
      </c>
      <c r="Y30" s="3" t="str">
        <f t="shared" si="2"/>
        <v>Bancada 0.60m lineal com pia de água para copa. Localização: bloco A</v>
      </c>
    </row>
    <row r="31" spans="1:25" ht="8.25" customHeight="1" x14ac:dyDescent="0.25">
      <c r="A31" s="13">
        <v>30</v>
      </c>
      <c r="B31" s="5" t="s">
        <v>13</v>
      </c>
      <c r="C31" s="12" t="s">
        <v>14</v>
      </c>
      <c r="D31" s="3" t="s">
        <v>13</v>
      </c>
      <c r="E31" s="12" t="s">
        <v>248</v>
      </c>
      <c r="F31" s="2" t="s">
        <v>2</v>
      </c>
      <c r="G31" s="12" t="s">
        <v>249</v>
      </c>
      <c r="H31" s="2" t="s">
        <v>524</v>
      </c>
      <c r="I31" s="12" t="s">
        <v>0</v>
      </c>
      <c r="J31" s="2" t="s">
        <v>2</v>
      </c>
      <c r="K31" s="12" t="s">
        <v>505</v>
      </c>
      <c r="L31" s="2" t="s">
        <v>2</v>
      </c>
      <c r="M31" s="12" t="s">
        <v>61</v>
      </c>
      <c r="N31" s="14" t="s">
        <v>143</v>
      </c>
      <c r="O31" s="12" t="s">
        <v>105</v>
      </c>
      <c r="P31" s="14" t="s">
        <v>201</v>
      </c>
      <c r="Q31" s="12" t="s">
        <v>16</v>
      </c>
      <c r="R31" s="14" t="s">
        <v>267</v>
      </c>
      <c r="S31" s="12" t="s">
        <v>33</v>
      </c>
      <c r="T31" s="14" t="s">
        <v>270</v>
      </c>
      <c r="U31" s="12" t="s">
        <v>314</v>
      </c>
      <c r="V31" s="4" t="s">
        <v>0</v>
      </c>
      <c r="W31" s="3" t="str">
        <f t="shared" si="0"/>
        <v>BAN-P0.60m-LIN-1PI-H2O-COZ</v>
      </c>
      <c r="X31" s="3" t="str">
        <f t="shared" si="1"/>
        <v>BAN-P0.60m-LIN-1PI-H2O-COZ-30</v>
      </c>
      <c r="Y31" s="3" t="str">
        <f t="shared" si="2"/>
        <v>Bancada 0.60m lineal com pia de água para cozinha. Localização: bloco A</v>
      </c>
    </row>
    <row r="32" spans="1:25" ht="8.25" customHeight="1" x14ac:dyDescent="0.25">
      <c r="A32" s="13">
        <v>31</v>
      </c>
      <c r="B32" s="5" t="s">
        <v>13</v>
      </c>
      <c r="C32" s="12" t="s">
        <v>14</v>
      </c>
      <c r="D32" s="3" t="s">
        <v>13</v>
      </c>
      <c r="E32" s="12" t="s">
        <v>248</v>
      </c>
      <c r="F32" s="2" t="s">
        <v>2</v>
      </c>
      <c r="G32" s="12" t="s">
        <v>249</v>
      </c>
      <c r="H32" s="2" t="s">
        <v>524</v>
      </c>
      <c r="I32" s="12" t="s">
        <v>0</v>
      </c>
      <c r="J32" s="2" t="s">
        <v>2</v>
      </c>
      <c r="K32" s="12" t="s">
        <v>505</v>
      </c>
      <c r="L32" s="2" t="s">
        <v>2</v>
      </c>
      <c r="M32" s="12" t="s">
        <v>61</v>
      </c>
      <c r="N32" s="14" t="s">
        <v>143</v>
      </c>
      <c r="O32" s="12" t="s">
        <v>105</v>
      </c>
      <c r="P32" s="14" t="s">
        <v>201</v>
      </c>
      <c r="Q32" s="12" t="s">
        <v>16</v>
      </c>
      <c r="R32" s="14" t="s">
        <v>267</v>
      </c>
      <c r="S32" s="12" t="s">
        <v>33</v>
      </c>
      <c r="T32" s="14" t="s">
        <v>270</v>
      </c>
      <c r="U32" s="12" t="s">
        <v>314</v>
      </c>
      <c r="V32" s="4" t="s">
        <v>0</v>
      </c>
      <c r="W32" s="3" t="str">
        <f t="shared" si="0"/>
        <v>BAN-P0.60m-LIN-1PI-H2O-COZ</v>
      </c>
      <c r="X32" s="3" t="str">
        <f t="shared" si="1"/>
        <v>BAN-P0.60m-LIN-1PI-H2O-COZ-31</v>
      </c>
      <c r="Y32" s="3" t="str">
        <f t="shared" si="2"/>
        <v>Bancada 0.60m lineal com pia de água para cozinha. Localização: bloco A</v>
      </c>
    </row>
    <row r="33" spans="1:25" ht="8.25" customHeight="1" x14ac:dyDescent="0.25">
      <c r="A33" s="13">
        <v>32</v>
      </c>
      <c r="B33" s="5" t="s">
        <v>13</v>
      </c>
      <c r="C33" s="12" t="s">
        <v>14</v>
      </c>
      <c r="D33" s="3" t="s">
        <v>13</v>
      </c>
      <c r="E33" s="12" t="s">
        <v>248</v>
      </c>
      <c r="F33" s="2" t="s">
        <v>2</v>
      </c>
      <c r="G33" s="12" t="s">
        <v>249</v>
      </c>
      <c r="H33" s="2" t="s">
        <v>524</v>
      </c>
      <c r="I33" s="12" t="s">
        <v>0</v>
      </c>
      <c r="J33" s="2" t="s">
        <v>2</v>
      </c>
      <c r="K33" s="12" t="s">
        <v>505</v>
      </c>
      <c r="L33" s="2" t="s">
        <v>2</v>
      </c>
      <c r="M33" s="12" t="s">
        <v>61</v>
      </c>
      <c r="N33" s="14" t="s">
        <v>143</v>
      </c>
      <c r="O33" s="12" t="s">
        <v>2</v>
      </c>
      <c r="P33" s="14" t="s">
        <v>2</v>
      </c>
      <c r="Q33" s="12" t="s">
        <v>15</v>
      </c>
      <c r="R33" s="14" t="s">
        <v>200</v>
      </c>
      <c r="S33" s="12" t="s">
        <v>199</v>
      </c>
      <c r="T33" s="14" t="s">
        <v>271</v>
      </c>
      <c r="U33" s="12" t="s">
        <v>314</v>
      </c>
      <c r="V33" s="4" t="s">
        <v>0</v>
      </c>
      <c r="W33" s="3" t="str">
        <f t="shared" si="0"/>
        <v>BAN-P0.60m-LIN-SEC-EAC</v>
      </c>
      <c r="X33" s="3" t="str">
        <f t="shared" si="1"/>
        <v>BAN-P0.60m-LIN-SEC-EAC-32</v>
      </c>
      <c r="Y33" s="3" t="str">
        <f t="shared" si="2"/>
        <v>Bancada 0.60m lineal seca para ensáios acústicos. Localização: bloco A</v>
      </c>
    </row>
    <row r="34" spans="1:25" ht="8.25" customHeight="1" x14ac:dyDescent="0.25">
      <c r="A34" s="13">
        <v>33</v>
      </c>
      <c r="B34" s="5" t="s">
        <v>13</v>
      </c>
      <c r="C34" s="12" t="s">
        <v>14</v>
      </c>
      <c r="D34" s="3" t="s">
        <v>13</v>
      </c>
      <c r="E34" s="12" t="s">
        <v>248</v>
      </c>
      <c r="F34" s="2" t="s">
        <v>2</v>
      </c>
      <c r="G34" s="12" t="s">
        <v>249</v>
      </c>
      <c r="H34" s="2" t="s">
        <v>524</v>
      </c>
      <c r="I34" s="12" t="s">
        <v>0</v>
      </c>
      <c r="J34" s="2" t="s">
        <v>2</v>
      </c>
      <c r="K34" s="12" t="s">
        <v>505</v>
      </c>
      <c r="L34" s="2" t="s">
        <v>2</v>
      </c>
      <c r="M34" s="12" t="s">
        <v>61</v>
      </c>
      <c r="N34" s="14" t="s">
        <v>143</v>
      </c>
      <c r="O34" s="12" t="s">
        <v>2</v>
      </c>
      <c r="P34" s="14" t="s">
        <v>2</v>
      </c>
      <c r="Q34" s="12" t="s">
        <v>15</v>
      </c>
      <c r="R34" s="14" t="s">
        <v>200</v>
      </c>
      <c r="S34" s="12" t="s">
        <v>39</v>
      </c>
      <c r="T34" s="14" t="s">
        <v>272</v>
      </c>
      <c r="U34" s="12" t="s">
        <v>314</v>
      </c>
      <c r="V34" s="4" t="s">
        <v>0</v>
      </c>
      <c r="W34" s="3" t="str">
        <f t="shared" si="0"/>
        <v>BAN-P0.60m-LIN-SEC-BIO</v>
      </c>
      <c r="X34" s="3" t="str">
        <f t="shared" si="1"/>
        <v>BAN-P0.60m-LIN-SEC-BIO-33</v>
      </c>
      <c r="Y34" s="3" t="str">
        <f t="shared" si="2"/>
        <v>Bancada 0.60m lineal seca para ensáios biológicos. Localização: bloco A</v>
      </c>
    </row>
    <row r="35" spans="1:25" ht="8.25" customHeight="1" x14ac:dyDescent="0.25">
      <c r="A35" s="13">
        <v>34</v>
      </c>
      <c r="B35" s="5" t="s">
        <v>13</v>
      </c>
      <c r="C35" s="12" t="s">
        <v>14</v>
      </c>
      <c r="D35" s="3" t="s">
        <v>13</v>
      </c>
      <c r="E35" s="12" t="s">
        <v>248</v>
      </c>
      <c r="F35" s="2" t="s">
        <v>2</v>
      </c>
      <c r="G35" s="12" t="s">
        <v>249</v>
      </c>
      <c r="H35" s="2" t="s">
        <v>524</v>
      </c>
      <c r="I35" s="12" t="s">
        <v>0</v>
      </c>
      <c r="J35" s="2" t="s">
        <v>2</v>
      </c>
      <c r="K35" s="12" t="s">
        <v>505</v>
      </c>
      <c r="L35" s="2" t="s">
        <v>2</v>
      </c>
      <c r="M35" s="12" t="s">
        <v>61</v>
      </c>
      <c r="N35" s="14" t="s">
        <v>143</v>
      </c>
      <c r="O35" s="12" t="s">
        <v>105</v>
      </c>
      <c r="P35" s="14" t="s">
        <v>201</v>
      </c>
      <c r="Q35" s="12" t="s">
        <v>16</v>
      </c>
      <c r="R35" s="14" t="s">
        <v>267</v>
      </c>
      <c r="S35" s="12" t="s">
        <v>477</v>
      </c>
      <c r="T35" s="14" t="s">
        <v>273</v>
      </c>
      <c r="U35" s="12" t="s">
        <v>314</v>
      </c>
      <c r="V35" s="4" t="s">
        <v>0</v>
      </c>
      <c r="W35" s="3" t="str">
        <f t="shared" si="0"/>
        <v>BAN-P0.60m-LIN-1PI-H2O-BII</v>
      </c>
      <c r="X35" s="3" t="str">
        <f t="shared" si="1"/>
        <v>BAN-P0.60m-LIN-1PI-H2O-BII-34</v>
      </c>
      <c r="Y35" s="3" t="str">
        <f t="shared" si="2"/>
        <v>Bancada 0.60m lineal com pia de água para ensáios biológicos insetos. Localização: bloco A</v>
      </c>
    </row>
    <row r="36" spans="1:25" ht="8.25" customHeight="1" x14ac:dyDescent="0.25">
      <c r="A36" s="13">
        <v>35</v>
      </c>
      <c r="B36" s="5" t="s">
        <v>13</v>
      </c>
      <c r="C36" s="12" t="s">
        <v>14</v>
      </c>
      <c r="D36" s="3" t="s">
        <v>13</v>
      </c>
      <c r="E36" s="12" t="s">
        <v>248</v>
      </c>
      <c r="F36" s="2" t="s">
        <v>2</v>
      </c>
      <c r="G36" s="12" t="s">
        <v>249</v>
      </c>
      <c r="H36" s="2" t="s">
        <v>524</v>
      </c>
      <c r="I36" s="12" t="s">
        <v>0</v>
      </c>
      <c r="J36" s="2" t="s">
        <v>2</v>
      </c>
      <c r="K36" s="12" t="s">
        <v>505</v>
      </c>
      <c r="L36" s="2" t="s">
        <v>2</v>
      </c>
      <c r="M36" s="12" t="s">
        <v>61</v>
      </c>
      <c r="N36" s="14" t="s">
        <v>143</v>
      </c>
      <c r="O36" s="12" t="s">
        <v>105</v>
      </c>
      <c r="P36" s="14" t="s">
        <v>201</v>
      </c>
      <c r="Q36" s="12" t="s">
        <v>16</v>
      </c>
      <c r="R36" s="14" t="s">
        <v>267</v>
      </c>
      <c r="S36" s="12" t="s">
        <v>478</v>
      </c>
      <c r="T36" s="14" t="s">
        <v>274</v>
      </c>
      <c r="U36" s="12" t="s">
        <v>314</v>
      </c>
      <c r="V36" s="4" t="s">
        <v>0</v>
      </c>
      <c r="W36" s="3" t="str">
        <f t="shared" si="0"/>
        <v>BAN-P0.60m-LIN-1PI-H2O-BIL</v>
      </c>
      <c r="X36" s="3" t="str">
        <f t="shared" si="1"/>
        <v>BAN-P0.60m-LIN-1PI-H2O-BIL-35</v>
      </c>
      <c r="Y36" s="3" t="str">
        <f t="shared" si="2"/>
        <v>Bancada 0.60m lineal com pia de água para ensáios biológicos molecular. Localização: bloco A</v>
      </c>
    </row>
    <row r="37" spans="1:25" ht="8.25" customHeight="1" x14ac:dyDescent="0.25">
      <c r="A37" s="13">
        <v>36</v>
      </c>
      <c r="B37" s="5" t="s">
        <v>13</v>
      </c>
      <c r="C37" s="12" t="s">
        <v>14</v>
      </c>
      <c r="D37" s="3" t="s">
        <v>13</v>
      </c>
      <c r="E37" s="12" t="s">
        <v>248</v>
      </c>
      <c r="F37" s="2" t="s">
        <v>2</v>
      </c>
      <c r="G37" s="12" t="s">
        <v>249</v>
      </c>
      <c r="H37" s="2" t="s">
        <v>524</v>
      </c>
      <c r="I37" s="12" t="s">
        <v>0</v>
      </c>
      <c r="J37" s="2" t="s">
        <v>2</v>
      </c>
      <c r="K37" s="12" t="s">
        <v>505</v>
      </c>
      <c r="L37" s="2" t="s">
        <v>2</v>
      </c>
      <c r="M37" s="12" t="s">
        <v>61</v>
      </c>
      <c r="N37" s="14" t="s">
        <v>143</v>
      </c>
      <c r="O37" s="12" t="s">
        <v>2</v>
      </c>
      <c r="P37" s="14" t="s">
        <v>2</v>
      </c>
      <c r="Q37" s="12" t="s">
        <v>15</v>
      </c>
      <c r="R37" s="14" t="s">
        <v>200</v>
      </c>
      <c r="S37" s="12" t="s">
        <v>193</v>
      </c>
      <c r="T37" s="14" t="s">
        <v>476</v>
      </c>
      <c r="U37" s="12" t="s">
        <v>314</v>
      </c>
      <c r="V37" s="4" t="s">
        <v>0</v>
      </c>
      <c r="W37" s="3" t="str">
        <f t="shared" si="0"/>
        <v>BAN-P0.60m-LIN-SEC-EEE</v>
      </c>
      <c r="X37" s="3" t="str">
        <f t="shared" si="1"/>
        <v>BAN-P0.60m-LIN-SEC-EEE-36</v>
      </c>
      <c r="Y37" s="3" t="str">
        <f t="shared" si="2"/>
        <v>Bancada 0.60m lineal seca para ensáios elétricos. Localização: bloco A</v>
      </c>
    </row>
    <row r="38" spans="1:25" ht="8.25" customHeight="1" x14ac:dyDescent="0.25">
      <c r="A38" s="13">
        <v>37</v>
      </c>
      <c r="B38" s="5" t="s">
        <v>13</v>
      </c>
      <c r="C38" s="12" t="s">
        <v>14</v>
      </c>
      <c r="D38" s="3" t="s">
        <v>13</v>
      </c>
      <c r="E38" s="12" t="s">
        <v>248</v>
      </c>
      <c r="F38" s="2" t="s">
        <v>2</v>
      </c>
      <c r="G38" s="12" t="s">
        <v>249</v>
      </c>
      <c r="H38" s="2" t="s">
        <v>524</v>
      </c>
      <c r="I38" s="12" t="s">
        <v>0</v>
      </c>
      <c r="J38" s="2" t="s">
        <v>2</v>
      </c>
      <c r="K38" s="12" t="s">
        <v>505</v>
      </c>
      <c r="L38" s="2" t="s">
        <v>2</v>
      </c>
      <c r="M38" s="12" t="s">
        <v>61</v>
      </c>
      <c r="N38" s="14" t="s">
        <v>143</v>
      </c>
      <c r="O38" s="12" t="s">
        <v>2</v>
      </c>
      <c r="P38" s="14" t="s">
        <v>2</v>
      </c>
      <c r="Q38" s="12" t="s">
        <v>15</v>
      </c>
      <c r="R38" s="14" t="s">
        <v>200</v>
      </c>
      <c r="S38" s="12" t="s">
        <v>195</v>
      </c>
      <c r="T38" s="14" t="s">
        <v>275</v>
      </c>
      <c r="U38" s="12" t="s">
        <v>314</v>
      </c>
      <c r="V38" s="4" t="s">
        <v>0</v>
      </c>
      <c r="W38" s="3" t="str">
        <f t="shared" si="0"/>
        <v>BAN-P0.60m-LIN-SEC-EES</v>
      </c>
      <c r="X38" s="3" t="str">
        <f t="shared" si="1"/>
        <v>BAN-P0.60m-LIN-SEC-EES-37</v>
      </c>
      <c r="Y38" s="3" t="str">
        <f t="shared" si="2"/>
        <v>Bancada 0.60m lineal seca para ensáios estruturais. Localização: bloco A</v>
      </c>
    </row>
    <row r="39" spans="1:25" ht="8.25" customHeight="1" x14ac:dyDescent="0.25">
      <c r="A39" s="13">
        <v>38</v>
      </c>
      <c r="B39" s="5" t="s">
        <v>13</v>
      </c>
      <c r="C39" s="12" t="s">
        <v>14</v>
      </c>
      <c r="D39" s="3" t="s">
        <v>13</v>
      </c>
      <c r="E39" s="12" t="s">
        <v>248</v>
      </c>
      <c r="F39" s="2" t="s">
        <v>2</v>
      </c>
      <c r="G39" s="12" t="s">
        <v>249</v>
      </c>
      <c r="H39" s="2" t="s">
        <v>524</v>
      </c>
      <c r="I39" s="12" t="s">
        <v>0</v>
      </c>
      <c r="J39" s="2" t="s">
        <v>2</v>
      </c>
      <c r="K39" s="12" t="s">
        <v>505</v>
      </c>
      <c r="L39" s="2" t="s">
        <v>2</v>
      </c>
      <c r="M39" s="12" t="s">
        <v>61</v>
      </c>
      <c r="N39" s="14" t="s">
        <v>143</v>
      </c>
      <c r="O39" s="12" t="s">
        <v>2</v>
      </c>
      <c r="P39" s="14" t="s">
        <v>2</v>
      </c>
      <c r="Q39" s="12" t="s">
        <v>15</v>
      </c>
      <c r="R39" s="14" t="s">
        <v>200</v>
      </c>
      <c r="S39" s="12" t="s">
        <v>191</v>
      </c>
      <c r="T39" s="14" t="s">
        <v>276</v>
      </c>
      <c r="U39" s="12" t="s">
        <v>314</v>
      </c>
      <c r="V39" s="4" t="s">
        <v>0</v>
      </c>
      <c r="W39" s="3" t="str">
        <f t="shared" si="0"/>
        <v>BAN-P0.60m-LIN-SEC-EFI</v>
      </c>
      <c r="X39" s="3" t="str">
        <f t="shared" si="1"/>
        <v>BAN-P0.60m-LIN-SEC-EFI-38</v>
      </c>
      <c r="Y39" s="3" t="str">
        <f t="shared" si="2"/>
        <v>Bancada 0.60m lineal seca para ensáios físicos. Localização: bloco A</v>
      </c>
    </row>
    <row r="40" spans="1:25" ht="8.25" customHeight="1" x14ac:dyDescent="0.25">
      <c r="A40" s="13">
        <v>39</v>
      </c>
      <c r="B40" s="5" t="s">
        <v>13</v>
      </c>
      <c r="C40" s="12" t="s">
        <v>14</v>
      </c>
      <c r="D40" s="3" t="s">
        <v>13</v>
      </c>
      <c r="E40" s="12" t="s">
        <v>248</v>
      </c>
      <c r="F40" s="2" t="s">
        <v>2</v>
      </c>
      <c r="G40" s="12" t="s">
        <v>249</v>
      </c>
      <c r="H40" s="2" t="s">
        <v>524</v>
      </c>
      <c r="I40" s="12" t="s">
        <v>0</v>
      </c>
      <c r="J40" s="2" t="s">
        <v>2</v>
      </c>
      <c r="K40" s="12" t="s">
        <v>505</v>
      </c>
      <c r="L40" s="2" t="s">
        <v>2</v>
      </c>
      <c r="M40" s="12" t="s">
        <v>61</v>
      </c>
      <c r="N40" s="14" t="s">
        <v>143</v>
      </c>
      <c r="O40" s="12" t="s">
        <v>2</v>
      </c>
      <c r="P40" s="14" t="s">
        <v>2</v>
      </c>
      <c r="Q40" s="12" t="s">
        <v>15</v>
      </c>
      <c r="R40" s="14" t="s">
        <v>200</v>
      </c>
      <c r="S40" s="12" t="s">
        <v>198</v>
      </c>
      <c r="T40" s="14" t="s">
        <v>277</v>
      </c>
      <c r="U40" s="12" t="s">
        <v>314</v>
      </c>
      <c r="V40" s="4" t="s">
        <v>0</v>
      </c>
      <c r="W40" s="3" t="str">
        <f t="shared" si="0"/>
        <v>BAN-P0.60m-LIN-SEC-EMG</v>
      </c>
      <c r="X40" s="3" t="str">
        <f t="shared" si="1"/>
        <v>BAN-P0.60m-LIN-SEC-EMG-39</v>
      </c>
      <c r="Y40" s="3" t="str">
        <f t="shared" si="2"/>
        <v>Bancada 0.60m lineal seca para ensáios magnéticos. Localização: bloco A</v>
      </c>
    </row>
    <row r="41" spans="1:25" ht="8.25" customHeight="1" x14ac:dyDescent="0.25">
      <c r="A41" s="13">
        <v>40</v>
      </c>
      <c r="B41" s="5" t="s">
        <v>13</v>
      </c>
      <c r="C41" s="12" t="s">
        <v>14</v>
      </c>
      <c r="D41" s="3" t="s">
        <v>13</v>
      </c>
      <c r="E41" s="12" t="s">
        <v>248</v>
      </c>
      <c r="F41" s="2" t="s">
        <v>2</v>
      </c>
      <c r="G41" s="12" t="s">
        <v>249</v>
      </c>
      <c r="H41" s="2" t="s">
        <v>524</v>
      </c>
      <c r="I41" s="12" t="s">
        <v>0</v>
      </c>
      <c r="J41" s="2" t="s">
        <v>2</v>
      </c>
      <c r="K41" s="12" t="s">
        <v>505</v>
      </c>
      <c r="L41" s="2" t="s">
        <v>2</v>
      </c>
      <c r="M41" s="12" t="s">
        <v>61</v>
      </c>
      <c r="N41" s="14" t="s">
        <v>143</v>
      </c>
      <c r="O41" s="12" t="s">
        <v>105</v>
      </c>
      <c r="P41" s="14" t="s">
        <v>201</v>
      </c>
      <c r="Q41" s="12" t="s">
        <v>16</v>
      </c>
      <c r="R41" s="14" t="s">
        <v>267</v>
      </c>
      <c r="S41" s="12" t="s">
        <v>192</v>
      </c>
      <c r="T41" s="14" t="s">
        <v>278</v>
      </c>
      <c r="U41" s="12" t="s">
        <v>314</v>
      </c>
      <c r="V41" s="4" t="s">
        <v>0</v>
      </c>
      <c r="W41" s="3" t="str">
        <f t="shared" si="0"/>
        <v>BAN-P0.60m-LIN-1PI-H2O-EQI</v>
      </c>
      <c r="X41" s="3" t="str">
        <f t="shared" si="1"/>
        <v>BAN-P0.60m-LIN-1PI-H2O-EQI-40</v>
      </c>
      <c r="Y41" s="3" t="str">
        <f t="shared" si="2"/>
        <v>Bancada 0.60m lineal com pia de água para ensáios químicos. Localização: bloco A</v>
      </c>
    </row>
    <row r="42" spans="1:25" ht="8.25" customHeight="1" x14ac:dyDescent="0.25">
      <c r="A42" s="13">
        <v>41</v>
      </c>
      <c r="B42" s="5" t="s">
        <v>13</v>
      </c>
      <c r="C42" s="12" t="s">
        <v>14</v>
      </c>
      <c r="D42" s="3" t="s">
        <v>13</v>
      </c>
      <c r="E42" s="12" t="s">
        <v>248</v>
      </c>
      <c r="F42" s="2" t="s">
        <v>2</v>
      </c>
      <c r="G42" s="12" t="s">
        <v>249</v>
      </c>
      <c r="H42" s="2" t="s">
        <v>524</v>
      </c>
      <c r="I42" s="12" t="s">
        <v>0</v>
      </c>
      <c r="J42" s="2" t="s">
        <v>2</v>
      </c>
      <c r="K42" s="12" t="s">
        <v>505</v>
      </c>
      <c r="L42" s="2" t="s">
        <v>2</v>
      </c>
      <c r="M42" s="12" t="s">
        <v>61</v>
      </c>
      <c r="N42" s="14" t="s">
        <v>143</v>
      </c>
      <c r="O42" s="12" t="s">
        <v>105</v>
      </c>
      <c r="P42" s="14" t="s">
        <v>201</v>
      </c>
      <c r="Q42" s="12" t="s">
        <v>42</v>
      </c>
      <c r="R42" s="14" t="s">
        <v>268</v>
      </c>
      <c r="S42" s="12" t="s">
        <v>192</v>
      </c>
      <c r="T42" s="14" t="s">
        <v>278</v>
      </c>
      <c r="U42" s="12" t="s">
        <v>314</v>
      </c>
      <c r="V42" s="4" t="s">
        <v>0</v>
      </c>
      <c r="W42" s="3" t="str">
        <f t="shared" si="0"/>
        <v>BAN-P0.60m-LIN-1PI-ACI-EQI</v>
      </c>
      <c r="X42" s="3" t="str">
        <f t="shared" si="1"/>
        <v>BAN-P0.60m-LIN-1PI-ACI-EQI-41</v>
      </c>
      <c r="Y42" s="3" t="str">
        <f t="shared" si="2"/>
        <v>Bancada 0.60m lineal com pia de ácidos para ensáios químicos. Localização: bloco A</v>
      </c>
    </row>
    <row r="43" spans="1:25" ht="8.25" customHeight="1" x14ac:dyDescent="0.25">
      <c r="A43" s="13">
        <v>42</v>
      </c>
      <c r="B43" s="5" t="s">
        <v>13</v>
      </c>
      <c r="C43" s="12" t="s">
        <v>14</v>
      </c>
      <c r="D43" s="3" t="s">
        <v>13</v>
      </c>
      <c r="E43" s="12" t="s">
        <v>248</v>
      </c>
      <c r="F43" s="2" t="s">
        <v>2</v>
      </c>
      <c r="G43" s="12" t="s">
        <v>249</v>
      </c>
      <c r="H43" s="2" t="s">
        <v>524</v>
      </c>
      <c r="I43" s="12" t="s">
        <v>0</v>
      </c>
      <c r="J43" s="2" t="s">
        <v>2</v>
      </c>
      <c r="K43" s="12" t="s">
        <v>505</v>
      </c>
      <c r="L43" s="2" t="s">
        <v>2</v>
      </c>
      <c r="M43" s="12" t="s">
        <v>61</v>
      </c>
      <c r="N43" s="14" t="s">
        <v>143</v>
      </c>
      <c r="O43" s="12" t="s">
        <v>105</v>
      </c>
      <c r="P43" s="14" t="s">
        <v>201</v>
      </c>
      <c r="Q43" s="12" t="s">
        <v>42</v>
      </c>
      <c r="R43" s="14" t="s">
        <v>268</v>
      </c>
      <c r="S43" s="12" t="s">
        <v>194</v>
      </c>
      <c r="T43" s="14" t="s">
        <v>279</v>
      </c>
      <c r="U43" s="12" t="s">
        <v>314</v>
      </c>
      <c r="V43" s="4" t="s">
        <v>0</v>
      </c>
      <c r="W43" s="3" t="str">
        <f t="shared" si="0"/>
        <v>BAN-P0.60m-LIN-1PI-ACI-EQP</v>
      </c>
      <c r="X43" s="3" t="str">
        <f t="shared" si="1"/>
        <v>BAN-P0.60m-LIN-1PI-ACI-EQP-42</v>
      </c>
      <c r="Y43" s="3" t="str">
        <f t="shared" si="2"/>
        <v>Bancada 0.60m lineal com pia de ácidos para ensáios químicos pós. Localização: bloco A</v>
      </c>
    </row>
    <row r="44" spans="1:25" ht="8.25" customHeight="1" x14ac:dyDescent="0.25">
      <c r="A44" s="13">
        <v>43</v>
      </c>
      <c r="B44" s="5" t="s">
        <v>13</v>
      </c>
      <c r="C44" s="12" t="s">
        <v>14</v>
      </c>
      <c r="D44" s="3" t="s">
        <v>13</v>
      </c>
      <c r="E44" s="12" t="s">
        <v>248</v>
      </c>
      <c r="F44" s="2" t="s">
        <v>2</v>
      </c>
      <c r="G44" s="12" t="s">
        <v>249</v>
      </c>
      <c r="H44" s="2" t="s">
        <v>524</v>
      </c>
      <c r="I44" s="12" t="s">
        <v>0</v>
      </c>
      <c r="J44" s="2" t="s">
        <v>2</v>
      </c>
      <c r="K44" s="12" t="s">
        <v>505</v>
      </c>
      <c r="L44" s="2" t="s">
        <v>2</v>
      </c>
      <c r="M44" s="12" t="s">
        <v>61</v>
      </c>
      <c r="N44" s="14" t="s">
        <v>143</v>
      </c>
      <c r="O44" s="12" t="s">
        <v>2</v>
      </c>
      <c r="P44" s="14" t="s">
        <v>2</v>
      </c>
      <c r="Q44" s="12" t="s">
        <v>15</v>
      </c>
      <c r="R44" s="14" t="s">
        <v>200</v>
      </c>
      <c r="S44" s="12" t="s">
        <v>41</v>
      </c>
      <c r="T44" s="14" t="s">
        <v>280</v>
      </c>
      <c r="U44" s="12" t="s">
        <v>314</v>
      </c>
      <c r="V44" s="4" t="s">
        <v>0</v>
      </c>
      <c r="W44" s="3" t="str">
        <f t="shared" si="0"/>
        <v>BAN-P0.60m-LIN-SEC-INF</v>
      </c>
      <c r="X44" s="3" t="str">
        <f t="shared" si="1"/>
        <v>BAN-P0.60m-LIN-SEC-INF-43</v>
      </c>
      <c r="Y44" s="3" t="str">
        <f t="shared" si="2"/>
        <v>Bancada 0.60m lineal seca para informática. Localização: bloco A</v>
      </c>
    </row>
    <row r="45" spans="1:25" ht="8.25" customHeight="1" x14ac:dyDescent="0.25">
      <c r="A45" s="13">
        <v>44</v>
      </c>
      <c r="B45" s="5" t="s">
        <v>13</v>
      </c>
      <c r="C45" s="12" t="s">
        <v>14</v>
      </c>
      <c r="D45" s="3" t="s">
        <v>13</v>
      </c>
      <c r="E45" s="12" t="s">
        <v>248</v>
      </c>
      <c r="F45" s="2" t="s">
        <v>2</v>
      </c>
      <c r="G45" s="12" t="s">
        <v>249</v>
      </c>
      <c r="H45" s="2" t="s">
        <v>530</v>
      </c>
      <c r="I45" s="12" t="s">
        <v>0</v>
      </c>
      <c r="J45" s="2" t="s">
        <v>2</v>
      </c>
      <c r="K45" s="12" t="s">
        <v>505</v>
      </c>
      <c r="L45" s="2" t="s">
        <v>2</v>
      </c>
      <c r="M45" s="12" t="s">
        <v>61</v>
      </c>
      <c r="N45" s="14" t="s">
        <v>143</v>
      </c>
      <c r="O45" s="12" t="s">
        <v>2</v>
      </c>
      <c r="P45" s="14" t="s">
        <v>2</v>
      </c>
      <c r="Q45" s="12" t="s">
        <v>15</v>
      </c>
      <c r="R45" s="14" t="s">
        <v>200</v>
      </c>
      <c r="S45" s="12" t="s">
        <v>35</v>
      </c>
      <c r="T45" s="14" t="s">
        <v>475</v>
      </c>
      <c r="U45" s="12" t="s">
        <v>314</v>
      </c>
      <c r="V45" s="4" t="s">
        <v>0</v>
      </c>
      <c r="W45" s="3" t="str">
        <f t="shared" si="0"/>
        <v>BAN-P0.50m-LIN-SEC-LAB</v>
      </c>
      <c r="X45" s="3" t="str">
        <f t="shared" si="1"/>
        <v>BAN-P0.50m-LIN-SEC-LAB-44</v>
      </c>
      <c r="Y45" s="3" t="str">
        <f t="shared" si="2"/>
        <v>Bancada 0.50m lineal seca para laboratório. Localização: bloco A</v>
      </c>
    </row>
    <row r="46" spans="1:25" ht="8.25" customHeight="1" x14ac:dyDescent="0.25">
      <c r="A46" s="13">
        <v>45</v>
      </c>
      <c r="B46" s="5" t="s">
        <v>13</v>
      </c>
      <c r="C46" s="12" t="s">
        <v>14</v>
      </c>
      <c r="D46" s="3" t="s">
        <v>13</v>
      </c>
      <c r="E46" s="12" t="s">
        <v>248</v>
      </c>
      <c r="F46" s="2" t="s">
        <v>2</v>
      </c>
      <c r="G46" s="12" t="s">
        <v>249</v>
      </c>
      <c r="H46" s="2" t="s">
        <v>530</v>
      </c>
      <c r="I46" s="12" t="s">
        <v>0</v>
      </c>
      <c r="J46" s="2" t="s">
        <v>2</v>
      </c>
      <c r="K46" s="12" t="s">
        <v>505</v>
      </c>
      <c r="L46" s="2" t="s">
        <v>2</v>
      </c>
      <c r="M46" s="12" t="s">
        <v>62</v>
      </c>
      <c r="N46" s="14" t="s">
        <v>196</v>
      </c>
      <c r="O46" s="12" t="s">
        <v>2</v>
      </c>
      <c r="P46" s="14" t="s">
        <v>2</v>
      </c>
      <c r="Q46" s="12" t="s">
        <v>15</v>
      </c>
      <c r="R46" s="14" t="s">
        <v>200</v>
      </c>
      <c r="S46" s="12" t="s">
        <v>35</v>
      </c>
      <c r="T46" s="14" t="s">
        <v>475</v>
      </c>
      <c r="U46" s="12" t="s">
        <v>314</v>
      </c>
      <c r="V46" s="4" t="s">
        <v>0</v>
      </c>
      <c r="W46" s="3" t="str">
        <f t="shared" si="0"/>
        <v>BAN-P0.50m-PON-SEC-LAB</v>
      </c>
      <c r="X46" s="3" t="str">
        <f t="shared" si="1"/>
        <v>BAN-P0.50m-PON-SEC-LAB-45</v>
      </c>
      <c r="Y46" s="3" t="str">
        <f t="shared" si="2"/>
        <v>Bancada 0.50m em ponta  seca para laboratório. Localização: bloco A</v>
      </c>
    </row>
    <row r="47" spans="1:25" ht="8.25" customHeight="1" x14ac:dyDescent="0.25">
      <c r="A47" s="13">
        <v>46</v>
      </c>
      <c r="B47" s="5" t="s">
        <v>13</v>
      </c>
      <c r="C47" s="12" t="s">
        <v>14</v>
      </c>
      <c r="D47" s="3" t="s">
        <v>13</v>
      </c>
      <c r="E47" s="12" t="s">
        <v>248</v>
      </c>
      <c r="F47" s="2" t="s">
        <v>2</v>
      </c>
      <c r="G47" s="12" t="s">
        <v>249</v>
      </c>
      <c r="H47" s="2" t="s">
        <v>530</v>
      </c>
      <c r="I47" s="12" t="s">
        <v>0</v>
      </c>
      <c r="J47" s="2" t="s">
        <v>2</v>
      </c>
      <c r="K47" s="12" t="s">
        <v>505</v>
      </c>
      <c r="L47" s="2" t="s">
        <v>2</v>
      </c>
      <c r="M47" s="12" t="s">
        <v>118</v>
      </c>
      <c r="N47" s="14" t="s">
        <v>197</v>
      </c>
      <c r="O47" s="12" t="s">
        <v>2</v>
      </c>
      <c r="P47" s="14" t="s">
        <v>2</v>
      </c>
      <c r="Q47" s="12" t="s">
        <v>15</v>
      </c>
      <c r="R47" s="14" t="s">
        <v>200</v>
      </c>
      <c r="S47" s="12" t="s">
        <v>35</v>
      </c>
      <c r="T47" s="14" t="s">
        <v>475</v>
      </c>
      <c r="U47" s="12" t="s">
        <v>314</v>
      </c>
      <c r="V47" s="4" t="s">
        <v>0</v>
      </c>
      <c r="W47" s="3" t="str">
        <f t="shared" si="0"/>
        <v>BAN-P0.50m-ILH-SEC-LAB</v>
      </c>
      <c r="X47" s="3" t="str">
        <f t="shared" si="1"/>
        <v>BAN-P0.50m-ILH-SEC-LAB-46</v>
      </c>
      <c r="Y47" s="3" t="str">
        <f t="shared" si="2"/>
        <v>Bancada 0.50m em ilha  seca para laboratório. Localização: bloco A</v>
      </c>
    </row>
    <row r="48" spans="1:25" ht="8.25" customHeight="1" x14ac:dyDescent="0.25">
      <c r="A48" s="13">
        <v>47</v>
      </c>
      <c r="B48" s="5" t="s">
        <v>13</v>
      </c>
      <c r="C48" s="12" t="s">
        <v>14</v>
      </c>
      <c r="D48" s="3" t="s">
        <v>13</v>
      </c>
      <c r="E48" s="12" t="s">
        <v>248</v>
      </c>
      <c r="F48" s="2" t="s">
        <v>2</v>
      </c>
      <c r="G48" s="12" t="s">
        <v>249</v>
      </c>
      <c r="H48" s="2" t="s">
        <v>530</v>
      </c>
      <c r="I48" s="12" t="s">
        <v>0</v>
      </c>
      <c r="J48" s="2" t="s">
        <v>2</v>
      </c>
      <c r="K48" s="12" t="s">
        <v>505</v>
      </c>
      <c r="L48" s="2" t="s">
        <v>2</v>
      </c>
      <c r="M48" s="12" t="s">
        <v>32</v>
      </c>
      <c r="N48" s="14" t="s">
        <v>463</v>
      </c>
      <c r="O48" s="12" t="s">
        <v>2</v>
      </c>
      <c r="P48" s="14" t="s">
        <v>2</v>
      </c>
      <c r="Q48" s="12" t="s">
        <v>15</v>
      </c>
      <c r="R48" s="14" t="s">
        <v>200</v>
      </c>
      <c r="S48" s="12" t="s">
        <v>35</v>
      </c>
      <c r="T48" s="14" t="s">
        <v>475</v>
      </c>
      <c r="U48" s="12" t="s">
        <v>314</v>
      </c>
      <c r="V48" s="4" t="s">
        <v>0</v>
      </c>
      <c r="W48" s="3" t="str">
        <f t="shared" si="0"/>
        <v>BAN-P0.50m-ELE-SEC-LAB</v>
      </c>
      <c r="X48" s="3" t="str">
        <f t="shared" si="1"/>
        <v>BAN-P0.50m-ELE-SEC-LAB-47</v>
      </c>
      <c r="Y48" s="3" t="str">
        <f t="shared" si="2"/>
        <v>Bancada 0.50m em L  seca para laboratório. Localização: bloco A</v>
      </c>
    </row>
    <row r="49" spans="1:25" ht="8.25" customHeight="1" x14ac:dyDescent="0.25">
      <c r="A49" s="13">
        <v>48</v>
      </c>
      <c r="B49" s="5" t="s">
        <v>13</v>
      </c>
      <c r="C49" s="12" t="s">
        <v>14</v>
      </c>
      <c r="D49" s="3" t="s">
        <v>13</v>
      </c>
      <c r="E49" s="12" t="s">
        <v>248</v>
      </c>
      <c r="F49" s="2" t="s">
        <v>2</v>
      </c>
      <c r="G49" s="12" t="s">
        <v>249</v>
      </c>
      <c r="H49" s="2" t="s">
        <v>542</v>
      </c>
      <c r="I49" s="12" t="s">
        <v>0</v>
      </c>
      <c r="J49" s="2" t="s">
        <v>2</v>
      </c>
      <c r="K49" s="12" t="s">
        <v>505</v>
      </c>
      <c r="L49" s="2" t="s">
        <v>2</v>
      </c>
      <c r="M49" s="12" t="s">
        <v>61</v>
      </c>
      <c r="N49" s="14" t="s">
        <v>143</v>
      </c>
      <c r="O49" s="12" t="s">
        <v>2</v>
      </c>
      <c r="P49" s="14" t="s">
        <v>2</v>
      </c>
      <c r="Q49" s="12" t="s">
        <v>15</v>
      </c>
      <c r="R49" s="14" t="s">
        <v>200</v>
      </c>
      <c r="S49" s="12" t="s">
        <v>35</v>
      </c>
      <c r="T49" s="14" t="s">
        <v>475</v>
      </c>
      <c r="U49" s="12" t="s">
        <v>314</v>
      </c>
      <c r="V49" s="4" t="s">
        <v>0</v>
      </c>
      <c r="W49" s="3" t="str">
        <f t="shared" si="0"/>
        <v>BAN-P0.55m-LIN-SEC-LAB</v>
      </c>
      <c r="X49" s="3" t="str">
        <f t="shared" si="1"/>
        <v>BAN-P0.55m-LIN-SEC-LAB-48</v>
      </c>
      <c r="Y49" s="3" t="str">
        <f t="shared" si="2"/>
        <v>Bancada 0.55m lineal seca para laboratório. Localização: bloco A</v>
      </c>
    </row>
    <row r="50" spans="1:25" ht="8.25" customHeight="1" x14ac:dyDescent="0.25">
      <c r="A50" s="13">
        <v>49</v>
      </c>
      <c r="B50" s="5" t="s">
        <v>13</v>
      </c>
      <c r="C50" s="12" t="s">
        <v>14</v>
      </c>
      <c r="D50" s="3" t="s">
        <v>13</v>
      </c>
      <c r="E50" s="12" t="s">
        <v>248</v>
      </c>
      <c r="F50" s="2" t="s">
        <v>2</v>
      </c>
      <c r="G50" s="12" t="s">
        <v>249</v>
      </c>
      <c r="H50" s="2" t="s">
        <v>542</v>
      </c>
      <c r="I50" s="12" t="s">
        <v>0</v>
      </c>
      <c r="J50" s="2" t="s">
        <v>2</v>
      </c>
      <c r="K50" s="12" t="s">
        <v>505</v>
      </c>
      <c r="L50" s="2" t="s">
        <v>2</v>
      </c>
      <c r="M50" s="12" t="s">
        <v>61</v>
      </c>
      <c r="N50" s="14" t="s">
        <v>143</v>
      </c>
      <c r="O50" s="12" t="s">
        <v>2</v>
      </c>
      <c r="P50" s="14" t="s">
        <v>2</v>
      </c>
      <c r="Q50" s="12" t="s">
        <v>15</v>
      </c>
      <c r="R50" s="14" t="s">
        <v>200</v>
      </c>
      <c r="S50" s="12" t="s">
        <v>35</v>
      </c>
      <c r="T50" s="14" t="s">
        <v>475</v>
      </c>
      <c r="U50" s="12" t="s">
        <v>314</v>
      </c>
      <c r="V50" s="4" t="s">
        <v>0</v>
      </c>
      <c r="W50" s="3" t="str">
        <f t="shared" si="0"/>
        <v>BAN-P0.55m-LIN-SEC-LAB</v>
      </c>
      <c r="X50" s="3" t="str">
        <f t="shared" si="1"/>
        <v>BAN-P0.55m-LIN-SEC-LAB-49</v>
      </c>
      <c r="Y50" s="3" t="str">
        <f t="shared" si="2"/>
        <v>Bancada 0.55m lineal seca para laboratório. Localização: bloco A</v>
      </c>
    </row>
    <row r="51" spans="1:25" ht="8.25" customHeight="1" x14ac:dyDescent="0.25">
      <c r="A51" s="13">
        <v>50</v>
      </c>
      <c r="B51" s="5" t="s">
        <v>13</v>
      </c>
      <c r="C51" s="12" t="s">
        <v>14</v>
      </c>
      <c r="D51" s="3" t="s">
        <v>13</v>
      </c>
      <c r="E51" s="12" t="s">
        <v>248</v>
      </c>
      <c r="F51" s="2" t="s">
        <v>2</v>
      </c>
      <c r="G51" s="12" t="s">
        <v>249</v>
      </c>
      <c r="H51" s="2" t="s">
        <v>542</v>
      </c>
      <c r="I51" s="12" t="s">
        <v>0</v>
      </c>
      <c r="J51" s="2" t="s">
        <v>2</v>
      </c>
      <c r="K51" s="12" t="s">
        <v>505</v>
      </c>
      <c r="L51" s="2" t="s">
        <v>2</v>
      </c>
      <c r="M51" s="12" t="s">
        <v>61</v>
      </c>
      <c r="N51" s="14" t="s">
        <v>143</v>
      </c>
      <c r="O51" s="12" t="s">
        <v>2</v>
      </c>
      <c r="P51" s="14" t="s">
        <v>2</v>
      </c>
      <c r="Q51" s="12" t="s">
        <v>15</v>
      </c>
      <c r="R51" s="14" t="s">
        <v>200</v>
      </c>
      <c r="S51" s="12" t="s">
        <v>35</v>
      </c>
      <c r="T51" s="14" t="s">
        <v>475</v>
      </c>
      <c r="U51" s="12" t="s">
        <v>314</v>
      </c>
      <c r="V51" s="4" t="s">
        <v>0</v>
      </c>
      <c r="W51" s="3" t="str">
        <f t="shared" si="0"/>
        <v>BAN-P0.55m-LIN-SEC-LAB</v>
      </c>
      <c r="X51" s="3" t="str">
        <f t="shared" si="1"/>
        <v>BAN-P0.55m-LIN-SEC-LAB-50</v>
      </c>
      <c r="Y51" s="3" t="str">
        <f t="shared" si="2"/>
        <v>Bancada 0.55m lineal seca para laboratório. Localização: bloco A</v>
      </c>
    </row>
    <row r="52" spans="1:25" ht="8.25" customHeight="1" x14ac:dyDescent="0.25">
      <c r="A52" s="13">
        <v>51</v>
      </c>
      <c r="B52" s="5" t="s">
        <v>13</v>
      </c>
      <c r="C52" s="12" t="s">
        <v>14</v>
      </c>
      <c r="D52" s="3" t="s">
        <v>13</v>
      </c>
      <c r="E52" s="12" t="s">
        <v>248</v>
      </c>
      <c r="F52" s="2" t="s">
        <v>2</v>
      </c>
      <c r="G52" s="12" t="s">
        <v>249</v>
      </c>
      <c r="H52" s="2" t="s">
        <v>542</v>
      </c>
      <c r="I52" s="12" t="s">
        <v>0</v>
      </c>
      <c r="J52" s="2" t="s">
        <v>2</v>
      </c>
      <c r="K52" s="12" t="s">
        <v>505</v>
      </c>
      <c r="L52" s="2" t="s">
        <v>2</v>
      </c>
      <c r="M52" s="12" t="s">
        <v>61</v>
      </c>
      <c r="N52" s="14" t="s">
        <v>143</v>
      </c>
      <c r="O52" s="12" t="s">
        <v>2</v>
      </c>
      <c r="P52" s="14" t="s">
        <v>2</v>
      </c>
      <c r="Q52" s="12" t="s">
        <v>15</v>
      </c>
      <c r="R52" s="14" t="s">
        <v>200</v>
      </c>
      <c r="S52" s="12" t="s">
        <v>35</v>
      </c>
      <c r="T52" s="14" t="s">
        <v>475</v>
      </c>
      <c r="U52" s="12" t="s">
        <v>314</v>
      </c>
      <c r="V52" s="4" t="s">
        <v>0</v>
      </c>
      <c r="W52" s="3" t="str">
        <f t="shared" si="0"/>
        <v>BAN-P0.55m-LIN-SEC-LAB</v>
      </c>
      <c r="X52" s="3" t="str">
        <f t="shared" si="1"/>
        <v>BAN-P0.55m-LIN-SEC-LAB-51</v>
      </c>
      <c r="Y52" s="3" t="str">
        <f t="shared" si="2"/>
        <v>Bancada 0.55m lineal seca para laboratório. Localização: bloco A</v>
      </c>
    </row>
    <row r="53" spans="1:25" ht="8.25" customHeight="1" x14ac:dyDescent="0.25">
      <c r="A53" s="13">
        <v>52</v>
      </c>
      <c r="B53" s="5" t="s">
        <v>13</v>
      </c>
      <c r="C53" s="12" t="s">
        <v>14</v>
      </c>
      <c r="D53" s="3" t="s">
        <v>13</v>
      </c>
      <c r="E53" s="12" t="s">
        <v>248</v>
      </c>
      <c r="F53" s="2" t="s">
        <v>2</v>
      </c>
      <c r="G53" s="12" t="s">
        <v>249</v>
      </c>
      <c r="H53" s="2" t="s">
        <v>524</v>
      </c>
      <c r="I53" s="12" t="s">
        <v>0</v>
      </c>
      <c r="J53" s="2" t="s">
        <v>2</v>
      </c>
      <c r="K53" s="12" t="s">
        <v>505</v>
      </c>
      <c r="L53" s="2" t="s">
        <v>2</v>
      </c>
      <c r="M53" s="12" t="s">
        <v>61</v>
      </c>
      <c r="N53" s="14" t="s">
        <v>143</v>
      </c>
      <c r="O53" s="12" t="s">
        <v>2</v>
      </c>
      <c r="P53" s="14" t="s">
        <v>2</v>
      </c>
      <c r="Q53" s="12" t="s">
        <v>15</v>
      </c>
      <c r="R53" s="14" t="s">
        <v>200</v>
      </c>
      <c r="S53" s="12" t="s">
        <v>35</v>
      </c>
      <c r="T53" s="14" t="s">
        <v>475</v>
      </c>
      <c r="U53" s="12" t="s">
        <v>314</v>
      </c>
      <c r="V53" s="4" t="s">
        <v>0</v>
      </c>
      <c r="W53" s="3" t="str">
        <f t="shared" si="0"/>
        <v>BAN-P0.60m-LIN-SEC-LAB</v>
      </c>
      <c r="X53" s="3" t="str">
        <f t="shared" si="1"/>
        <v>BAN-P0.60m-LIN-SEC-LAB-52</v>
      </c>
      <c r="Y53" s="3" t="str">
        <f t="shared" si="2"/>
        <v>Bancada 0.60m lineal seca para laboratório. Localização: bloco A</v>
      </c>
    </row>
    <row r="54" spans="1:25" ht="8.25" customHeight="1" x14ac:dyDescent="0.25">
      <c r="A54" s="13">
        <v>53</v>
      </c>
      <c r="B54" s="5" t="s">
        <v>13</v>
      </c>
      <c r="C54" s="12" t="s">
        <v>14</v>
      </c>
      <c r="D54" s="3" t="s">
        <v>13</v>
      </c>
      <c r="E54" s="12" t="s">
        <v>248</v>
      </c>
      <c r="F54" s="2" t="s">
        <v>2</v>
      </c>
      <c r="G54" s="12" t="s">
        <v>249</v>
      </c>
      <c r="H54" s="2" t="s">
        <v>524</v>
      </c>
      <c r="I54" s="12" t="s">
        <v>0</v>
      </c>
      <c r="J54" s="2" t="s">
        <v>2</v>
      </c>
      <c r="K54" s="12" t="s">
        <v>505</v>
      </c>
      <c r="L54" s="2" t="s">
        <v>2</v>
      </c>
      <c r="M54" s="12" t="s">
        <v>61</v>
      </c>
      <c r="N54" s="14" t="s">
        <v>143</v>
      </c>
      <c r="O54" s="12" t="s">
        <v>105</v>
      </c>
      <c r="P54" s="14" t="s">
        <v>201</v>
      </c>
      <c r="Q54" s="12" t="s">
        <v>42</v>
      </c>
      <c r="R54" s="14" t="s">
        <v>268</v>
      </c>
      <c r="S54" s="12" t="s">
        <v>35</v>
      </c>
      <c r="T54" s="14" t="s">
        <v>475</v>
      </c>
      <c r="U54" s="12" t="s">
        <v>314</v>
      </c>
      <c r="V54" s="4" t="s">
        <v>0</v>
      </c>
      <c r="W54" s="3" t="str">
        <f t="shared" si="0"/>
        <v>BAN-P0.60m-LIN-1PI-ACI-LAB</v>
      </c>
      <c r="X54" s="3" t="str">
        <f t="shared" si="1"/>
        <v>BAN-P0.60m-LIN-1PI-ACI-LAB-53</v>
      </c>
      <c r="Y54" s="3" t="str">
        <f t="shared" si="2"/>
        <v>Bancada 0.60m lineal com pia de ácidos para laboratório. Localização: bloco A</v>
      </c>
    </row>
    <row r="55" spans="1:25" ht="8.25" customHeight="1" x14ac:dyDescent="0.25">
      <c r="A55" s="13">
        <v>54</v>
      </c>
      <c r="B55" s="5" t="s">
        <v>13</v>
      </c>
      <c r="C55" s="12" t="s">
        <v>14</v>
      </c>
      <c r="D55" s="3" t="s">
        <v>13</v>
      </c>
      <c r="E55" s="12" t="s">
        <v>248</v>
      </c>
      <c r="F55" s="2" t="s">
        <v>2</v>
      </c>
      <c r="G55" s="12" t="s">
        <v>249</v>
      </c>
      <c r="H55" s="2" t="s">
        <v>524</v>
      </c>
      <c r="I55" s="12" t="s">
        <v>0</v>
      </c>
      <c r="J55" s="2" t="s">
        <v>2</v>
      </c>
      <c r="K55" s="12" t="s">
        <v>505</v>
      </c>
      <c r="L55" s="2" t="s">
        <v>2</v>
      </c>
      <c r="M55" s="12" t="s">
        <v>61</v>
      </c>
      <c r="N55" s="14" t="s">
        <v>143</v>
      </c>
      <c r="O55" s="12" t="s">
        <v>107</v>
      </c>
      <c r="P55" s="14" t="s">
        <v>201</v>
      </c>
      <c r="Q55" s="12" t="s">
        <v>42</v>
      </c>
      <c r="R55" s="14" t="s">
        <v>268</v>
      </c>
      <c r="S55" s="12" t="s">
        <v>35</v>
      </c>
      <c r="T55" s="14" t="s">
        <v>475</v>
      </c>
      <c r="U55" s="12" t="s">
        <v>314</v>
      </c>
      <c r="V55" s="4" t="s">
        <v>0</v>
      </c>
      <c r="W55" s="3" t="str">
        <f t="shared" si="0"/>
        <v>BAN-P0.60m-LIN-2PI-ACI-LAB</v>
      </c>
      <c r="X55" s="3" t="str">
        <f t="shared" si="1"/>
        <v>BAN-P0.60m-LIN-2PI-ACI-LAB-54</v>
      </c>
      <c r="Y55" s="3" t="str">
        <f t="shared" si="2"/>
        <v>Bancada 0.60m lineal com pia de ácidos para laboratório. Localização: bloco A</v>
      </c>
    </row>
    <row r="56" spans="1:25" ht="8.25" customHeight="1" x14ac:dyDescent="0.25">
      <c r="A56" s="13">
        <v>55</v>
      </c>
      <c r="B56" s="5" t="s">
        <v>13</v>
      </c>
      <c r="C56" s="12" t="s">
        <v>14</v>
      </c>
      <c r="D56" s="3" t="s">
        <v>13</v>
      </c>
      <c r="E56" s="12" t="s">
        <v>248</v>
      </c>
      <c r="F56" s="2" t="s">
        <v>2</v>
      </c>
      <c r="G56" s="12" t="s">
        <v>249</v>
      </c>
      <c r="H56" s="2" t="s">
        <v>524</v>
      </c>
      <c r="I56" s="12" t="s">
        <v>0</v>
      </c>
      <c r="J56" s="2" t="s">
        <v>2</v>
      </c>
      <c r="K56" s="12" t="s">
        <v>505</v>
      </c>
      <c r="L56" s="2" t="s">
        <v>2</v>
      </c>
      <c r="M56" s="12" t="s">
        <v>61</v>
      </c>
      <c r="N56" s="14" t="s">
        <v>143</v>
      </c>
      <c r="O56" s="12" t="s">
        <v>2</v>
      </c>
      <c r="P56" s="14" t="s">
        <v>2</v>
      </c>
      <c r="Q56" s="12" t="s">
        <v>15</v>
      </c>
      <c r="R56" s="14" t="s">
        <v>200</v>
      </c>
      <c r="S56" s="12" t="s">
        <v>25</v>
      </c>
      <c r="T56" s="14" t="s">
        <v>281</v>
      </c>
      <c r="U56" s="12" t="s">
        <v>314</v>
      </c>
      <c r="V56" s="4" t="s">
        <v>0</v>
      </c>
      <c r="W56" s="3" t="str">
        <f t="shared" si="0"/>
        <v>BAN-P0.60m-LIN-SEC-SAN</v>
      </c>
      <c r="X56" s="3" t="str">
        <f t="shared" si="1"/>
        <v>BAN-P0.60m-LIN-SEC-SAN-55</v>
      </c>
      <c r="Y56" s="3" t="str">
        <f t="shared" si="2"/>
        <v>Bancada 0.60m lineal seca para sanitário. Localização: bloco A</v>
      </c>
    </row>
    <row r="57" spans="1:25" ht="8.25" customHeight="1" x14ac:dyDescent="0.25">
      <c r="A57" s="13">
        <v>56</v>
      </c>
      <c r="B57" s="5" t="s">
        <v>13</v>
      </c>
      <c r="C57" s="12" t="s">
        <v>14</v>
      </c>
      <c r="D57" s="3" t="s">
        <v>13</v>
      </c>
      <c r="E57" s="12" t="s">
        <v>248</v>
      </c>
      <c r="F57" s="2" t="s">
        <v>2</v>
      </c>
      <c r="G57" s="12" t="s">
        <v>249</v>
      </c>
      <c r="H57" s="2" t="s">
        <v>524</v>
      </c>
      <c r="I57" s="12" t="s">
        <v>0</v>
      </c>
      <c r="J57" s="2" t="s">
        <v>2</v>
      </c>
      <c r="K57" s="12" t="s">
        <v>505</v>
      </c>
      <c r="L57" s="2" t="s">
        <v>2</v>
      </c>
      <c r="M57" s="12" t="s">
        <v>61</v>
      </c>
      <c r="N57" s="14" t="s">
        <v>143</v>
      </c>
      <c r="O57" s="12" t="s">
        <v>105</v>
      </c>
      <c r="P57" s="14" t="s">
        <v>201</v>
      </c>
      <c r="Q57" s="12" t="s">
        <v>16</v>
      </c>
      <c r="R57" s="14" t="s">
        <v>267</v>
      </c>
      <c r="S57" s="12" t="s">
        <v>25</v>
      </c>
      <c r="T57" s="14" t="s">
        <v>281</v>
      </c>
      <c r="U57" s="12" t="s">
        <v>314</v>
      </c>
      <c r="V57" s="4" t="s">
        <v>0</v>
      </c>
      <c r="W57" s="3" t="str">
        <f t="shared" si="0"/>
        <v>BAN-P0.60m-LIN-1PI-H2O-SAN</v>
      </c>
      <c r="X57" s="3" t="str">
        <f t="shared" si="1"/>
        <v>BAN-P0.60m-LIN-1PI-H2O-SAN-56</v>
      </c>
      <c r="Y57" s="3" t="str">
        <f t="shared" si="2"/>
        <v>Bancada 0.60m lineal com pia de água para sanitário. Localização: bloco A</v>
      </c>
    </row>
    <row r="58" spans="1:25" ht="8.25" customHeight="1" x14ac:dyDescent="0.25">
      <c r="A58" s="13">
        <v>57</v>
      </c>
      <c r="B58" s="5" t="s">
        <v>13</v>
      </c>
      <c r="C58" s="12" t="s">
        <v>14</v>
      </c>
      <c r="D58" s="3" t="s">
        <v>13</v>
      </c>
      <c r="E58" s="12" t="s">
        <v>248</v>
      </c>
      <c r="F58" s="2" t="s">
        <v>2</v>
      </c>
      <c r="G58" s="12" t="s">
        <v>249</v>
      </c>
      <c r="H58" s="2" t="s">
        <v>524</v>
      </c>
      <c r="I58" s="12" t="s">
        <v>0</v>
      </c>
      <c r="J58" s="2" t="s">
        <v>2</v>
      </c>
      <c r="K58" s="12" t="s">
        <v>505</v>
      </c>
      <c r="L58" s="2" t="s">
        <v>2</v>
      </c>
      <c r="M58" s="12" t="s">
        <v>61</v>
      </c>
      <c r="N58" s="14" t="s">
        <v>143</v>
      </c>
      <c r="O58" s="12" t="s">
        <v>107</v>
      </c>
      <c r="P58" s="14" t="s">
        <v>201</v>
      </c>
      <c r="Q58" s="12" t="s">
        <v>16</v>
      </c>
      <c r="R58" s="14" t="s">
        <v>267</v>
      </c>
      <c r="S58" s="12" t="s">
        <v>25</v>
      </c>
      <c r="T58" s="14" t="s">
        <v>281</v>
      </c>
      <c r="U58" s="12" t="s">
        <v>314</v>
      </c>
      <c r="V58" s="4" t="s">
        <v>0</v>
      </c>
      <c r="W58" s="3" t="str">
        <f t="shared" si="0"/>
        <v>BAN-P0.60m-LIN-2PI-H2O-SAN</v>
      </c>
      <c r="X58" s="3" t="str">
        <f t="shared" si="1"/>
        <v>BAN-P0.60m-LIN-2PI-H2O-SAN-57</v>
      </c>
      <c r="Y58" s="3" t="str">
        <f t="shared" si="2"/>
        <v>Bancada 0.60m lineal com pia de água para sanitário. Localização: bloco A</v>
      </c>
    </row>
    <row r="59" spans="1:25" ht="8.25" customHeight="1" x14ac:dyDescent="0.25">
      <c r="A59" s="13">
        <v>58</v>
      </c>
      <c r="B59" s="5" t="s">
        <v>13</v>
      </c>
      <c r="C59" s="12" t="s">
        <v>14</v>
      </c>
      <c r="D59" s="3" t="s">
        <v>13</v>
      </c>
      <c r="E59" s="12" t="s">
        <v>248</v>
      </c>
      <c r="F59" s="2" t="s">
        <v>2</v>
      </c>
      <c r="G59" s="12" t="s">
        <v>249</v>
      </c>
      <c r="H59" s="2" t="s">
        <v>524</v>
      </c>
      <c r="I59" s="12" t="s">
        <v>0</v>
      </c>
      <c r="J59" s="2" t="s">
        <v>2</v>
      </c>
      <c r="K59" s="12" t="s">
        <v>505</v>
      </c>
      <c r="L59" s="2" t="s">
        <v>2</v>
      </c>
      <c r="M59" s="12" t="s">
        <v>61</v>
      </c>
      <c r="N59" s="14" t="s">
        <v>143</v>
      </c>
      <c r="O59" s="12" t="s">
        <v>108</v>
      </c>
      <c r="P59" s="14" t="s">
        <v>201</v>
      </c>
      <c r="Q59" s="12" t="s">
        <v>16</v>
      </c>
      <c r="R59" s="14" t="s">
        <v>267</v>
      </c>
      <c r="S59" s="12" t="s">
        <v>25</v>
      </c>
      <c r="T59" s="14" t="s">
        <v>281</v>
      </c>
      <c r="U59" s="12" t="s">
        <v>314</v>
      </c>
      <c r="V59" s="4" t="s">
        <v>0</v>
      </c>
      <c r="W59" s="3" t="str">
        <f t="shared" si="0"/>
        <v>BAN-P0.60m-LIN-3PI-H2O-SAN</v>
      </c>
      <c r="X59" s="3" t="str">
        <f t="shared" si="1"/>
        <v>BAN-P0.60m-LIN-3PI-H2O-SAN-58</v>
      </c>
      <c r="Y59" s="3" t="str">
        <f t="shared" si="2"/>
        <v>Bancada 0.60m lineal com pia de água para sanitário. Localização: bloco A</v>
      </c>
    </row>
    <row r="60" spans="1:25" ht="8.25" customHeight="1" x14ac:dyDescent="0.25">
      <c r="A60" s="13">
        <v>59</v>
      </c>
      <c r="B60" s="5" t="s">
        <v>13</v>
      </c>
      <c r="C60" s="12" t="s">
        <v>14</v>
      </c>
      <c r="D60" s="3" t="s">
        <v>13</v>
      </c>
      <c r="E60" s="12" t="s">
        <v>248</v>
      </c>
      <c r="F60" s="2" t="s">
        <v>2</v>
      </c>
      <c r="G60" s="12" t="s">
        <v>249</v>
      </c>
      <c r="H60" s="2" t="s">
        <v>509</v>
      </c>
      <c r="I60" s="12" t="s">
        <v>0</v>
      </c>
      <c r="J60" s="2" t="s">
        <v>2</v>
      </c>
      <c r="K60" s="12" t="s">
        <v>505</v>
      </c>
      <c r="L60" s="2" t="s">
        <v>2</v>
      </c>
      <c r="M60" s="12" t="s">
        <v>61</v>
      </c>
      <c r="N60" s="14" t="s">
        <v>143</v>
      </c>
      <c r="O60" s="12" t="s">
        <v>109</v>
      </c>
      <c r="P60" s="14" t="s">
        <v>201</v>
      </c>
      <c r="Q60" s="12" t="s">
        <v>16</v>
      </c>
      <c r="R60" s="14" t="s">
        <v>267</v>
      </c>
      <c r="S60" s="12" t="s">
        <v>25</v>
      </c>
      <c r="T60" s="14" t="s">
        <v>281</v>
      </c>
      <c r="U60" s="12" t="s">
        <v>314</v>
      </c>
      <c r="V60" s="4" t="s">
        <v>0</v>
      </c>
      <c r="W60" s="3" t="str">
        <f t="shared" si="0"/>
        <v>BAN-P1.40m-LIN-4PI-H2O-SAN</v>
      </c>
      <c r="X60" s="3" t="str">
        <f t="shared" si="1"/>
        <v>BAN-P1.40m-LIN-4PI-H2O-SAN-59</v>
      </c>
      <c r="Y60" s="3" t="str">
        <f t="shared" si="2"/>
        <v>Bancada 1.40m lineal com pia de água para sanitário. Localização: bloco A</v>
      </c>
    </row>
    <row r="61" spans="1:25" ht="8.25" customHeight="1" x14ac:dyDescent="0.25">
      <c r="A61" s="13">
        <v>60</v>
      </c>
      <c r="B61" s="3" t="s">
        <v>24</v>
      </c>
      <c r="C61" s="12" t="s">
        <v>66</v>
      </c>
      <c r="D61" s="3" t="s">
        <v>24</v>
      </c>
      <c r="E61" s="12" t="s">
        <v>248</v>
      </c>
      <c r="F61" s="2" t="s">
        <v>524</v>
      </c>
      <c r="G61" s="12" t="s">
        <v>249</v>
      </c>
      <c r="H61" s="2" t="s">
        <v>2</v>
      </c>
      <c r="I61" s="12" t="s">
        <v>0</v>
      </c>
      <c r="J61" s="2" t="s">
        <v>552</v>
      </c>
      <c r="K61" s="12" t="s">
        <v>505</v>
      </c>
      <c r="L61" s="2" t="s">
        <v>2</v>
      </c>
      <c r="M61" s="12" t="s">
        <v>36</v>
      </c>
      <c r="N61" s="14" t="s">
        <v>144</v>
      </c>
      <c r="O61" s="12" t="s">
        <v>158</v>
      </c>
      <c r="P61" s="14" t="s">
        <v>157</v>
      </c>
      <c r="Q61" s="12" t="s">
        <v>352</v>
      </c>
      <c r="R61" s="14" t="s">
        <v>351</v>
      </c>
      <c r="S61" s="12" t="s">
        <v>1</v>
      </c>
      <c r="T61" s="14" t="s">
        <v>353</v>
      </c>
      <c r="U61" s="12" t="s">
        <v>314</v>
      </c>
      <c r="V61" s="4" t="s">
        <v>0</v>
      </c>
      <c r="W61" s="3" t="str">
        <f t="shared" si="0"/>
        <v>POR-L0.60m-A2.10m-SIM-BOX-CEG-PNE</v>
      </c>
      <c r="X61" s="3" t="str">
        <f t="shared" si="1"/>
        <v>POR-L0.60m-A2.10m-SIM-BOX-CEG-PNE-60</v>
      </c>
      <c r="Y61" s="3" t="str">
        <f t="shared" si="2"/>
        <v>Porta 0.60m 2.10m simples de box sanitário cega para pessoa com necessidade esp.. Localização: bloco A</v>
      </c>
    </row>
    <row r="62" spans="1:25" ht="8.25" customHeight="1" x14ac:dyDescent="0.25">
      <c r="A62" s="13">
        <v>61</v>
      </c>
      <c r="B62" s="3" t="s">
        <v>24</v>
      </c>
      <c r="C62" s="12" t="s">
        <v>66</v>
      </c>
      <c r="D62" s="3" t="s">
        <v>24</v>
      </c>
      <c r="E62" s="12" t="s">
        <v>248</v>
      </c>
      <c r="F62" s="2" t="s">
        <v>525</v>
      </c>
      <c r="G62" s="12" t="s">
        <v>249</v>
      </c>
      <c r="H62" s="2" t="s">
        <v>2</v>
      </c>
      <c r="I62" s="12" t="s">
        <v>0</v>
      </c>
      <c r="J62" s="2" t="s">
        <v>552</v>
      </c>
      <c r="K62" s="12" t="s">
        <v>505</v>
      </c>
      <c r="L62" s="2" t="s">
        <v>2</v>
      </c>
      <c r="M62" s="12" t="s">
        <v>36</v>
      </c>
      <c r="N62" s="14" t="s">
        <v>144</v>
      </c>
      <c r="O62" s="12" t="s">
        <v>50</v>
      </c>
      <c r="P62" s="14" t="s">
        <v>140</v>
      </c>
      <c r="Q62" s="12" t="s">
        <v>352</v>
      </c>
      <c r="R62" s="14" t="s">
        <v>351</v>
      </c>
      <c r="S62" s="12" t="s">
        <v>2</v>
      </c>
      <c r="T62" s="14" t="s">
        <v>2</v>
      </c>
      <c r="U62" s="12" t="s">
        <v>314</v>
      </c>
      <c r="V62" s="4" t="s">
        <v>0</v>
      </c>
      <c r="W62" s="3" t="str">
        <f t="shared" si="0"/>
        <v>POR-L0.70m-A2.10m-SIM-GAB-CEG</v>
      </c>
      <c r="X62" s="3" t="str">
        <f t="shared" si="1"/>
        <v>POR-L0.70m-A2.10m-SIM-GAB-CEG-61</v>
      </c>
      <c r="Y62" s="3" t="str">
        <f t="shared" si="2"/>
        <v>Porta 0.70m 2.10m simples de gabinete cega. Localização: bloco A</v>
      </c>
    </row>
    <row r="63" spans="1:25" ht="8.25" customHeight="1" x14ac:dyDescent="0.25">
      <c r="A63" s="13">
        <v>62</v>
      </c>
      <c r="B63" s="3" t="s">
        <v>24</v>
      </c>
      <c r="C63" s="12" t="s">
        <v>66</v>
      </c>
      <c r="D63" s="3" t="s">
        <v>24</v>
      </c>
      <c r="E63" s="12" t="s">
        <v>248</v>
      </c>
      <c r="F63" s="2" t="s">
        <v>526</v>
      </c>
      <c r="G63" s="12" t="s">
        <v>249</v>
      </c>
      <c r="H63" s="2" t="s">
        <v>2</v>
      </c>
      <c r="I63" s="12" t="s">
        <v>0</v>
      </c>
      <c r="J63" s="2" t="s">
        <v>552</v>
      </c>
      <c r="K63" s="12" t="s">
        <v>505</v>
      </c>
      <c r="L63" s="2" t="s">
        <v>2</v>
      </c>
      <c r="M63" s="12" t="s">
        <v>36</v>
      </c>
      <c r="N63" s="14" t="s">
        <v>144</v>
      </c>
      <c r="O63" s="12" t="s">
        <v>45</v>
      </c>
      <c r="P63" s="14" t="s">
        <v>142</v>
      </c>
      <c r="Q63" s="12" t="s">
        <v>352</v>
      </c>
      <c r="R63" s="14" t="s">
        <v>351</v>
      </c>
      <c r="S63" s="12" t="s">
        <v>2</v>
      </c>
      <c r="T63" s="14" t="s">
        <v>2</v>
      </c>
      <c r="U63" s="12" t="s">
        <v>314</v>
      </c>
      <c r="V63" s="4" t="s">
        <v>0</v>
      </c>
      <c r="W63" s="3" t="str">
        <f t="shared" si="0"/>
        <v>POR-L0.80m-A2.10m-SIM-INT-CEG</v>
      </c>
      <c r="X63" s="3" t="str">
        <f t="shared" si="1"/>
        <v>POR-L0.80m-A2.10m-SIM-INT-CEG-62</v>
      </c>
      <c r="Y63" s="3" t="str">
        <f t="shared" si="2"/>
        <v>Porta 0.80m 2.10m simples interna cega. Localização: bloco A</v>
      </c>
    </row>
    <row r="64" spans="1:25" ht="8.25" customHeight="1" x14ac:dyDescent="0.25">
      <c r="A64" s="13">
        <v>63</v>
      </c>
      <c r="B64" s="3" t="s">
        <v>24</v>
      </c>
      <c r="C64" s="12" t="s">
        <v>66</v>
      </c>
      <c r="D64" s="3" t="s">
        <v>24</v>
      </c>
      <c r="E64" s="12" t="s">
        <v>248</v>
      </c>
      <c r="F64" s="2" t="s">
        <v>526</v>
      </c>
      <c r="G64" s="12" t="s">
        <v>249</v>
      </c>
      <c r="H64" s="2" t="s">
        <v>2</v>
      </c>
      <c r="I64" s="12" t="s">
        <v>0</v>
      </c>
      <c r="J64" s="2" t="s">
        <v>552</v>
      </c>
      <c r="K64" s="12" t="s">
        <v>505</v>
      </c>
      <c r="L64" s="2" t="s">
        <v>2</v>
      </c>
      <c r="M64" s="12" t="s">
        <v>36</v>
      </c>
      <c r="N64" s="14" t="s">
        <v>144</v>
      </c>
      <c r="O64" s="12" t="s">
        <v>45</v>
      </c>
      <c r="P64" s="14" t="s">
        <v>142</v>
      </c>
      <c r="Q64" s="12" t="s">
        <v>203</v>
      </c>
      <c r="R64" s="14" t="s">
        <v>202</v>
      </c>
      <c r="S64" s="12" t="s">
        <v>2</v>
      </c>
      <c r="T64" s="14" t="s">
        <v>2</v>
      </c>
      <c r="U64" s="12" t="s">
        <v>314</v>
      </c>
      <c r="V64" s="4" t="s">
        <v>0</v>
      </c>
      <c r="W64" s="3" t="str">
        <f t="shared" si="0"/>
        <v>POR-L0.80m-A2.10m-SIM-INT-VIS</v>
      </c>
      <c r="X64" s="3" t="str">
        <f t="shared" si="1"/>
        <v>POR-L0.80m-A2.10m-SIM-INT-VIS-63</v>
      </c>
      <c r="Y64" s="3" t="str">
        <f t="shared" si="2"/>
        <v>Porta 0.80m 2.10m simples interna com visor. Localização: bloco A</v>
      </c>
    </row>
    <row r="65" spans="1:25" ht="8.25" customHeight="1" x14ac:dyDescent="0.25">
      <c r="A65" s="13">
        <v>64</v>
      </c>
      <c r="B65" s="3" t="s">
        <v>24</v>
      </c>
      <c r="C65" s="12" t="s">
        <v>66</v>
      </c>
      <c r="D65" s="3" t="s">
        <v>24</v>
      </c>
      <c r="E65" s="12" t="s">
        <v>248</v>
      </c>
      <c r="F65" s="2" t="s">
        <v>527</v>
      </c>
      <c r="G65" s="12" t="s">
        <v>249</v>
      </c>
      <c r="H65" s="2" t="s">
        <v>2</v>
      </c>
      <c r="I65" s="12" t="s">
        <v>0</v>
      </c>
      <c r="J65" s="2" t="s">
        <v>552</v>
      </c>
      <c r="K65" s="12" t="s">
        <v>505</v>
      </c>
      <c r="L65" s="2" t="s">
        <v>2</v>
      </c>
      <c r="M65" s="12" t="s">
        <v>36</v>
      </c>
      <c r="N65" s="14" t="s">
        <v>144</v>
      </c>
      <c r="O65" s="12" t="s">
        <v>45</v>
      </c>
      <c r="P65" s="14" t="s">
        <v>142</v>
      </c>
      <c r="Q65" s="12" t="s">
        <v>205</v>
      </c>
      <c r="R65" s="14" t="s">
        <v>204</v>
      </c>
      <c r="S65" s="12" t="s">
        <v>2</v>
      </c>
      <c r="T65" s="14" t="s">
        <v>2</v>
      </c>
      <c r="U65" s="12" t="s">
        <v>314</v>
      </c>
      <c r="V65" s="4" t="s">
        <v>0</v>
      </c>
      <c r="W65" s="3" t="str">
        <f t="shared" si="0"/>
        <v>POR-L0.90m-A2.10m-SIM-INT-VIV</v>
      </c>
      <c r="X65" s="3" t="str">
        <f t="shared" si="1"/>
        <v>POR-L0.90m-A2.10m-SIM-INT-VIV-64</v>
      </c>
      <c r="Y65" s="3" t="str">
        <f t="shared" si="2"/>
        <v>Porta 0.90m 2.10m simples interna com visor e ventilação. Localização: bloco A</v>
      </c>
    </row>
    <row r="66" spans="1:25" ht="8.25" customHeight="1" x14ac:dyDescent="0.25">
      <c r="A66" s="13">
        <v>65</v>
      </c>
      <c r="B66" s="3" t="s">
        <v>24</v>
      </c>
      <c r="C66" s="12" t="s">
        <v>66</v>
      </c>
      <c r="D66" s="3" t="s">
        <v>24</v>
      </c>
      <c r="E66" s="12" t="s">
        <v>248</v>
      </c>
      <c r="F66" s="2" t="s">
        <v>527</v>
      </c>
      <c r="G66" s="12" t="s">
        <v>249</v>
      </c>
      <c r="H66" s="2" t="s">
        <v>2</v>
      </c>
      <c r="I66" s="12" t="s">
        <v>0</v>
      </c>
      <c r="J66" s="2" t="s">
        <v>552</v>
      </c>
      <c r="K66" s="12" t="s">
        <v>505</v>
      </c>
      <c r="L66" s="2" t="s">
        <v>2</v>
      </c>
      <c r="M66" s="12" t="s">
        <v>36</v>
      </c>
      <c r="N66" s="14" t="s">
        <v>144</v>
      </c>
      <c r="O66" s="12" t="s">
        <v>27</v>
      </c>
      <c r="P66" s="14" t="s">
        <v>456</v>
      </c>
      <c r="Q66" s="12" t="s">
        <v>2</v>
      </c>
      <c r="R66" s="14" t="s">
        <v>2</v>
      </c>
      <c r="S66" s="12" t="s">
        <v>2</v>
      </c>
      <c r="T66" s="14" t="s">
        <v>2</v>
      </c>
      <c r="U66" s="12" t="s">
        <v>314</v>
      </c>
      <c r="V66" s="4" t="s">
        <v>0</v>
      </c>
      <c r="W66" s="3" t="str">
        <f t="shared" ref="W66:W129" si="3">_xlfn.CONCAT(C66,IF(F66=".","",_xlfn.CONCAT("-",E66,F66)),IF(H66=".","",_xlfn.CONCAT("-",G66,H66)),IF(J66=".","",_xlfn.CONCAT("-",I66,J66)),IF(L66=".","",_xlfn.CONCAT("-",K66,L66)), IF(M66=".","",_xlfn.CONCAT("-",M66)),IF(O66=".","",_xlfn.CONCAT("-",O66)), IF(Q66=".","",_xlfn.CONCAT("-",Q66)), IF(S66=".","",_xlfn.CONCAT("-",S66)))</f>
        <v>POR-L0.90m-A2.10m-SIM-PCF</v>
      </c>
      <c r="X66" s="3" t="str">
        <f t="shared" ref="X66:X129" si="4">_xlfn.CONCAT(W66,"-",A66)</f>
        <v>POR-L0.90m-A2.10m-SIM-PCF-65</v>
      </c>
      <c r="Y66" s="3" t="str">
        <f t="shared" si="2"/>
        <v>Porta 0.90m 2.10m simples de antecâmara escada e corta fogo. Localização: bloco A</v>
      </c>
    </row>
    <row r="67" spans="1:25" ht="8.25" customHeight="1" x14ac:dyDescent="0.25">
      <c r="A67" s="13">
        <v>66</v>
      </c>
      <c r="B67" s="3" t="s">
        <v>24</v>
      </c>
      <c r="C67" s="12" t="s">
        <v>66</v>
      </c>
      <c r="D67" s="3" t="s">
        <v>24</v>
      </c>
      <c r="E67" s="12" t="s">
        <v>248</v>
      </c>
      <c r="F67" s="2" t="s">
        <v>506</v>
      </c>
      <c r="G67" s="12" t="s">
        <v>249</v>
      </c>
      <c r="H67" s="2" t="s">
        <v>2</v>
      </c>
      <c r="I67" s="12" t="s">
        <v>0</v>
      </c>
      <c r="J67" s="2" t="s">
        <v>552</v>
      </c>
      <c r="K67" s="12" t="s">
        <v>505</v>
      </c>
      <c r="L67" s="2" t="s">
        <v>2</v>
      </c>
      <c r="M67" s="12" t="s">
        <v>36</v>
      </c>
      <c r="N67" s="14" t="s">
        <v>144</v>
      </c>
      <c r="O67" s="12" t="s">
        <v>44</v>
      </c>
      <c r="P67" s="14" t="s">
        <v>137</v>
      </c>
      <c r="Q67" s="12" t="s">
        <v>207</v>
      </c>
      <c r="R67" s="14" t="s">
        <v>206</v>
      </c>
      <c r="S67" s="12" t="s">
        <v>2</v>
      </c>
      <c r="T67" s="14" t="s">
        <v>2</v>
      </c>
      <c r="U67" s="12" t="s">
        <v>314</v>
      </c>
      <c r="V67" s="4" t="s">
        <v>0</v>
      </c>
      <c r="W67" s="3" t="str">
        <f t="shared" si="3"/>
        <v>POR-L1.20m-A2.10m-SIM-SHA-VEN</v>
      </c>
      <c r="X67" s="3" t="str">
        <f t="shared" si="4"/>
        <v>POR-L1.20m-A2.10m-SIM-SHA-VEN-66</v>
      </c>
      <c r="Y67" s="3" t="str">
        <f t="shared" ref="Y67:Y130" si="5">SUBSTITUTE(SUBSTITUTE(_xlfn.CONCAT(D67," .",F67," .",H67," .",J67," .",N67," .",P67," .",R67," .",T67,". .Localização: bloco"," .",V67)," ."," ")," .","")</f>
        <v>Porta 1.20m 2.10m simples shaft com ventilação. Localização: bloco A</v>
      </c>
    </row>
    <row r="68" spans="1:25" ht="8.25" customHeight="1" x14ac:dyDescent="0.25">
      <c r="A68" s="13">
        <v>67</v>
      </c>
      <c r="B68" s="3" t="s">
        <v>24</v>
      </c>
      <c r="C68" s="12" t="s">
        <v>66</v>
      </c>
      <c r="D68" s="3" t="s">
        <v>24</v>
      </c>
      <c r="E68" s="12" t="s">
        <v>248</v>
      </c>
      <c r="F68" s="2" t="s">
        <v>506</v>
      </c>
      <c r="G68" s="12" t="s">
        <v>249</v>
      </c>
      <c r="H68" s="2" t="s">
        <v>2</v>
      </c>
      <c r="I68" s="12" t="s">
        <v>0</v>
      </c>
      <c r="J68" s="2" t="s">
        <v>552</v>
      </c>
      <c r="K68" s="12" t="s">
        <v>505</v>
      </c>
      <c r="L68" s="2" t="s">
        <v>2</v>
      </c>
      <c r="M68" s="12" t="s">
        <v>36</v>
      </c>
      <c r="N68" s="14" t="s">
        <v>144</v>
      </c>
      <c r="O68" s="12" t="s">
        <v>2</v>
      </c>
      <c r="P68" s="14" t="s">
        <v>2</v>
      </c>
      <c r="Q68" s="12" t="s">
        <v>2</v>
      </c>
      <c r="R68" s="14" t="s">
        <v>2</v>
      </c>
      <c r="S68" s="12" t="s">
        <v>2</v>
      </c>
      <c r="T68" s="14" t="s">
        <v>2</v>
      </c>
      <c r="U68" s="12" t="s">
        <v>314</v>
      </c>
      <c r="V68" s="4" t="s">
        <v>0</v>
      </c>
      <c r="W68" s="3" t="str">
        <f t="shared" si="3"/>
        <v>POR-L1.20m-A2.10m-SIM</v>
      </c>
      <c r="X68" s="3" t="str">
        <f t="shared" si="4"/>
        <v>POR-L1.20m-A2.10m-SIM-67</v>
      </c>
      <c r="Y68" s="3" t="str">
        <f t="shared" si="5"/>
        <v>Porta 1.20m 2.10m simples. Localização: bloco A</v>
      </c>
    </row>
    <row r="69" spans="1:25" ht="8.25" customHeight="1" x14ac:dyDescent="0.25">
      <c r="A69" s="13">
        <v>68</v>
      </c>
      <c r="B69" s="3" t="s">
        <v>24</v>
      </c>
      <c r="C69" s="12" t="s">
        <v>66</v>
      </c>
      <c r="D69" s="3" t="s">
        <v>24</v>
      </c>
      <c r="E69" s="12" t="s">
        <v>248</v>
      </c>
      <c r="F69" s="2" t="s">
        <v>506</v>
      </c>
      <c r="G69" s="12" t="s">
        <v>249</v>
      </c>
      <c r="H69" s="2" t="s">
        <v>2</v>
      </c>
      <c r="I69" s="12" t="s">
        <v>0</v>
      </c>
      <c r="J69" s="2" t="s">
        <v>552</v>
      </c>
      <c r="K69" s="12" t="s">
        <v>505</v>
      </c>
      <c r="L69" s="2" t="s">
        <v>2</v>
      </c>
      <c r="M69" s="12" t="s">
        <v>36</v>
      </c>
      <c r="N69" s="14" t="s">
        <v>144</v>
      </c>
      <c r="O69" s="12" t="s">
        <v>2</v>
      </c>
      <c r="P69" s="14" t="s">
        <v>2</v>
      </c>
      <c r="Q69" s="12" t="s">
        <v>2</v>
      </c>
      <c r="R69" s="14" t="s">
        <v>2</v>
      </c>
      <c r="S69" s="12" t="s">
        <v>2</v>
      </c>
      <c r="T69" s="14" t="s">
        <v>2</v>
      </c>
      <c r="U69" s="12" t="s">
        <v>314</v>
      </c>
      <c r="V69" s="4" t="s">
        <v>0</v>
      </c>
      <c r="W69" s="3" t="str">
        <f t="shared" si="3"/>
        <v>POR-L1.20m-A2.10m-SIM</v>
      </c>
      <c r="X69" s="3" t="str">
        <f t="shared" si="4"/>
        <v>POR-L1.20m-A2.10m-SIM-68</v>
      </c>
      <c r="Y69" s="3" t="str">
        <f t="shared" si="5"/>
        <v>Porta 1.20m 2.10m simples. Localização: bloco A</v>
      </c>
    </row>
    <row r="70" spans="1:25" ht="8.25" customHeight="1" x14ac:dyDescent="0.25">
      <c r="A70" s="13">
        <v>69</v>
      </c>
      <c r="B70" s="3" t="s">
        <v>24</v>
      </c>
      <c r="C70" s="12" t="s">
        <v>66</v>
      </c>
      <c r="D70" s="3" t="s">
        <v>24</v>
      </c>
      <c r="E70" s="12" t="s">
        <v>248</v>
      </c>
      <c r="F70" s="2" t="s">
        <v>506</v>
      </c>
      <c r="G70" s="12" t="s">
        <v>249</v>
      </c>
      <c r="H70" s="2" t="s">
        <v>2</v>
      </c>
      <c r="I70" s="12" t="s">
        <v>0</v>
      </c>
      <c r="J70" s="2" t="s">
        <v>552</v>
      </c>
      <c r="K70" s="12" t="s">
        <v>505</v>
      </c>
      <c r="L70" s="2" t="s">
        <v>2</v>
      </c>
      <c r="M70" s="12" t="s">
        <v>36</v>
      </c>
      <c r="N70" s="14" t="s">
        <v>144</v>
      </c>
      <c r="O70" s="12" t="s">
        <v>2</v>
      </c>
      <c r="P70" s="14" t="s">
        <v>2</v>
      </c>
      <c r="Q70" s="12" t="s">
        <v>2</v>
      </c>
      <c r="R70" s="14" t="s">
        <v>2</v>
      </c>
      <c r="S70" s="12" t="s">
        <v>2</v>
      </c>
      <c r="T70" s="14" t="s">
        <v>2</v>
      </c>
      <c r="U70" s="12" t="s">
        <v>314</v>
      </c>
      <c r="V70" s="4" t="s">
        <v>0</v>
      </c>
      <c r="W70" s="3" t="str">
        <f t="shared" si="3"/>
        <v>POR-L1.20m-A2.10m-SIM</v>
      </c>
      <c r="X70" s="3" t="str">
        <f t="shared" si="4"/>
        <v>POR-L1.20m-A2.10m-SIM-69</v>
      </c>
      <c r="Y70" s="3" t="str">
        <f t="shared" si="5"/>
        <v>Porta 1.20m 2.10m simples. Localização: bloco A</v>
      </c>
    </row>
    <row r="71" spans="1:25" ht="8.25" customHeight="1" x14ac:dyDescent="0.25">
      <c r="A71" s="13">
        <v>70</v>
      </c>
      <c r="B71" s="3" t="s">
        <v>24</v>
      </c>
      <c r="C71" s="12" t="s">
        <v>66</v>
      </c>
      <c r="D71" s="3" t="s">
        <v>24</v>
      </c>
      <c r="E71" s="12" t="s">
        <v>248</v>
      </c>
      <c r="F71" s="2" t="s">
        <v>506</v>
      </c>
      <c r="G71" s="12" t="s">
        <v>249</v>
      </c>
      <c r="H71" s="2" t="s">
        <v>2</v>
      </c>
      <c r="I71" s="12" t="s">
        <v>0</v>
      </c>
      <c r="J71" s="2" t="s">
        <v>552</v>
      </c>
      <c r="K71" s="12" t="s">
        <v>505</v>
      </c>
      <c r="L71" s="2" t="s">
        <v>2</v>
      </c>
      <c r="M71" s="12" t="s">
        <v>36</v>
      </c>
      <c r="N71" s="14" t="s">
        <v>144</v>
      </c>
      <c r="O71" s="12" t="s">
        <v>2</v>
      </c>
      <c r="P71" s="14" t="s">
        <v>2</v>
      </c>
      <c r="Q71" s="12" t="s">
        <v>2</v>
      </c>
      <c r="R71" s="14" t="s">
        <v>2</v>
      </c>
      <c r="S71" s="12" t="s">
        <v>2</v>
      </c>
      <c r="T71" s="14" t="s">
        <v>2</v>
      </c>
      <c r="U71" s="12" t="s">
        <v>314</v>
      </c>
      <c r="V71" s="4" t="s">
        <v>0</v>
      </c>
      <c r="W71" s="3" t="str">
        <f t="shared" si="3"/>
        <v>POR-L1.20m-A2.10m-SIM</v>
      </c>
      <c r="X71" s="3" t="str">
        <f t="shared" si="4"/>
        <v>POR-L1.20m-A2.10m-SIM-70</v>
      </c>
      <c r="Y71" s="3" t="str">
        <f t="shared" si="5"/>
        <v>Porta 1.20m 2.10m simples. Localização: bloco A</v>
      </c>
    </row>
    <row r="72" spans="1:25" ht="8.25" customHeight="1" x14ac:dyDescent="0.25">
      <c r="A72" s="13">
        <v>71</v>
      </c>
      <c r="B72" s="3" t="s">
        <v>24</v>
      </c>
      <c r="C72" s="12" t="s">
        <v>66</v>
      </c>
      <c r="D72" s="3" t="s">
        <v>24</v>
      </c>
      <c r="E72" s="12" t="s">
        <v>248</v>
      </c>
      <c r="F72" s="2" t="s">
        <v>506</v>
      </c>
      <c r="G72" s="12" t="s">
        <v>249</v>
      </c>
      <c r="H72" s="2" t="s">
        <v>2</v>
      </c>
      <c r="I72" s="12" t="s">
        <v>0</v>
      </c>
      <c r="J72" s="2" t="s">
        <v>552</v>
      </c>
      <c r="K72" s="12" t="s">
        <v>505</v>
      </c>
      <c r="L72" s="2" t="s">
        <v>2</v>
      </c>
      <c r="M72" s="12" t="s">
        <v>36</v>
      </c>
      <c r="N72" s="14" t="s">
        <v>144</v>
      </c>
      <c r="O72" s="12" t="s">
        <v>2</v>
      </c>
      <c r="P72" s="14" t="s">
        <v>2</v>
      </c>
      <c r="Q72" s="12" t="s">
        <v>2</v>
      </c>
      <c r="R72" s="14" t="s">
        <v>2</v>
      </c>
      <c r="S72" s="12" t="s">
        <v>2</v>
      </c>
      <c r="T72" s="14" t="s">
        <v>2</v>
      </c>
      <c r="U72" s="12" t="s">
        <v>314</v>
      </c>
      <c r="V72" s="4" t="s">
        <v>0</v>
      </c>
      <c r="W72" s="3" t="str">
        <f t="shared" si="3"/>
        <v>POR-L1.20m-A2.10m-SIM</v>
      </c>
      <c r="X72" s="3" t="str">
        <f t="shared" si="4"/>
        <v>POR-L1.20m-A2.10m-SIM-71</v>
      </c>
      <c r="Y72" s="3" t="str">
        <f t="shared" si="5"/>
        <v>Porta 1.20m 2.10m simples. Localização: bloco A</v>
      </c>
    </row>
    <row r="73" spans="1:25" ht="8.25" customHeight="1" x14ac:dyDescent="0.25">
      <c r="A73" s="13">
        <v>72</v>
      </c>
      <c r="B73" s="3" t="s">
        <v>24</v>
      </c>
      <c r="C73" s="12" t="s">
        <v>66</v>
      </c>
      <c r="D73" s="3" t="s">
        <v>24</v>
      </c>
      <c r="E73" s="12" t="s">
        <v>248</v>
      </c>
      <c r="F73" s="2" t="s">
        <v>524</v>
      </c>
      <c r="G73" s="12" t="s">
        <v>249</v>
      </c>
      <c r="H73" s="2" t="s">
        <v>2</v>
      </c>
      <c r="I73" s="12" t="s">
        <v>0</v>
      </c>
      <c r="J73" s="2" t="s">
        <v>552</v>
      </c>
      <c r="K73" s="12" t="s">
        <v>505</v>
      </c>
      <c r="L73" s="2" t="s">
        <v>2</v>
      </c>
      <c r="M73" s="12" t="s">
        <v>131</v>
      </c>
      <c r="N73" s="14" t="s">
        <v>146</v>
      </c>
      <c r="O73" s="12" t="s">
        <v>46</v>
      </c>
      <c r="P73" s="14" t="s">
        <v>141</v>
      </c>
      <c r="Q73" s="12" t="s">
        <v>2</v>
      </c>
      <c r="R73" s="14" t="s">
        <v>2</v>
      </c>
      <c r="S73" s="12" t="s">
        <v>2</v>
      </c>
      <c r="T73" s="14" t="s">
        <v>2</v>
      </c>
      <c r="U73" s="12" t="s">
        <v>314</v>
      </c>
      <c r="V73" s="4" t="s">
        <v>0</v>
      </c>
      <c r="W73" s="3" t="str">
        <f t="shared" si="3"/>
        <v>POR-L0.60m-A2.10m-BLX-ACE</v>
      </c>
      <c r="X73" s="3" t="str">
        <f t="shared" si="4"/>
        <v>POR-L0.60m-A2.10m-BLX-ACE-72</v>
      </c>
      <c r="Y73" s="3" t="str">
        <f t="shared" si="5"/>
        <v>Porta 0.60m 2.10m blindex acesso ppal. Localização: bloco A</v>
      </c>
    </row>
    <row r="74" spans="1:25" ht="8.25" customHeight="1" x14ac:dyDescent="0.25">
      <c r="A74" s="13">
        <v>73</v>
      </c>
      <c r="B74" s="3" t="s">
        <v>24</v>
      </c>
      <c r="C74" s="12" t="s">
        <v>66</v>
      </c>
      <c r="D74" s="3" t="s">
        <v>24</v>
      </c>
      <c r="E74" s="12" t="s">
        <v>248</v>
      </c>
      <c r="F74" s="2" t="s">
        <v>506</v>
      </c>
      <c r="G74" s="12" t="s">
        <v>249</v>
      </c>
      <c r="H74" s="2" t="s">
        <v>2</v>
      </c>
      <c r="I74" s="12" t="s">
        <v>0</v>
      </c>
      <c r="J74" s="2" t="s">
        <v>552</v>
      </c>
      <c r="K74" s="12" t="s">
        <v>505</v>
      </c>
      <c r="L74" s="2" t="s">
        <v>2</v>
      </c>
      <c r="M74" s="12" t="s">
        <v>128</v>
      </c>
      <c r="N74" s="14" t="s">
        <v>127</v>
      </c>
      <c r="O74" s="12" t="s">
        <v>48</v>
      </c>
      <c r="P74" s="14" t="s">
        <v>141</v>
      </c>
      <c r="Q74" s="12" t="s">
        <v>2</v>
      </c>
      <c r="R74" s="14" t="s">
        <v>2</v>
      </c>
      <c r="S74" s="12" t="s">
        <v>2</v>
      </c>
      <c r="T74" s="14" t="s">
        <v>2</v>
      </c>
      <c r="U74" s="12" t="s">
        <v>314</v>
      </c>
      <c r="V74" s="4" t="s">
        <v>0</v>
      </c>
      <c r="W74" s="3" t="str">
        <f t="shared" si="3"/>
        <v>POR-L1.20m-A2.10m-CRR-APP</v>
      </c>
      <c r="X74" s="3" t="str">
        <f t="shared" si="4"/>
        <v>POR-L1.20m-A2.10m-CRR-APP-73</v>
      </c>
      <c r="Y74" s="3" t="str">
        <f t="shared" si="5"/>
        <v>Porta 1.20m 2.10m de correr acesso ppal. Localização: bloco A</v>
      </c>
    </row>
    <row r="75" spans="1:25" ht="8.25" customHeight="1" x14ac:dyDescent="0.25">
      <c r="A75" s="13">
        <v>74</v>
      </c>
      <c r="B75" s="3" t="s">
        <v>24</v>
      </c>
      <c r="C75" s="12" t="s">
        <v>66</v>
      </c>
      <c r="D75" s="3" t="s">
        <v>24</v>
      </c>
      <c r="E75" s="12" t="s">
        <v>248</v>
      </c>
      <c r="F75" s="2" t="s">
        <v>506</v>
      </c>
      <c r="G75" s="12" t="s">
        <v>249</v>
      </c>
      <c r="H75" s="2" t="s">
        <v>2</v>
      </c>
      <c r="I75" s="12" t="s">
        <v>0</v>
      </c>
      <c r="J75" s="2" t="s">
        <v>552</v>
      </c>
      <c r="K75" s="12" t="s">
        <v>505</v>
      </c>
      <c r="L75" s="2" t="s">
        <v>2</v>
      </c>
      <c r="M75" s="12" t="s">
        <v>129</v>
      </c>
      <c r="N75" s="14" t="s">
        <v>130</v>
      </c>
      <c r="O75" s="12" t="s">
        <v>26</v>
      </c>
      <c r="P75" s="14" t="s">
        <v>83</v>
      </c>
      <c r="Q75" s="12" t="s">
        <v>2</v>
      </c>
      <c r="R75" s="14" t="s">
        <v>2</v>
      </c>
      <c r="S75" s="12" t="s">
        <v>2</v>
      </c>
      <c r="T75" s="14" t="s">
        <v>2</v>
      </c>
      <c r="U75" s="12" t="s">
        <v>314</v>
      </c>
      <c r="V75" s="4" t="s">
        <v>0</v>
      </c>
      <c r="W75" s="3" t="str">
        <f t="shared" si="3"/>
        <v>POR-L1.20m-A2.10m-VEV-ACU</v>
      </c>
      <c r="X75" s="3" t="str">
        <f t="shared" si="4"/>
        <v>POR-L1.20m-A2.10m-VEV-ACU-74</v>
      </c>
      <c r="Y75" s="3" t="str">
        <f t="shared" si="5"/>
        <v>Porta 1.20m 2.10m de vaivem acústica. Localização: bloco A</v>
      </c>
    </row>
    <row r="76" spans="1:25" ht="8.25" customHeight="1" x14ac:dyDescent="0.25">
      <c r="A76" s="13">
        <v>75</v>
      </c>
      <c r="B76" s="3" t="s">
        <v>24</v>
      </c>
      <c r="C76" s="12" t="s">
        <v>66</v>
      </c>
      <c r="D76" s="3" t="s">
        <v>24</v>
      </c>
      <c r="E76" s="12" t="s">
        <v>248</v>
      </c>
      <c r="F76" s="2" t="s">
        <v>506</v>
      </c>
      <c r="G76" s="12" t="s">
        <v>249</v>
      </c>
      <c r="H76" s="2" t="s">
        <v>2</v>
      </c>
      <c r="I76" s="12" t="s">
        <v>0</v>
      </c>
      <c r="J76" s="2" t="s">
        <v>552</v>
      </c>
      <c r="K76" s="12" t="s">
        <v>505</v>
      </c>
      <c r="L76" s="2" t="s">
        <v>526</v>
      </c>
      <c r="M76" s="12" t="s">
        <v>47</v>
      </c>
      <c r="N76" s="14" t="s">
        <v>87</v>
      </c>
      <c r="O76" s="12" t="s">
        <v>26</v>
      </c>
      <c r="P76" s="14" t="s">
        <v>83</v>
      </c>
      <c r="Q76" s="12" t="s">
        <v>2</v>
      </c>
      <c r="R76" s="14" t="s">
        <v>2</v>
      </c>
      <c r="S76" s="12" t="s">
        <v>2</v>
      </c>
      <c r="T76" s="14" t="s">
        <v>2</v>
      </c>
      <c r="U76" s="12" t="s">
        <v>314</v>
      </c>
      <c r="V76" s="4" t="s">
        <v>0</v>
      </c>
      <c r="W76" s="3" t="str">
        <f t="shared" si="3"/>
        <v>POR-L1.20m-A2.10m-D0.80m-DUA-ACU</v>
      </c>
      <c r="X76" s="3" t="str">
        <f t="shared" si="4"/>
        <v>POR-L1.20m-A2.10m-D0.80m-DUA-ACU-75</v>
      </c>
      <c r="Y76" s="3" t="str">
        <f t="shared" si="5"/>
        <v>Porta 1.20m 2.10m dupla asimétrica acústica. Localização: bloco A</v>
      </c>
    </row>
    <row r="77" spans="1:25" ht="8.25" customHeight="1" x14ac:dyDescent="0.25">
      <c r="A77" s="13">
        <v>76</v>
      </c>
      <c r="B77" s="3" t="s">
        <v>24</v>
      </c>
      <c r="C77" s="12" t="s">
        <v>66</v>
      </c>
      <c r="D77" s="3" t="s">
        <v>24</v>
      </c>
      <c r="E77" s="12" t="s">
        <v>248</v>
      </c>
      <c r="F77" s="2" t="s">
        <v>506</v>
      </c>
      <c r="G77" s="12" t="s">
        <v>249</v>
      </c>
      <c r="H77" s="2" t="s">
        <v>2</v>
      </c>
      <c r="I77" s="12" t="s">
        <v>0</v>
      </c>
      <c r="J77" s="2" t="s">
        <v>552</v>
      </c>
      <c r="K77" s="12" t="s">
        <v>505</v>
      </c>
      <c r="L77" s="2" t="s">
        <v>2</v>
      </c>
      <c r="M77" s="12" t="s">
        <v>339</v>
      </c>
      <c r="N77" s="14" t="s">
        <v>86</v>
      </c>
      <c r="O77" s="12" t="s">
        <v>45</v>
      </c>
      <c r="P77" s="14" t="s">
        <v>142</v>
      </c>
      <c r="Q77" s="12" t="s">
        <v>2</v>
      </c>
      <c r="R77" s="14" t="s">
        <v>2</v>
      </c>
      <c r="S77" s="12" t="s">
        <v>2</v>
      </c>
      <c r="T77" s="14" t="s">
        <v>2</v>
      </c>
      <c r="U77" s="12" t="s">
        <v>314</v>
      </c>
      <c r="V77" s="4" t="s">
        <v>0</v>
      </c>
      <c r="W77" s="3" t="str">
        <f t="shared" si="3"/>
        <v>POR-L1.20m-A2.10m-DUP-INT</v>
      </c>
      <c r="X77" s="3" t="str">
        <f t="shared" si="4"/>
        <v>POR-L1.20m-A2.10m-DUP-INT-76</v>
      </c>
      <c r="Y77" s="3" t="str">
        <f t="shared" si="5"/>
        <v>Porta 1.20m 2.10m dupla simétrica interna. Localização: bloco A</v>
      </c>
    </row>
    <row r="78" spans="1:25" ht="8.25" customHeight="1" x14ac:dyDescent="0.25">
      <c r="A78" s="13">
        <v>77</v>
      </c>
      <c r="B78" s="3" t="s">
        <v>24</v>
      </c>
      <c r="C78" s="12" t="s">
        <v>66</v>
      </c>
      <c r="D78" s="3" t="s">
        <v>24</v>
      </c>
      <c r="E78" s="12" t="s">
        <v>248</v>
      </c>
      <c r="F78" s="2" t="s">
        <v>506</v>
      </c>
      <c r="G78" s="12" t="s">
        <v>249</v>
      </c>
      <c r="H78" s="2" t="s">
        <v>2</v>
      </c>
      <c r="I78" s="12" t="s">
        <v>0</v>
      </c>
      <c r="J78" s="2" t="s">
        <v>552</v>
      </c>
      <c r="K78" s="12" t="s">
        <v>505</v>
      </c>
      <c r="L78" s="2" t="s">
        <v>2</v>
      </c>
      <c r="M78" s="12" t="s">
        <v>339</v>
      </c>
      <c r="N78" s="14" t="s">
        <v>86</v>
      </c>
      <c r="O78" s="12" t="s">
        <v>27</v>
      </c>
      <c r="P78" s="14" t="s">
        <v>126</v>
      </c>
      <c r="Q78" s="12" t="s">
        <v>2</v>
      </c>
      <c r="R78" s="14" t="s">
        <v>2</v>
      </c>
      <c r="S78" s="12" t="s">
        <v>2</v>
      </c>
      <c r="T78" s="14" t="s">
        <v>2</v>
      </c>
      <c r="U78" s="12" t="s">
        <v>314</v>
      </c>
      <c r="V78" s="4" t="s">
        <v>0</v>
      </c>
      <c r="W78" s="3" t="str">
        <f t="shared" si="3"/>
        <v>POR-L1.20m-A2.10m-DUP-PCF</v>
      </c>
      <c r="X78" s="3" t="str">
        <f t="shared" si="4"/>
        <v>POR-L1.20m-A2.10m-DUP-PCF-77</v>
      </c>
      <c r="Y78" s="3" t="str">
        <f t="shared" si="5"/>
        <v>Porta 1.20m 2.10m dupla simétrica corta fogo. Localização: bloco A</v>
      </c>
    </row>
    <row r="79" spans="1:25" ht="8.25" customHeight="1" x14ac:dyDescent="0.25">
      <c r="A79" s="13">
        <v>78</v>
      </c>
      <c r="B79" s="3" t="s">
        <v>24</v>
      </c>
      <c r="C79" s="12" t="s">
        <v>66</v>
      </c>
      <c r="D79" s="3" t="s">
        <v>24</v>
      </c>
      <c r="E79" s="12" t="s">
        <v>248</v>
      </c>
      <c r="F79" s="2" t="s">
        <v>139</v>
      </c>
      <c r="G79" s="12" t="s">
        <v>249</v>
      </c>
      <c r="H79" s="2" t="s">
        <v>2</v>
      </c>
      <c r="I79" s="12" t="s">
        <v>0</v>
      </c>
      <c r="J79" s="2" t="s">
        <v>552</v>
      </c>
      <c r="K79" s="12" t="s">
        <v>505</v>
      </c>
      <c r="L79" s="2" t="s">
        <v>2</v>
      </c>
      <c r="M79" s="12" t="s">
        <v>339</v>
      </c>
      <c r="N79" s="14" t="s">
        <v>86</v>
      </c>
      <c r="O79" s="12" t="s">
        <v>355</v>
      </c>
      <c r="P79" s="14" t="s">
        <v>354</v>
      </c>
      <c r="Q79" s="12" t="s">
        <v>203</v>
      </c>
      <c r="R79" s="14" t="s">
        <v>202</v>
      </c>
      <c r="S79" s="12" t="s">
        <v>313</v>
      </c>
      <c r="T79" s="14" t="s">
        <v>356</v>
      </c>
      <c r="U79" s="12" t="s">
        <v>314</v>
      </c>
      <c r="V79" s="4" t="s">
        <v>0</v>
      </c>
      <c r="W79" s="3" t="str">
        <f t="shared" si="3"/>
        <v>POR-L1.25m-A2.10m-DUP-ACD-VIS-MET</v>
      </c>
      <c r="X79" s="3" t="str">
        <f t="shared" si="4"/>
        <v>POR-L1.25m-A2.10m-DUP-ACD-VIS-MET-78</v>
      </c>
      <c r="Y79" s="3" t="str">
        <f t="shared" si="5"/>
        <v>Porta 1.25m 2.10m dupla simétrica acesso departamento com visor metálica. Localização: bloco A</v>
      </c>
    </row>
    <row r="80" spans="1:25" ht="8.25" customHeight="1" x14ac:dyDescent="0.25">
      <c r="A80" s="13">
        <v>79</v>
      </c>
      <c r="B80" s="3" t="s">
        <v>24</v>
      </c>
      <c r="C80" s="12" t="s">
        <v>66</v>
      </c>
      <c r="D80" s="3" t="s">
        <v>24</v>
      </c>
      <c r="E80" s="12" t="s">
        <v>248</v>
      </c>
      <c r="F80" s="2" t="s">
        <v>139</v>
      </c>
      <c r="G80" s="12" t="s">
        <v>249</v>
      </c>
      <c r="H80" s="2" t="s">
        <v>2</v>
      </c>
      <c r="I80" s="12" t="s">
        <v>0</v>
      </c>
      <c r="J80" s="2" t="s">
        <v>552</v>
      </c>
      <c r="K80" s="12" t="s">
        <v>505</v>
      </c>
      <c r="L80" s="2" t="s">
        <v>2</v>
      </c>
      <c r="M80" s="12" t="s">
        <v>339</v>
      </c>
      <c r="N80" s="14" t="s">
        <v>86</v>
      </c>
      <c r="O80" s="12" t="s">
        <v>43</v>
      </c>
      <c r="P80" s="14" t="s">
        <v>459</v>
      </c>
      <c r="Q80" s="12" t="s">
        <v>203</v>
      </c>
      <c r="R80" s="14" t="s">
        <v>202</v>
      </c>
      <c r="S80" s="12" t="s">
        <v>2</v>
      </c>
      <c r="T80" s="14" t="s">
        <v>2</v>
      </c>
      <c r="U80" s="12" t="s">
        <v>314</v>
      </c>
      <c r="V80" s="4" t="s">
        <v>0</v>
      </c>
      <c r="W80" s="3" t="str">
        <f t="shared" si="3"/>
        <v>POR-L1.25m-A2.10m-DUP-ACA-VIS</v>
      </c>
      <c r="X80" s="3" t="str">
        <f t="shared" si="4"/>
        <v>POR-L1.25m-A2.10m-DUP-ACA-VIS-79</v>
      </c>
      <c r="Y80" s="3" t="str">
        <f t="shared" si="5"/>
        <v>Porta 1.25m 2.10m dupla simétrica de antecâmara de entrada-saída com visor. Localização: bloco A</v>
      </c>
    </row>
    <row r="81" spans="1:25" ht="8.25" customHeight="1" x14ac:dyDescent="0.25">
      <c r="A81" s="13">
        <v>80</v>
      </c>
      <c r="B81" s="3" t="s">
        <v>24</v>
      </c>
      <c r="C81" s="12" t="s">
        <v>66</v>
      </c>
      <c r="D81" s="3" t="s">
        <v>24</v>
      </c>
      <c r="E81" s="12" t="s">
        <v>248</v>
      </c>
      <c r="F81" s="2" t="s">
        <v>506</v>
      </c>
      <c r="G81" s="12" t="s">
        <v>249</v>
      </c>
      <c r="H81" s="2" t="s">
        <v>2</v>
      </c>
      <c r="I81" s="12" t="s">
        <v>0</v>
      </c>
      <c r="J81" s="2" t="s">
        <v>552</v>
      </c>
      <c r="K81" s="12" t="s">
        <v>505</v>
      </c>
      <c r="L81" s="2" t="s">
        <v>2</v>
      </c>
      <c r="M81" s="12" t="s">
        <v>339</v>
      </c>
      <c r="N81" s="14" t="s">
        <v>86</v>
      </c>
      <c r="O81" s="12" t="s">
        <v>46</v>
      </c>
      <c r="P81" s="14" t="s">
        <v>457</v>
      </c>
      <c r="Q81" s="12" t="s">
        <v>203</v>
      </c>
      <c r="R81" s="14" t="s">
        <v>202</v>
      </c>
      <c r="S81" s="12" t="s">
        <v>2</v>
      </c>
      <c r="T81" s="14" t="s">
        <v>2</v>
      </c>
      <c r="U81" s="12" t="s">
        <v>314</v>
      </c>
      <c r="V81" s="4" t="s">
        <v>0</v>
      </c>
      <c r="W81" s="3" t="str">
        <f t="shared" si="3"/>
        <v>POR-L1.20m-A2.10m-DUP-ACE-VIS</v>
      </c>
      <c r="X81" s="3" t="str">
        <f t="shared" si="4"/>
        <v>POR-L1.20m-A2.10m-DUP-ACE-VIS-80</v>
      </c>
      <c r="Y81" s="3" t="str">
        <f t="shared" si="5"/>
        <v>Porta 1.20m 2.10m dupla simétrica de antecâmara de entrada  com visor. Localização: bloco A</v>
      </c>
    </row>
    <row r="82" spans="1:25" ht="8.25" customHeight="1" x14ac:dyDescent="0.25">
      <c r="A82" s="13">
        <v>81</v>
      </c>
      <c r="B82" s="3" t="s">
        <v>24</v>
      </c>
      <c r="C82" s="12" t="s">
        <v>66</v>
      </c>
      <c r="D82" s="3" t="s">
        <v>24</v>
      </c>
      <c r="E82" s="12" t="s">
        <v>248</v>
      </c>
      <c r="F82" s="2" t="s">
        <v>506</v>
      </c>
      <c r="G82" s="12" t="s">
        <v>249</v>
      </c>
      <c r="H82" s="2" t="s">
        <v>2</v>
      </c>
      <c r="I82" s="12" t="s">
        <v>0</v>
      </c>
      <c r="J82" s="2" t="s">
        <v>552</v>
      </c>
      <c r="K82" s="12" t="s">
        <v>505</v>
      </c>
      <c r="L82" s="2" t="s">
        <v>2</v>
      </c>
      <c r="M82" s="12" t="s">
        <v>339</v>
      </c>
      <c r="N82" s="14" t="s">
        <v>86</v>
      </c>
      <c r="O82" s="12" t="s">
        <v>136</v>
      </c>
      <c r="P82" s="14" t="s">
        <v>458</v>
      </c>
      <c r="Q82" s="12" t="s">
        <v>203</v>
      </c>
      <c r="R82" s="14" t="s">
        <v>202</v>
      </c>
      <c r="S82" s="12" t="s">
        <v>2</v>
      </c>
      <c r="T82" s="14" t="s">
        <v>2</v>
      </c>
      <c r="U82" s="12" t="s">
        <v>314</v>
      </c>
      <c r="V82" s="4" t="s">
        <v>0</v>
      </c>
      <c r="W82" s="3" t="str">
        <f t="shared" si="3"/>
        <v>POR-L1.20m-A2.10m-DUP-ACS-VIS</v>
      </c>
      <c r="X82" s="3" t="str">
        <f t="shared" si="4"/>
        <v>POR-L1.20m-A2.10m-DUP-ACS-VIS-81</v>
      </c>
      <c r="Y82" s="3" t="str">
        <f t="shared" si="5"/>
        <v>Porta 1.20m 2.10m dupla simétrica de antecâmara de saída com visor. Localização: bloco A</v>
      </c>
    </row>
    <row r="83" spans="1:25" ht="8.25" customHeight="1" x14ac:dyDescent="0.25">
      <c r="A83" s="13">
        <v>82</v>
      </c>
      <c r="B83" s="3" t="s">
        <v>24</v>
      </c>
      <c r="C83" s="12" t="s">
        <v>66</v>
      </c>
      <c r="D83" s="3" t="s">
        <v>24</v>
      </c>
      <c r="E83" s="12" t="s">
        <v>248</v>
      </c>
      <c r="F83" s="2" t="s">
        <v>506</v>
      </c>
      <c r="G83" s="12" t="s">
        <v>249</v>
      </c>
      <c r="H83" s="2" t="s">
        <v>2</v>
      </c>
      <c r="I83" s="12" t="s">
        <v>0</v>
      </c>
      <c r="J83" s="2" t="s">
        <v>552</v>
      </c>
      <c r="K83" s="12" t="s">
        <v>505</v>
      </c>
      <c r="L83" s="2" t="s">
        <v>2</v>
      </c>
      <c r="M83" s="12" t="s">
        <v>339</v>
      </c>
      <c r="N83" s="14" t="s">
        <v>86</v>
      </c>
      <c r="O83" s="12" t="s">
        <v>116</v>
      </c>
      <c r="P83" s="14" t="s">
        <v>115</v>
      </c>
      <c r="Q83" s="12" t="s">
        <v>2</v>
      </c>
      <c r="R83" s="14" t="s">
        <v>2</v>
      </c>
      <c r="S83" s="12" t="s">
        <v>2</v>
      </c>
      <c r="T83" s="14" t="s">
        <v>2</v>
      </c>
      <c r="U83" s="12" t="s">
        <v>314</v>
      </c>
      <c r="V83" s="4" t="s">
        <v>0</v>
      </c>
      <c r="W83" s="3" t="str">
        <f t="shared" si="3"/>
        <v>POR-L1.20m-A2.10m-DUP-ELV</v>
      </c>
      <c r="X83" s="3" t="str">
        <f t="shared" si="4"/>
        <v>POR-L1.20m-A2.10m-DUP-ELV-82</v>
      </c>
      <c r="Y83" s="3" t="str">
        <f t="shared" si="5"/>
        <v>Porta 1.20m 2.10m dupla simétrica de elevador. Localização: bloco A</v>
      </c>
    </row>
    <row r="84" spans="1:25" ht="8.25" customHeight="1" x14ac:dyDescent="0.25">
      <c r="A84" s="13">
        <v>83</v>
      </c>
      <c r="B84" s="3" t="s">
        <v>24</v>
      </c>
      <c r="C84" s="12" t="s">
        <v>66</v>
      </c>
      <c r="D84" s="3" t="s">
        <v>24</v>
      </c>
      <c r="E84" s="12" t="s">
        <v>248</v>
      </c>
      <c r="F84" s="2" t="s">
        <v>506</v>
      </c>
      <c r="G84" s="12" t="s">
        <v>249</v>
      </c>
      <c r="H84" s="2" t="s">
        <v>2</v>
      </c>
      <c r="I84" s="12" t="s">
        <v>0</v>
      </c>
      <c r="J84" s="2" t="s">
        <v>552</v>
      </c>
      <c r="K84" s="12" t="s">
        <v>505</v>
      </c>
      <c r="L84" s="2" t="s">
        <v>2</v>
      </c>
      <c r="M84" s="12" t="s">
        <v>15</v>
      </c>
      <c r="N84" s="14" t="s">
        <v>145</v>
      </c>
      <c r="O84" s="12" t="s">
        <v>91</v>
      </c>
      <c r="P84" s="14" t="s">
        <v>471</v>
      </c>
      <c r="Q84" s="12" t="s">
        <v>2</v>
      </c>
      <c r="R84" s="14" t="s">
        <v>2</v>
      </c>
      <c r="S84" s="12" t="s">
        <v>2</v>
      </c>
      <c r="T84" s="14" t="s">
        <v>2</v>
      </c>
      <c r="U84" s="12" t="s">
        <v>314</v>
      </c>
      <c r="V84" s="4" t="s">
        <v>0</v>
      </c>
      <c r="W84" s="3" t="str">
        <f t="shared" si="3"/>
        <v>POR-L1.20m-A2.10m-SEC-VEI</v>
      </c>
      <c r="X84" s="3" t="str">
        <f t="shared" si="4"/>
        <v>POR-L1.20m-A2.10m-SEC-VEI-83</v>
      </c>
      <c r="Y84" s="3" t="str">
        <f t="shared" si="5"/>
        <v>Porta 1.20m 2.10m seccional para veículo. Localização: bloco A</v>
      </c>
    </row>
    <row r="85" spans="1:25" ht="8.25" customHeight="1" x14ac:dyDescent="0.25">
      <c r="A85" s="13">
        <v>84</v>
      </c>
      <c r="B85" s="3" t="s">
        <v>24</v>
      </c>
      <c r="C85" s="12" t="s">
        <v>358</v>
      </c>
      <c r="D85" s="3" t="s">
        <v>357</v>
      </c>
      <c r="E85" s="12" t="s">
        <v>248</v>
      </c>
      <c r="F85" s="2" t="s">
        <v>526</v>
      </c>
      <c r="G85" s="12" t="s">
        <v>249</v>
      </c>
      <c r="H85" s="2" t="s">
        <v>2</v>
      </c>
      <c r="I85" s="12" t="s">
        <v>0</v>
      </c>
      <c r="J85" s="2" t="s">
        <v>552</v>
      </c>
      <c r="K85" s="12" t="s">
        <v>505</v>
      </c>
      <c r="L85" s="2" t="s">
        <v>2</v>
      </c>
      <c r="M85" s="12" t="s">
        <v>316</v>
      </c>
      <c r="N85" s="14" t="s">
        <v>359</v>
      </c>
      <c r="O85" s="12" t="s">
        <v>2</v>
      </c>
      <c r="P85" s="14" t="s">
        <v>2</v>
      </c>
      <c r="Q85" s="12" t="s">
        <v>2</v>
      </c>
      <c r="R85" s="14" t="s">
        <v>2</v>
      </c>
      <c r="S85" s="12" t="s">
        <v>2</v>
      </c>
      <c r="T85" s="14" t="s">
        <v>2</v>
      </c>
      <c r="U85" s="12" t="s">
        <v>314</v>
      </c>
      <c r="V85" s="4" t="s">
        <v>0</v>
      </c>
      <c r="W85" s="3" t="str">
        <f t="shared" si="3"/>
        <v>VAO-L0.80m-A2.10m-MZN</v>
      </c>
      <c r="X85" s="3" t="str">
        <f t="shared" si="4"/>
        <v>VAO-L0.80m-A2.10m-MZN-84</v>
      </c>
      <c r="Y85" s="3" t="str">
        <f t="shared" si="5"/>
        <v>Vao 0.80m 2.10m em mezanino. Localização: bloco A</v>
      </c>
    </row>
    <row r="86" spans="1:25" ht="8.25" customHeight="1" x14ac:dyDescent="0.25">
      <c r="A86" s="13">
        <v>85</v>
      </c>
      <c r="B86" s="3" t="s">
        <v>24</v>
      </c>
      <c r="C86" s="12" t="s">
        <v>358</v>
      </c>
      <c r="D86" s="3" t="s">
        <v>357</v>
      </c>
      <c r="E86" s="12" t="s">
        <v>248</v>
      </c>
      <c r="F86" s="2" t="s">
        <v>525</v>
      </c>
      <c r="G86" s="12" t="s">
        <v>249</v>
      </c>
      <c r="H86" s="2" t="s">
        <v>2</v>
      </c>
      <c r="I86" s="12" t="s">
        <v>0</v>
      </c>
      <c r="J86" s="2" t="s">
        <v>552</v>
      </c>
      <c r="K86" s="12" t="s">
        <v>505</v>
      </c>
      <c r="L86" s="2" t="s">
        <v>2</v>
      </c>
      <c r="M86" s="12" t="s">
        <v>2</v>
      </c>
      <c r="N86" s="14" t="s">
        <v>2</v>
      </c>
      <c r="O86" s="12" t="s">
        <v>2</v>
      </c>
      <c r="P86" s="14" t="s">
        <v>2</v>
      </c>
      <c r="Q86" s="12" t="s">
        <v>2</v>
      </c>
      <c r="R86" s="14" t="s">
        <v>2</v>
      </c>
      <c r="S86" s="12" t="s">
        <v>2</v>
      </c>
      <c r="T86" s="14" t="s">
        <v>2</v>
      </c>
      <c r="U86" s="12" t="s">
        <v>314</v>
      </c>
      <c r="V86" s="4" t="s">
        <v>0</v>
      </c>
      <c r="W86" s="3" t="str">
        <f t="shared" si="3"/>
        <v>VAO-L0.70m-A2.10m</v>
      </c>
      <c r="X86" s="3" t="str">
        <f t="shared" si="4"/>
        <v>VAO-L0.70m-A2.10m-85</v>
      </c>
      <c r="Y86" s="3" t="str">
        <f t="shared" si="5"/>
        <v>Vao 0.70m 2.10m. Localização: bloco A</v>
      </c>
    </row>
    <row r="87" spans="1:25" ht="8.25" customHeight="1" x14ac:dyDescent="0.25">
      <c r="A87" s="13">
        <v>86</v>
      </c>
      <c r="B87" s="3" t="s">
        <v>24</v>
      </c>
      <c r="C87" s="12" t="s">
        <v>358</v>
      </c>
      <c r="D87" s="3" t="s">
        <v>357</v>
      </c>
      <c r="E87" s="12" t="s">
        <v>248</v>
      </c>
      <c r="F87" s="2" t="s">
        <v>526</v>
      </c>
      <c r="G87" s="12" t="s">
        <v>249</v>
      </c>
      <c r="H87" s="2" t="s">
        <v>2</v>
      </c>
      <c r="I87" s="12" t="s">
        <v>0</v>
      </c>
      <c r="J87" s="2" t="s">
        <v>552</v>
      </c>
      <c r="K87" s="12" t="s">
        <v>505</v>
      </c>
      <c r="L87" s="2" t="s">
        <v>2</v>
      </c>
      <c r="M87" s="12" t="s">
        <v>2</v>
      </c>
      <c r="N87" s="14" t="s">
        <v>2</v>
      </c>
      <c r="O87" s="12" t="s">
        <v>2</v>
      </c>
      <c r="P87" s="14" t="s">
        <v>2</v>
      </c>
      <c r="Q87" s="12" t="s">
        <v>2</v>
      </c>
      <c r="R87" s="14" t="s">
        <v>2</v>
      </c>
      <c r="S87" s="12" t="s">
        <v>2</v>
      </c>
      <c r="T87" s="14" t="s">
        <v>2</v>
      </c>
      <c r="U87" s="12" t="s">
        <v>314</v>
      </c>
      <c r="V87" s="4" t="s">
        <v>0</v>
      </c>
      <c r="W87" s="3" t="str">
        <f t="shared" si="3"/>
        <v>VAO-L0.80m-A2.10m</v>
      </c>
      <c r="X87" s="3" t="str">
        <f t="shared" si="4"/>
        <v>VAO-L0.80m-A2.10m-86</v>
      </c>
      <c r="Y87" s="3" t="str">
        <f t="shared" si="5"/>
        <v>Vao 0.80m 2.10m. Localização: bloco A</v>
      </c>
    </row>
    <row r="88" spans="1:25" ht="8.25" customHeight="1" x14ac:dyDescent="0.25">
      <c r="A88" s="13">
        <v>87</v>
      </c>
      <c r="B88" s="3" t="s">
        <v>24</v>
      </c>
      <c r="C88" s="12" t="s">
        <v>358</v>
      </c>
      <c r="D88" s="3" t="s">
        <v>357</v>
      </c>
      <c r="E88" s="12" t="s">
        <v>248</v>
      </c>
      <c r="F88" s="2" t="s">
        <v>526</v>
      </c>
      <c r="G88" s="12" t="s">
        <v>249</v>
      </c>
      <c r="H88" s="2" t="s">
        <v>2</v>
      </c>
      <c r="I88" s="12" t="s">
        <v>0</v>
      </c>
      <c r="J88" s="2" t="s">
        <v>552</v>
      </c>
      <c r="K88" s="12" t="s">
        <v>505</v>
      </c>
      <c r="L88" s="2" t="s">
        <v>2</v>
      </c>
      <c r="M88" s="12" t="s">
        <v>2</v>
      </c>
      <c r="N88" s="14" t="s">
        <v>2</v>
      </c>
      <c r="O88" s="12" t="s">
        <v>2</v>
      </c>
      <c r="P88" s="14" t="s">
        <v>2</v>
      </c>
      <c r="Q88" s="12" t="s">
        <v>2</v>
      </c>
      <c r="R88" s="14" t="s">
        <v>2</v>
      </c>
      <c r="S88" s="12" t="s">
        <v>2</v>
      </c>
      <c r="T88" s="14" t="s">
        <v>2</v>
      </c>
      <c r="U88" s="12" t="s">
        <v>314</v>
      </c>
      <c r="V88" s="4" t="s">
        <v>0</v>
      </c>
      <c r="W88" s="3" t="str">
        <f t="shared" si="3"/>
        <v>VAO-L0.80m-A2.10m</v>
      </c>
      <c r="X88" s="3" t="str">
        <f t="shared" si="4"/>
        <v>VAO-L0.80m-A2.10m-87</v>
      </c>
      <c r="Y88" s="3" t="str">
        <f t="shared" si="5"/>
        <v>Vao 0.80m 2.10m. Localização: bloco A</v>
      </c>
    </row>
    <row r="89" spans="1:25" ht="8.25" customHeight="1" x14ac:dyDescent="0.25">
      <c r="A89" s="13">
        <v>88</v>
      </c>
      <c r="B89" s="3" t="s">
        <v>28</v>
      </c>
      <c r="C89" s="12" t="s">
        <v>29</v>
      </c>
      <c r="D89" s="3" t="s">
        <v>28</v>
      </c>
      <c r="E89" s="12" t="s">
        <v>248</v>
      </c>
      <c r="F89" s="2" t="s">
        <v>139</v>
      </c>
      <c r="G89" s="12" t="s">
        <v>249</v>
      </c>
      <c r="H89" s="2" t="s">
        <v>2</v>
      </c>
      <c r="I89" s="12" t="s">
        <v>0</v>
      </c>
      <c r="J89" s="2" t="s">
        <v>139</v>
      </c>
      <c r="K89" s="12" t="s">
        <v>505</v>
      </c>
      <c r="L89" s="2" t="s">
        <v>2</v>
      </c>
      <c r="M89" s="12" t="s">
        <v>38</v>
      </c>
      <c r="N89" s="14" t="s">
        <v>212</v>
      </c>
      <c r="O89" s="12" t="s">
        <v>261</v>
      </c>
      <c r="P89" s="14" t="s">
        <v>255</v>
      </c>
      <c r="Q89" s="12" t="s">
        <v>2</v>
      </c>
      <c r="R89" s="14" t="s">
        <v>2</v>
      </c>
      <c r="S89" s="12" t="s">
        <v>2</v>
      </c>
      <c r="T89" s="14" t="s">
        <v>2</v>
      </c>
      <c r="U89" s="12" t="s">
        <v>314</v>
      </c>
      <c r="V89" s="4" t="s">
        <v>0</v>
      </c>
      <c r="W89" s="3" t="str">
        <f t="shared" si="3"/>
        <v>JAN-L1.25m-A1.25m-FAC-1PA</v>
      </c>
      <c r="X89" s="3" t="str">
        <f t="shared" si="4"/>
        <v>JAN-L1.25m-A1.25m-FAC-1PA-88</v>
      </c>
      <c r="Y89" s="3" t="str">
        <f t="shared" si="5"/>
        <v>Janela 1.25m 1.25m de fachada 1 painel. Localização: bloco A</v>
      </c>
    </row>
    <row r="90" spans="1:25" ht="8.25" customHeight="1" x14ac:dyDescent="0.25">
      <c r="A90" s="13">
        <v>89</v>
      </c>
      <c r="B90" s="3" t="s">
        <v>28</v>
      </c>
      <c r="C90" s="12" t="s">
        <v>29</v>
      </c>
      <c r="D90" s="3" t="s">
        <v>28</v>
      </c>
      <c r="E90" s="12" t="s">
        <v>248</v>
      </c>
      <c r="F90" s="2" t="s">
        <v>139</v>
      </c>
      <c r="G90" s="12" t="s">
        <v>249</v>
      </c>
      <c r="H90" s="2" t="s">
        <v>2</v>
      </c>
      <c r="I90" s="12" t="s">
        <v>0</v>
      </c>
      <c r="J90" s="2" t="s">
        <v>139</v>
      </c>
      <c r="K90" s="12" t="s">
        <v>505</v>
      </c>
      <c r="L90" s="2" t="s">
        <v>2</v>
      </c>
      <c r="M90" s="12" t="s">
        <v>38</v>
      </c>
      <c r="N90" s="14" t="s">
        <v>212</v>
      </c>
      <c r="O90" s="12" t="s">
        <v>261</v>
      </c>
      <c r="P90" s="14" t="s">
        <v>256</v>
      </c>
      <c r="Q90" s="12" t="s">
        <v>2</v>
      </c>
      <c r="R90" s="14" t="s">
        <v>2</v>
      </c>
      <c r="S90" s="12" t="s">
        <v>2</v>
      </c>
      <c r="T90" s="14" t="s">
        <v>2</v>
      </c>
      <c r="U90" s="12" t="s">
        <v>314</v>
      </c>
      <c r="V90" s="4" t="s">
        <v>0</v>
      </c>
      <c r="W90" s="3" t="str">
        <f t="shared" si="3"/>
        <v>JAN-L1.25m-A1.25m-FAC-1PA</v>
      </c>
      <c r="X90" s="3" t="str">
        <f t="shared" si="4"/>
        <v>JAN-L1.25m-A1.25m-FAC-1PA-89</v>
      </c>
      <c r="Y90" s="3" t="str">
        <f t="shared" si="5"/>
        <v>Janela 1.25m 1.25m de fachada 2 painel. Localização: bloco A</v>
      </c>
    </row>
    <row r="91" spans="1:25" ht="8.25" customHeight="1" x14ac:dyDescent="0.25">
      <c r="A91" s="13">
        <v>90</v>
      </c>
      <c r="B91" s="3" t="s">
        <v>28</v>
      </c>
      <c r="C91" s="12" t="s">
        <v>29</v>
      </c>
      <c r="D91" s="3" t="s">
        <v>28</v>
      </c>
      <c r="E91" s="12" t="s">
        <v>248</v>
      </c>
      <c r="F91" s="2" t="s">
        <v>139</v>
      </c>
      <c r="G91" s="12" t="s">
        <v>249</v>
      </c>
      <c r="H91" s="2" t="s">
        <v>2</v>
      </c>
      <c r="I91" s="12" t="s">
        <v>0</v>
      </c>
      <c r="J91" s="2" t="s">
        <v>139</v>
      </c>
      <c r="K91" s="12" t="s">
        <v>505</v>
      </c>
      <c r="L91" s="2" t="s">
        <v>2</v>
      </c>
      <c r="M91" s="12" t="s">
        <v>38</v>
      </c>
      <c r="N91" s="14" t="s">
        <v>212</v>
      </c>
      <c r="O91" s="12" t="s">
        <v>261</v>
      </c>
      <c r="P91" s="14" t="s">
        <v>257</v>
      </c>
      <c r="Q91" s="12" t="s">
        <v>2</v>
      </c>
      <c r="R91" s="14" t="s">
        <v>2</v>
      </c>
      <c r="S91" s="12" t="s">
        <v>2</v>
      </c>
      <c r="T91" s="14" t="s">
        <v>2</v>
      </c>
      <c r="U91" s="12" t="s">
        <v>314</v>
      </c>
      <c r="V91" s="4" t="s">
        <v>0</v>
      </c>
      <c r="W91" s="3" t="str">
        <f t="shared" si="3"/>
        <v>JAN-L1.25m-A1.25m-FAC-1PA</v>
      </c>
      <c r="X91" s="3" t="str">
        <f t="shared" si="4"/>
        <v>JAN-L1.25m-A1.25m-FAC-1PA-90</v>
      </c>
      <c r="Y91" s="3" t="str">
        <f t="shared" si="5"/>
        <v>Janela 1.25m 1.25m de fachada 3 painel. Localização: bloco A</v>
      </c>
    </row>
    <row r="92" spans="1:25" ht="8.25" customHeight="1" x14ac:dyDescent="0.25">
      <c r="A92" s="13">
        <v>91</v>
      </c>
      <c r="B92" s="3" t="s">
        <v>28</v>
      </c>
      <c r="C92" s="12" t="s">
        <v>29</v>
      </c>
      <c r="D92" s="3" t="s">
        <v>28</v>
      </c>
      <c r="E92" s="12" t="s">
        <v>248</v>
      </c>
      <c r="F92" s="2" t="s">
        <v>139</v>
      </c>
      <c r="G92" s="12" t="s">
        <v>249</v>
      </c>
      <c r="H92" s="2" t="s">
        <v>2</v>
      </c>
      <c r="I92" s="12" t="s">
        <v>0</v>
      </c>
      <c r="J92" s="2" t="s">
        <v>139</v>
      </c>
      <c r="K92" s="12" t="s">
        <v>505</v>
      </c>
      <c r="L92" s="2" t="s">
        <v>2</v>
      </c>
      <c r="M92" s="12" t="s">
        <v>38</v>
      </c>
      <c r="N92" s="14" t="s">
        <v>212</v>
      </c>
      <c r="O92" s="12" t="s">
        <v>261</v>
      </c>
      <c r="P92" s="14" t="s">
        <v>258</v>
      </c>
      <c r="Q92" s="12" t="s">
        <v>2</v>
      </c>
      <c r="R92" s="14" t="s">
        <v>2</v>
      </c>
      <c r="S92" s="12" t="s">
        <v>2</v>
      </c>
      <c r="T92" s="14" t="s">
        <v>2</v>
      </c>
      <c r="U92" s="12" t="s">
        <v>314</v>
      </c>
      <c r="V92" s="4" t="s">
        <v>0</v>
      </c>
      <c r="W92" s="3" t="str">
        <f t="shared" si="3"/>
        <v>JAN-L1.25m-A1.25m-FAC-1PA</v>
      </c>
      <c r="X92" s="3" t="str">
        <f t="shared" si="4"/>
        <v>JAN-L1.25m-A1.25m-FAC-1PA-91</v>
      </c>
      <c r="Y92" s="3" t="str">
        <f t="shared" si="5"/>
        <v>Janela 1.25m 1.25m de fachada 4 painel. Localização: bloco A</v>
      </c>
    </row>
    <row r="93" spans="1:25" ht="8.25" customHeight="1" x14ac:dyDescent="0.25">
      <c r="A93" s="13">
        <v>92</v>
      </c>
      <c r="B93" s="3" t="s">
        <v>28</v>
      </c>
      <c r="C93" s="12" t="s">
        <v>29</v>
      </c>
      <c r="D93" s="3" t="s">
        <v>28</v>
      </c>
      <c r="E93" s="12" t="s">
        <v>248</v>
      </c>
      <c r="F93" s="2" t="s">
        <v>139</v>
      </c>
      <c r="G93" s="12" t="s">
        <v>249</v>
      </c>
      <c r="H93" s="2" t="s">
        <v>2</v>
      </c>
      <c r="I93" s="12" t="s">
        <v>0</v>
      </c>
      <c r="J93" s="2" t="s">
        <v>139</v>
      </c>
      <c r="K93" s="12" t="s">
        <v>505</v>
      </c>
      <c r="L93" s="2" t="s">
        <v>2</v>
      </c>
      <c r="M93" s="12" t="s">
        <v>38</v>
      </c>
      <c r="N93" s="14" t="s">
        <v>212</v>
      </c>
      <c r="O93" s="12" t="s">
        <v>261</v>
      </c>
      <c r="P93" s="14" t="s">
        <v>259</v>
      </c>
      <c r="Q93" s="12" t="s">
        <v>2</v>
      </c>
      <c r="R93" s="14" t="s">
        <v>2</v>
      </c>
      <c r="S93" s="12" t="s">
        <v>2</v>
      </c>
      <c r="T93" s="14" t="s">
        <v>2</v>
      </c>
      <c r="U93" s="12" t="s">
        <v>314</v>
      </c>
      <c r="V93" s="4" t="s">
        <v>0</v>
      </c>
      <c r="W93" s="3" t="str">
        <f t="shared" si="3"/>
        <v>JAN-L1.25m-A1.25m-FAC-1PA</v>
      </c>
      <c r="X93" s="3" t="str">
        <f t="shared" si="4"/>
        <v>JAN-L1.25m-A1.25m-FAC-1PA-92</v>
      </c>
      <c r="Y93" s="3" t="str">
        <f t="shared" si="5"/>
        <v>Janela 1.25m 1.25m de fachada 5 painel. Localização: bloco A</v>
      </c>
    </row>
    <row r="94" spans="1:25" ht="8.25" customHeight="1" x14ac:dyDescent="0.25">
      <c r="A94" s="13">
        <v>93</v>
      </c>
      <c r="B94" s="3" t="s">
        <v>28</v>
      </c>
      <c r="C94" s="12" t="s">
        <v>29</v>
      </c>
      <c r="D94" s="3" t="s">
        <v>28</v>
      </c>
      <c r="E94" s="12" t="s">
        <v>248</v>
      </c>
      <c r="F94" s="2" t="s">
        <v>139</v>
      </c>
      <c r="G94" s="12" t="s">
        <v>249</v>
      </c>
      <c r="H94" s="2" t="s">
        <v>2</v>
      </c>
      <c r="I94" s="12" t="s">
        <v>0</v>
      </c>
      <c r="J94" s="2" t="s">
        <v>139</v>
      </c>
      <c r="K94" s="12" t="s">
        <v>505</v>
      </c>
      <c r="L94" s="2" t="s">
        <v>2</v>
      </c>
      <c r="M94" s="12" t="s">
        <v>38</v>
      </c>
      <c r="N94" s="14" t="s">
        <v>212</v>
      </c>
      <c r="O94" s="12" t="s">
        <v>261</v>
      </c>
      <c r="P94" s="14" t="s">
        <v>260</v>
      </c>
      <c r="Q94" s="12" t="s">
        <v>2</v>
      </c>
      <c r="R94" s="14" t="s">
        <v>2</v>
      </c>
      <c r="S94" s="12" t="s">
        <v>2</v>
      </c>
      <c r="T94" s="14" t="s">
        <v>2</v>
      </c>
      <c r="U94" s="12" t="s">
        <v>314</v>
      </c>
      <c r="V94" s="4" t="s">
        <v>0</v>
      </c>
      <c r="W94" s="3" t="str">
        <f t="shared" si="3"/>
        <v>JAN-L1.25m-A1.25m-FAC-1PA</v>
      </c>
      <c r="X94" s="3" t="str">
        <f t="shared" si="4"/>
        <v>JAN-L1.25m-A1.25m-FAC-1PA-93</v>
      </c>
      <c r="Y94" s="3" t="str">
        <f t="shared" si="5"/>
        <v>Janela 1.25m 1.25m de fachada 6 painel. Localização: bloco A</v>
      </c>
    </row>
    <row r="95" spans="1:25" ht="8.25" customHeight="1" x14ac:dyDescent="0.25">
      <c r="A95" s="13">
        <v>94</v>
      </c>
      <c r="B95" s="3" t="s">
        <v>28</v>
      </c>
      <c r="C95" s="12" t="s">
        <v>29</v>
      </c>
      <c r="D95" s="3" t="s">
        <v>28</v>
      </c>
      <c r="E95" s="12" t="s">
        <v>248</v>
      </c>
      <c r="F95" s="2" t="s">
        <v>139</v>
      </c>
      <c r="G95" s="12" t="s">
        <v>249</v>
      </c>
      <c r="H95" s="2" t="s">
        <v>2</v>
      </c>
      <c r="I95" s="12" t="s">
        <v>0</v>
      </c>
      <c r="J95" s="2" t="s">
        <v>139</v>
      </c>
      <c r="K95" s="12" t="s">
        <v>505</v>
      </c>
      <c r="L95" s="2" t="s">
        <v>2</v>
      </c>
      <c r="M95" s="12" t="s">
        <v>121</v>
      </c>
      <c r="N95" s="14" t="s">
        <v>211</v>
      </c>
      <c r="O95" s="12" t="s">
        <v>261</v>
      </c>
      <c r="P95" s="14" t="s">
        <v>255</v>
      </c>
      <c r="Q95" s="12" t="s">
        <v>2</v>
      </c>
      <c r="R95" s="14" t="s">
        <v>2</v>
      </c>
      <c r="S95" s="12" t="s">
        <v>2</v>
      </c>
      <c r="T95" s="14" t="s">
        <v>2</v>
      </c>
      <c r="U95" s="12" t="s">
        <v>314</v>
      </c>
      <c r="V95" s="4" t="s">
        <v>0</v>
      </c>
      <c r="W95" s="3" t="str">
        <f t="shared" si="3"/>
        <v>JAN-L1.25m-A1.25m-CAB-1PA</v>
      </c>
      <c r="X95" s="3" t="str">
        <f t="shared" si="4"/>
        <v>JAN-L1.25m-A1.25m-CAB-1PA-94</v>
      </c>
      <c r="Y95" s="3" t="str">
        <f t="shared" si="5"/>
        <v>Janela 1.25m 1.25m de cabine 1 painel. Localização: bloco A</v>
      </c>
    </row>
    <row r="96" spans="1:25" ht="8.25" customHeight="1" x14ac:dyDescent="0.25">
      <c r="A96" s="13">
        <v>95</v>
      </c>
      <c r="B96" s="3" t="s">
        <v>28</v>
      </c>
      <c r="C96" s="12" t="s">
        <v>29</v>
      </c>
      <c r="D96" s="3" t="s">
        <v>28</v>
      </c>
      <c r="E96" s="12" t="s">
        <v>248</v>
      </c>
      <c r="F96" s="2" t="s">
        <v>139</v>
      </c>
      <c r="G96" s="12" t="s">
        <v>249</v>
      </c>
      <c r="H96" s="2" t="s">
        <v>2</v>
      </c>
      <c r="I96" s="12" t="s">
        <v>0</v>
      </c>
      <c r="J96" s="2" t="s">
        <v>139</v>
      </c>
      <c r="K96" s="12" t="s">
        <v>505</v>
      </c>
      <c r="L96" s="2" t="s">
        <v>2</v>
      </c>
      <c r="M96" s="12" t="s">
        <v>122</v>
      </c>
      <c r="N96" s="14" t="s">
        <v>210</v>
      </c>
      <c r="O96" s="12" t="s">
        <v>261</v>
      </c>
      <c r="P96" s="14" t="s">
        <v>255</v>
      </c>
      <c r="Q96" s="12" t="s">
        <v>2</v>
      </c>
      <c r="R96" s="14" t="s">
        <v>2</v>
      </c>
      <c r="S96" s="12" t="s">
        <v>2</v>
      </c>
      <c r="T96" s="14" t="s">
        <v>2</v>
      </c>
      <c r="U96" s="12" t="s">
        <v>314</v>
      </c>
      <c r="V96" s="4" t="s">
        <v>0</v>
      </c>
      <c r="W96" s="3" t="str">
        <f t="shared" si="3"/>
        <v>JAN-L1.25m-A1.25m-GUA-1PA</v>
      </c>
      <c r="X96" s="3" t="str">
        <f t="shared" si="4"/>
        <v>JAN-L1.25m-A1.25m-GUA-1PA-95</v>
      </c>
      <c r="Y96" s="3" t="str">
        <f t="shared" si="5"/>
        <v>Janela 1.25m 1.25m de guarita 1 painel. Localização: bloco A</v>
      </c>
    </row>
    <row r="97" spans="1:25" ht="8.25" customHeight="1" x14ac:dyDescent="0.25">
      <c r="A97" s="13">
        <v>96</v>
      </c>
      <c r="B97" s="3" t="s">
        <v>28</v>
      </c>
      <c r="C97" s="12" t="s">
        <v>29</v>
      </c>
      <c r="D97" s="3" t="s">
        <v>28</v>
      </c>
      <c r="E97" s="12" t="s">
        <v>248</v>
      </c>
      <c r="F97" s="2" t="s">
        <v>139</v>
      </c>
      <c r="G97" s="12" t="s">
        <v>249</v>
      </c>
      <c r="H97" s="2" t="s">
        <v>2</v>
      </c>
      <c r="I97" s="12" t="s">
        <v>0</v>
      </c>
      <c r="J97" s="2" t="s">
        <v>139</v>
      </c>
      <c r="K97" s="12" t="s">
        <v>505</v>
      </c>
      <c r="L97" s="2" t="s">
        <v>2</v>
      </c>
      <c r="M97" s="12" t="s">
        <v>123</v>
      </c>
      <c r="N97" s="14" t="s">
        <v>209</v>
      </c>
      <c r="O97" s="12" t="s">
        <v>261</v>
      </c>
      <c r="P97" s="14" t="s">
        <v>255</v>
      </c>
      <c r="Q97" s="12" t="s">
        <v>2</v>
      </c>
      <c r="R97" s="14" t="s">
        <v>2</v>
      </c>
      <c r="S97" s="12" t="s">
        <v>2</v>
      </c>
      <c r="T97" s="14" t="s">
        <v>2</v>
      </c>
      <c r="U97" s="12" t="s">
        <v>314</v>
      </c>
      <c r="V97" s="4" t="s">
        <v>0</v>
      </c>
      <c r="W97" s="3" t="str">
        <f t="shared" si="3"/>
        <v>JAN-L1.25m-A1.25m-PRO-1PA</v>
      </c>
      <c r="X97" s="3" t="str">
        <f t="shared" si="4"/>
        <v>JAN-L1.25m-A1.25m-PRO-1PA-96</v>
      </c>
      <c r="Y97" s="3" t="str">
        <f t="shared" si="5"/>
        <v>Janela 1.25m 1.25m de local projeção 1 painel. Localização: bloco A</v>
      </c>
    </row>
    <row r="98" spans="1:25" ht="8.25" customHeight="1" x14ac:dyDescent="0.25">
      <c r="A98" s="13">
        <v>97</v>
      </c>
      <c r="B98" s="3" t="s">
        <v>28</v>
      </c>
      <c r="C98" s="12" t="s">
        <v>29</v>
      </c>
      <c r="D98" s="3" t="s">
        <v>28</v>
      </c>
      <c r="E98" s="12" t="s">
        <v>248</v>
      </c>
      <c r="F98" s="2" t="s">
        <v>139</v>
      </c>
      <c r="G98" s="12" t="s">
        <v>249</v>
      </c>
      <c r="H98" s="2" t="s">
        <v>2</v>
      </c>
      <c r="I98" s="12" t="s">
        <v>0</v>
      </c>
      <c r="J98" s="2" t="s">
        <v>139</v>
      </c>
      <c r="K98" s="12" t="s">
        <v>505</v>
      </c>
      <c r="L98" s="2" t="s">
        <v>2</v>
      </c>
      <c r="M98" s="12" t="s">
        <v>125</v>
      </c>
      <c r="N98" s="14" t="s">
        <v>124</v>
      </c>
      <c r="O98" s="12" t="s">
        <v>261</v>
      </c>
      <c r="P98" s="14" t="s">
        <v>255</v>
      </c>
      <c r="Q98" s="12" t="s">
        <v>265</v>
      </c>
      <c r="R98" s="14" t="s">
        <v>264</v>
      </c>
      <c r="S98" s="12" t="s">
        <v>2</v>
      </c>
      <c r="T98" s="14" t="s">
        <v>2</v>
      </c>
      <c r="U98" s="12" t="s">
        <v>314</v>
      </c>
      <c r="V98" s="4" t="s">
        <v>0</v>
      </c>
      <c r="W98" s="3" t="str">
        <f t="shared" si="3"/>
        <v>JAN-L1.25m-A1.25m-VIG-1PA-ABA</v>
      </c>
      <c r="X98" s="3" t="str">
        <f t="shared" si="4"/>
        <v>JAN-L1.25m-A1.25m-VIG-1PA-ABA-97</v>
      </c>
      <c r="Y98" s="3" t="str">
        <f t="shared" si="5"/>
        <v>Janela 1.25m 1.25m de vigilância 1 painel antibala. Localização: bloco A</v>
      </c>
    </row>
    <row r="99" spans="1:25" ht="8.25" customHeight="1" x14ac:dyDescent="0.25">
      <c r="A99" s="13">
        <v>98</v>
      </c>
      <c r="B99" s="3" t="s">
        <v>28</v>
      </c>
      <c r="C99" s="12" t="s">
        <v>29</v>
      </c>
      <c r="D99" s="3" t="s">
        <v>28</v>
      </c>
      <c r="E99" s="12" t="s">
        <v>248</v>
      </c>
      <c r="F99" s="2" t="s">
        <v>139</v>
      </c>
      <c r="G99" s="12" t="s">
        <v>249</v>
      </c>
      <c r="H99" s="2" t="s">
        <v>2</v>
      </c>
      <c r="I99" s="12" t="s">
        <v>0</v>
      </c>
      <c r="J99" s="2" t="s">
        <v>139</v>
      </c>
      <c r="K99" s="12" t="s">
        <v>505</v>
      </c>
      <c r="L99" s="2" t="s">
        <v>2</v>
      </c>
      <c r="M99" s="12" t="s">
        <v>50</v>
      </c>
      <c r="N99" s="14" t="s">
        <v>140</v>
      </c>
      <c r="O99" s="12" t="s">
        <v>261</v>
      </c>
      <c r="P99" s="14" t="s">
        <v>255</v>
      </c>
      <c r="Q99" s="12" t="s">
        <v>263</v>
      </c>
      <c r="R99" s="14" t="s">
        <v>262</v>
      </c>
      <c r="S99" s="12" t="s">
        <v>2</v>
      </c>
      <c r="T99" s="14" t="s">
        <v>2</v>
      </c>
      <c r="U99" s="12" t="s">
        <v>314</v>
      </c>
      <c r="V99" s="4" t="s">
        <v>0</v>
      </c>
      <c r="W99" s="3" t="str">
        <f t="shared" si="3"/>
        <v>JAN-L1.25m-A1.25m-GAB-1PA-BRI</v>
      </c>
      <c r="X99" s="3" t="str">
        <f t="shared" si="4"/>
        <v>JAN-L1.25m-A1.25m-GAB-1PA-BRI-98</v>
      </c>
      <c r="Y99" s="3" t="str">
        <f t="shared" si="5"/>
        <v>Janela 1.25m 1.25m de gabinete 1 painel com brise. Localização: bloco A</v>
      </c>
    </row>
    <row r="100" spans="1:25" ht="8.25" customHeight="1" x14ac:dyDescent="0.25">
      <c r="A100" s="13">
        <v>99</v>
      </c>
      <c r="B100" s="3" t="s">
        <v>28</v>
      </c>
      <c r="C100" s="12" t="s">
        <v>29</v>
      </c>
      <c r="D100" s="3" t="s">
        <v>28</v>
      </c>
      <c r="E100" s="12" t="s">
        <v>248</v>
      </c>
      <c r="F100" s="2" t="s">
        <v>139</v>
      </c>
      <c r="G100" s="12" t="s">
        <v>249</v>
      </c>
      <c r="H100" s="2" t="s">
        <v>2</v>
      </c>
      <c r="I100" s="12" t="s">
        <v>0</v>
      </c>
      <c r="J100" s="2" t="s">
        <v>139</v>
      </c>
      <c r="K100" s="12" t="s">
        <v>505</v>
      </c>
      <c r="L100" s="2" t="s">
        <v>2</v>
      </c>
      <c r="M100" s="12" t="s">
        <v>35</v>
      </c>
      <c r="N100" s="14" t="s">
        <v>208</v>
      </c>
      <c r="O100" s="12" t="s">
        <v>261</v>
      </c>
      <c r="P100" s="14" t="s">
        <v>255</v>
      </c>
      <c r="Q100" s="12" t="s">
        <v>2</v>
      </c>
      <c r="R100" s="14" t="s">
        <v>2</v>
      </c>
      <c r="S100" s="12" t="s">
        <v>2</v>
      </c>
      <c r="T100" s="14" t="s">
        <v>2</v>
      </c>
      <c r="U100" s="12" t="s">
        <v>314</v>
      </c>
      <c r="V100" s="4" t="s">
        <v>0</v>
      </c>
      <c r="W100" s="3" t="str">
        <f t="shared" si="3"/>
        <v>JAN-L1.25m-A1.25m-LAB-1PA</v>
      </c>
      <c r="X100" s="3" t="str">
        <f t="shared" si="4"/>
        <v>JAN-L1.25m-A1.25m-LAB-1PA-99</v>
      </c>
      <c r="Y100" s="3" t="str">
        <f t="shared" si="5"/>
        <v>Janela 1.25m 1.25m de laboratório 1 painel. Localização: bloco A</v>
      </c>
    </row>
    <row r="101" spans="1:25" ht="8.25" customHeight="1" x14ac:dyDescent="0.25">
      <c r="A101" s="13">
        <v>100</v>
      </c>
      <c r="B101" s="3" t="s">
        <v>30</v>
      </c>
      <c r="C101" s="12" t="s">
        <v>65</v>
      </c>
      <c r="D101" s="3" t="s">
        <v>30</v>
      </c>
      <c r="E101" s="12" t="s">
        <v>248</v>
      </c>
      <c r="F101" s="2" t="s">
        <v>139</v>
      </c>
      <c r="G101" s="12" t="s">
        <v>249</v>
      </c>
      <c r="H101" s="2" t="s">
        <v>2</v>
      </c>
      <c r="I101" s="12" t="s">
        <v>0</v>
      </c>
      <c r="J101" s="2" t="s">
        <v>139</v>
      </c>
      <c r="K101" s="12" t="s">
        <v>505</v>
      </c>
      <c r="L101" s="2" t="s">
        <v>2</v>
      </c>
      <c r="M101" s="12" t="s">
        <v>38</v>
      </c>
      <c r="N101" s="14" t="s">
        <v>212</v>
      </c>
      <c r="O101" s="12" t="s">
        <v>261</v>
      </c>
      <c r="P101" s="14" t="s">
        <v>255</v>
      </c>
      <c r="Q101" s="12" t="s">
        <v>2</v>
      </c>
      <c r="R101" s="14" t="s">
        <v>2</v>
      </c>
      <c r="S101" s="12" t="s">
        <v>2</v>
      </c>
      <c r="T101" s="14" t="s">
        <v>2</v>
      </c>
      <c r="U101" s="12" t="s">
        <v>314</v>
      </c>
      <c r="V101" s="4" t="s">
        <v>0</v>
      </c>
      <c r="W101" s="3" t="str">
        <f t="shared" si="3"/>
        <v>VZA-L1.25m-A1.25m-FAC-1PA</v>
      </c>
      <c r="X101" s="3" t="str">
        <f t="shared" si="4"/>
        <v>VZA-L1.25m-A1.25m-FAC-1PA-100</v>
      </c>
      <c r="Y101" s="3" t="str">
        <f t="shared" si="5"/>
        <v>Veneziana 1.25m 1.25m de fachada 1 painel. Localização: bloco A</v>
      </c>
    </row>
    <row r="102" spans="1:25" ht="8.25" customHeight="1" x14ac:dyDescent="0.25">
      <c r="A102" s="13">
        <v>101</v>
      </c>
      <c r="B102" s="3" t="s">
        <v>30</v>
      </c>
      <c r="C102" s="12" t="s">
        <v>65</v>
      </c>
      <c r="D102" s="3" t="s">
        <v>30</v>
      </c>
      <c r="E102" s="12" t="s">
        <v>248</v>
      </c>
      <c r="F102" s="2" t="s">
        <v>139</v>
      </c>
      <c r="G102" s="12" t="s">
        <v>249</v>
      </c>
      <c r="H102" s="2" t="s">
        <v>2</v>
      </c>
      <c r="I102" s="12" t="s">
        <v>0</v>
      </c>
      <c r="J102" s="2" t="s">
        <v>139</v>
      </c>
      <c r="K102" s="12" t="s">
        <v>505</v>
      </c>
      <c r="L102" s="2" t="s">
        <v>2</v>
      </c>
      <c r="M102" s="12" t="s">
        <v>38</v>
      </c>
      <c r="N102" s="14" t="s">
        <v>212</v>
      </c>
      <c r="O102" s="12" t="s">
        <v>261</v>
      </c>
      <c r="P102" s="14" t="s">
        <v>256</v>
      </c>
      <c r="Q102" s="12" t="s">
        <v>2</v>
      </c>
      <c r="R102" s="14" t="s">
        <v>2</v>
      </c>
      <c r="S102" s="12" t="s">
        <v>2</v>
      </c>
      <c r="T102" s="14" t="s">
        <v>2</v>
      </c>
      <c r="U102" s="12" t="s">
        <v>314</v>
      </c>
      <c r="V102" s="4" t="s">
        <v>0</v>
      </c>
      <c r="W102" s="3" t="str">
        <f t="shared" si="3"/>
        <v>VZA-L1.25m-A1.25m-FAC-1PA</v>
      </c>
      <c r="X102" s="3" t="str">
        <f t="shared" si="4"/>
        <v>VZA-L1.25m-A1.25m-FAC-1PA-101</v>
      </c>
      <c r="Y102" s="3" t="str">
        <f t="shared" si="5"/>
        <v>Veneziana 1.25m 1.25m de fachada 2 painel. Localização: bloco A</v>
      </c>
    </row>
    <row r="103" spans="1:25" ht="8.25" customHeight="1" x14ac:dyDescent="0.25">
      <c r="A103" s="13">
        <v>102</v>
      </c>
      <c r="B103" s="3" t="s">
        <v>30</v>
      </c>
      <c r="C103" s="12" t="s">
        <v>65</v>
      </c>
      <c r="D103" s="3" t="s">
        <v>30</v>
      </c>
      <c r="E103" s="12" t="s">
        <v>248</v>
      </c>
      <c r="F103" s="2" t="s">
        <v>139</v>
      </c>
      <c r="G103" s="12" t="s">
        <v>249</v>
      </c>
      <c r="H103" s="2" t="s">
        <v>2</v>
      </c>
      <c r="I103" s="12" t="s">
        <v>0</v>
      </c>
      <c r="J103" s="2" t="s">
        <v>139</v>
      </c>
      <c r="K103" s="12" t="s">
        <v>505</v>
      </c>
      <c r="L103" s="2" t="s">
        <v>2</v>
      </c>
      <c r="M103" s="12" t="s">
        <v>38</v>
      </c>
      <c r="N103" s="14" t="s">
        <v>212</v>
      </c>
      <c r="O103" s="12" t="s">
        <v>261</v>
      </c>
      <c r="P103" s="14" t="s">
        <v>257</v>
      </c>
      <c r="Q103" s="12" t="s">
        <v>2</v>
      </c>
      <c r="R103" s="14" t="s">
        <v>2</v>
      </c>
      <c r="S103" s="12" t="s">
        <v>2</v>
      </c>
      <c r="T103" s="14" t="s">
        <v>2</v>
      </c>
      <c r="U103" s="12" t="s">
        <v>314</v>
      </c>
      <c r="V103" s="4" t="s">
        <v>0</v>
      </c>
      <c r="W103" s="3" t="str">
        <f t="shared" si="3"/>
        <v>VZA-L1.25m-A1.25m-FAC-1PA</v>
      </c>
      <c r="X103" s="3" t="str">
        <f t="shared" si="4"/>
        <v>VZA-L1.25m-A1.25m-FAC-1PA-102</v>
      </c>
      <c r="Y103" s="3" t="str">
        <f t="shared" si="5"/>
        <v>Veneziana 1.25m 1.25m de fachada 3 painel. Localização: bloco A</v>
      </c>
    </row>
    <row r="104" spans="1:25" ht="8.25" customHeight="1" x14ac:dyDescent="0.25">
      <c r="A104" s="13">
        <v>103</v>
      </c>
      <c r="B104" s="3" t="s">
        <v>30</v>
      </c>
      <c r="C104" s="12" t="s">
        <v>65</v>
      </c>
      <c r="D104" s="3" t="s">
        <v>30</v>
      </c>
      <c r="E104" s="12" t="s">
        <v>248</v>
      </c>
      <c r="F104" s="2" t="s">
        <v>139</v>
      </c>
      <c r="G104" s="12" t="s">
        <v>249</v>
      </c>
      <c r="H104" s="2" t="s">
        <v>2</v>
      </c>
      <c r="I104" s="12" t="s">
        <v>0</v>
      </c>
      <c r="J104" s="2" t="s">
        <v>139</v>
      </c>
      <c r="K104" s="12" t="s">
        <v>505</v>
      </c>
      <c r="L104" s="2" t="s">
        <v>2</v>
      </c>
      <c r="M104" s="12" t="s">
        <v>38</v>
      </c>
      <c r="N104" s="14" t="s">
        <v>212</v>
      </c>
      <c r="O104" s="12" t="s">
        <v>261</v>
      </c>
      <c r="P104" s="14" t="s">
        <v>258</v>
      </c>
      <c r="Q104" s="12" t="s">
        <v>2</v>
      </c>
      <c r="R104" s="14" t="s">
        <v>2</v>
      </c>
      <c r="S104" s="12" t="s">
        <v>2</v>
      </c>
      <c r="T104" s="14" t="s">
        <v>2</v>
      </c>
      <c r="U104" s="12" t="s">
        <v>314</v>
      </c>
      <c r="V104" s="4" t="s">
        <v>0</v>
      </c>
      <c r="W104" s="3" t="str">
        <f t="shared" si="3"/>
        <v>VZA-L1.25m-A1.25m-FAC-1PA</v>
      </c>
      <c r="X104" s="3" t="str">
        <f t="shared" si="4"/>
        <v>VZA-L1.25m-A1.25m-FAC-1PA-103</v>
      </c>
      <c r="Y104" s="3" t="str">
        <f t="shared" si="5"/>
        <v>Veneziana 1.25m 1.25m de fachada 4 painel. Localização: bloco A</v>
      </c>
    </row>
    <row r="105" spans="1:25" ht="8.25" customHeight="1" x14ac:dyDescent="0.25">
      <c r="A105" s="13">
        <v>104</v>
      </c>
      <c r="B105" s="3" t="s">
        <v>30</v>
      </c>
      <c r="C105" s="12" t="s">
        <v>65</v>
      </c>
      <c r="D105" s="3" t="s">
        <v>30</v>
      </c>
      <c r="E105" s="12" t="s">
        <v>248</v>
      </c>
      <c r="F105" s="2" t="s">
        <v>139</v>
      </c>
      <c r="G105" s="12" t="s">
        <v>249</v>
      </c>
      <c r="H105" s="2" t="s">
        <v>2</v>
      </c>
      <c r="I105" s="12" t="s">
        <v>0</v>
      </c>
      <c r="J105" s="2" t="s">
        <v>139</v>
      </c>
      <c r="K105" s="12" t="s">
        <v>505</v>
      </c>
      <c r="L105" s="2" t="s">
        <v>2</v>
      </c>
      <c r="M105" s="12" t="s">
        <v>38</v>
      </c>
      <c r="N105" s="14" t="s">
        <v>212</v>
      </c>
      <c r="O105" s="12" t="s">
        <v>261</v>
      </c>
      <c r="P105" s="14" t="s">
        <v>259</v>
      </c>
      <c r="Q105" s="12" t="s">
        <v>2</v>
      </c>
      <c r="R105" s="14" t="s">
        <v>2</v>
      </c>
      <c r="S105" s="12" t="s">
        <v>2</v>
      </c>
      <c r="T105" s="14" t="s">
        <v>2</v>
      </c>
      <c r="U105" s="12" t="s">
        <v>314</v>
      </c>
      <c r="V105" s="4" t="s">
        <v>0</v>
      </c>
      <c r="W105" s="3" t="str">
        <f t="shared" si="3"/>
        <v>VZA-L1.25m-A1.25m-FAC-1PA</v>
      </c>
      <c r="X105" s="3" t="str">
        <f t="shared" si="4"/>
        <v>VZA-L1.25m-A1.25m-FAC-1PA-104</v>
      </c>
      <c r="Y105" s="3" t="str">
        <f t="shared" si="5"/>
        <v>Veneziana 1.25m 1.25m de fachada 5 painel. Localização: bloco A</v>
      </c>
    </row>
    <row r="106" spans="1:25" ht="8.25" customHeight="1" x14ac:dyDescent="0.25">
      <c r="A106" s="13">
        <v>105</v>
      </c>
      <c r="B106" s="3" t="s">
        <v>30</v>
      </c>
      <c r="C106" s="12" t="s">
        <v>65</v>
      </c>
      <c r="D106" s="3" t="s">
        <v>30</v>
      </c>
      <c r="E106" s="12" t="s">
        <v>248</v>
      </c>
      <c r="F106" s="2" t="s">
        <v>139</v>
      </c>
      <c r="G106" s="12" t="s">
        <v>249</v>
      </c>
      <c r="H106" s="2" t="s">
        <v>2</v>
      </c>
      <c r="I106" s="12" t="s">
        <v>0</v>
      </c>
      <c r="J106" s="2" t="s">
        <v>139</v>
      </c>
      <c r="K106" s="12" t="s">
        <v>505</v>
      </c>
      <c r="L106" s="2" t="s">
        <v>2</v>
      </c>
      <c r="M106" s="12" t="s">
        <v>38</v>
      </c>
      <c r="N106" s="14" t="s">
        <v>212</v>
      </c>
      <c r="O106" s="12" t="s">
        <v>261</v>
      </c>
      <c r="P106" s="14" t="s">
        <v>260</v>
      </c>
      <c r="Q106" s="12" t="s">
        <v>2</v>
      </c>
      <c r="R106" s="14" t="s">
        <v>2</v>
      </c>
      <c r="S106" s="12" t="s">
        <v>2</v>
      </c>
      <c r="T106" s="14" t="s">
        <v>2</v>
      </c>
      <c r="U106" s="12" t="s">
        <v>314</v>
      </c>
      <c r="V106" s="4" t="s">
        <v>0</v>
      </c>
      <c r="W106" s="3" t="str">
        <f t="shared" si="3"/>
        <v>VZA-L1.25m-A1.25m-FAC-1PA</v>
      </c>
      <c r="X106" s="3" t="str">
        <f t="shared" si="4"/>
        <v>VZA-L1.25m-A1.25m-FAC-1PA-105</v>
      </c>
      <c r="Y106" s="3" t="str">
        <f t="shared" si="5"/>
        <v>Veneziana 1.25m 1.25m de fachada 6 painel. Localização: bloco A</v>
      </c>
    </row>
    <row r="107" spans="1:25" ht="8.25" customHeight="1" x14ac:dyDescent="0.25">
      <c r="A107" s="13">
        <v>106</v>
      </c>
      <c r="B107" s="3" t="s">
        <v>30</v>
      </c>
      <c r="C107" s="12" t="s">
        <v>65</v>
      </c>
      <c r="D107" s="3" t="s">
        <v>30</v>
      </c>
      <c r="E107" s="12" t="s">
        <v>248</v>
      </c>
      <c r="F107" s="2" t="s">
        <v>139</v>
      </c>
      <c r="G107" s="12" t="s">
        <v>249</v>
      </c>
      <c r="H107" s="2" t="s">
        <v>2</v>
      </c>
      <c r="I107" s="12" t="s">
        <v>0</v>
      </c>
      <c r="J107" s="2" t="s">
        <v>139</v>
      </c>
      <c r="K107" s="12" t="s">
        <v>505</v>
      </c>
      <c r="L107" s="2" t="s">
        <v>2</v>
      </c>
      <c r="M107" s="12" t="s">
        <v>120</v>
      </c>
      <c r="N107" s="14" t="s">
        <v>213</v>
      </c>
      <c r="O107" s="12" t="s">
        <v>261</v>
      </c>
      <c r="P107" s="14" t="s">
        <v>255</v>
      </c>
      <c r="Q107" s="12" t="s">
        <v>2</v>
      </c>
      <c r="R107" s="14" t="s">
        <v>2</v>
      </c>
      <c r="S107" s="12" t="s">
        <v>2</v>
      </c>
      <c r="T107" s="14" t="s">
        <v>2</v>
      </c>
      <c r="U107" s="12" t="s">
        <v>314</v>
      </c>
      <c r="V107" s="4" t="s">
        <v>0</v>
      </c>
      <c r="W107" s="3" t="str">
        <f t="shared" si="3"/>
        <v>VZA-L1.25m-A1.25m-POC-1PA</v>
      </c>
      <c r="X107" s="3" t="str">
        <f t="shared" si="4"/>
        <v>VZA-L1.25m-A1.25m-POC-1PA-106</v>
      </c>
      <c r="Y107" s="3" t="str">
        <f t="shared" si="5"/>
        <v>Veneziana 1.25m 1.25m de poço ventilação 1 painel. Localização: bloco A</v>
      </c>
    </row>
    <row r="108" spans="1:25" ht="8.25" customHeight="1" x14ac:dyDescent="0.25">
      <c r="A108" s="13">
        <v>107</v>
      </c>
      <c r="B108" s="3" t="s">
        <v>30</v>
      </c>
      <c r="C108" s="12" t="s">
        <v>65</v>
      </c>
      <c r="D108" s="3" t="s">
        <v>30</v>
      </c>
      <c r="E108" s="12" t="s">
        <v>248</v>
      </c>
      <c r="F108" s="2" t="s">
        <v>139</v>
      </c>
      <c r="G108" s="12" t="s">
        <v>249</v>
      </c>
      <c r="H108" s="2" t="s">
        <v>2</v>
      </c>
      <c r="I108" s="12" t="s">
        <v>0</v>
      </c>
      <c r="J108" s="2" t="s">
        <v>139</v>
      </c>
      <c r="K108" s="12" t="s">
        <v>505</v>
      </c>
      <c r="L108" s="2" t="s">
        <v>2</v>
      </c>
      <c r="M108" s="12" t="s">
        <v>43</v>
      </c>
      <c r="N108" s="14" t="s">
        <v>461</v>
      </c>
      <c r="O108" s="12" t="s">
        <v>261</v>
      </c>
      <c r="P108" s="14" t="s">
        <v>255</v>
      </c>
      <c r="Q108" s="12" t="s">
        <v>2</v>
      </c>
      <c r="R108" s="14" t="s">
        <v>2</v>
      </c>
      <c r="S108" s="12" t="s">
        <v>2</v>
      </c>
      <c r="T108" s="14" t="s">
        <v>2</v>
      </c>
      <c r="U108" s="12" t="s">
        <v>314</v>
      </c>
      <c r="V108" s="4" t="s">
        <v>0</v>
      </c>
      <c r="W108" s="3" t="str">
        <f t="shared" si="3"/>
        <v>VZA-L1.25m-A1.25m-ACA-1PA</v>
      </c>
      <c r="X108" s="3" t="str">
        <f t="shared" si="4"/>
        <v>VZA-L1.25m-A1.25m-ACA-1PA-107</v>
      </c>
      <c r="Y108" s="3" t="str">
        <f t="shared" si="5"/>
        <v>Veneziana 1.25m 1.25m de antecâmara escada 1 painel. Localização: bloco A</v>
      </c>
    </row>
    <row r="109" spans="1:25" ht="8.25" customHeight="1" x14ac:dyDescent="0.25">
      <c r="A109" s="13">
        <v>108</v>
      </c>
      <c r="B109" s="3" t="s">
        <v>30</v>
      </c>
      <c r="C109" s="12" t="s">
        <v>65</v>
      </c>
      <c r="D109" s="3" t="s">
        <v>30</v>
      </c>
      <c r="E109" s="12" t="s">
        <v>248</v>
      </c>
      <c r="F109" s="2" t="s">
        <v>139</v>
      </c>
      <c r="G109" s="12" t="s">
        <v>249</v>
      </c>
      <c r="H109" s="2" t="s">
        <v>2</v>
      </c>
      <c r="I109" s="12" t="s">
        <v>0</v>
      </c>
      <c r="J109" s="2" t="s">
        <v>139</v>
      </c>
      <c r="K109" s="12" t="s">
        <v>505</v>
      </c>
      <c r="L109" s="2" t="s">
        <v>2</v>
      </c>
      <c r="M109" s="12" t="s">
        <v>43</v>
      </c>
      <c r="N109" s="14" t="s">
        <v>460</v>
      </c>
      <c r="O109" s="12" t="s">
        <v>261</v>
      </c>
      <c r="P109" s="14" t="s">
        <v>255</v>
      </c>
      <c r="Q109" s="12" t="s">
        <v>2</v>
      </c>
      <c r="R109" s="14" t="s">
        <v>2</v>
      </c>
      <c r="S109" s="12" t="s">
        <v>2</v>
      </c>
      <c r="T109" s="14" t="s">
        <v>2</v>
      </c>
      <c r="U109" s="12" t="s">
        <v>314</v>
      </c>
      <c r="V109" s="4" t="s">
        <v>0</v>
      </c>
      <c r="W109" s="3" t="str">
        <f t="shared" si="3"/>
        <v>VZA-L1.25m-A1.25m-ACA-1PA</v>
      </c>
      <c r="X109" s="3" t="str">
        <f t="shared" si="4"/>
        <v>VZA-L1.25m-A1.25m-ACA-1PA-108</v>
      </c>
      <c r="Y109" s="3" t="str">
        <f t="shared" si="5"/>
        <v>Veneziana 1.25m 1.25m de antecâmara 1 painel. Localização: bloco A</v>
      </c>
    </row>
    <row r="110" spans="1:25" ht="8.25" customHeight="1" x14ac:dyDescent="0.25">
      <c r="A110" s="13">
        <v>109</v>
      </c>
      <c r="B110" s="3" t="s">
        <v>30</v>
      </c>
      <c r="C110" s="12" t="s">
        <v>65</v>
      </c>
      <c r="D110" s="3" t="s">
        <v>30</v>
      </c>
      <c r="E110" s="12" t="s">
        <v>248</v>
      </c>
      <c r="F110" s="2" t="s">
        <v>139</v>
      </c>
      <c r="G110" s="12" t="s">
        <v>249</v>
      </c>
      <c r="H110" s="2" t="s">
        <v>2</v>
      </c>
      <c r="I110" s="12" t="s">
        <v>0</v>
      </c>
      <c r="J110" s="2" t="s">
        <v>139</v>
      </c>
      <c r="K110" s="12" t="s">
        <v>505</v>
      </c>
      <c r="L110" s="2" t="s">
        <v>2</v>
      </c>
      <c r="M110" s="12" t="s">
        <v>43</v>
      </c>
      <c r="N110" s="14" t="s">
        <v>460</v>
      </c>
      <c r="O110" s="12" t="s">
        <v>261</v>
      </c>
      <c r="P110" s="14" t="s">
        <v>255</v>
      </c>
      <c r="Q110" s="12" t="s">
        <v>2</v>
      </c>
      <c r="R110" s="14" t="s">
        <v>2</v>
      </c>
      <c r="S110" s="12" t="s">
        <v>2</v>
      </c>
      <c r="T110" s="14" t="s">
        <v>2</v>
      </c>
      <c r="U110" s="12" t="s">
        <v>314</v>
      </c>
      <c r="V110" s="4" t="s">
        <v>0</v>
      </c>
      <c r="W110" s="3" t="str">
        <f t="shared" si="3"/>
        <v>VZA-L1.25m-A1.25m-ACA-1PA</v>
      </c>
      <c r="X110" s="3" t="str">
        <f t="shared" si="4"/>
        <v>VZA-L1.25m-A1.25m-ACA-1PA-109</v>
      </c>
      <c r="Y110" s="3" t="str">
        <f t="shared" si="5"/>
        <v>Veneziana 1.25m 1.25m de antecâmara 1 painel. Localização: bloco A</v>
      </c>
    </row>
    <row r="111" spans="1:25" ht="8.25" customHeight="1" x14ac:dyDescent="0.25">
      <c r="A111" s="13">
        <v>110</v>
      </c>
      <c r="B111" s="3" t="s">
        <v>30</v>
      </c>
      <c r="C111" s="12" t="s">
        <v>65</v>
      </c>
      <c r="D111" s="3" t="s">
        <v>30</v>
      </c>
      <c r="E111" s="12" t="s">
        <v>248</v>
      </c>
      <c r="F111" s="2" t="s">
        <v>139</v>
      </c>
      <c r="G111" s="12" t="s">
        <v>249</v>
      </c>
      <c r="H111" s="2" t="s">
        <v>2</v>
      </c>
      <c r="I111" s="12" t="s">
        <v>0</v>
      </c>
      <c r="J111" s="2" t="s">
        <v>139</v>
      </c>
      <c r="K111" s="12" t="s">
        <v>505</v>
      </c>
      <c r="L111" s="2" t="s">
        <v>2</v>
      </c>
      <c r="M111" s="12" t="s">
        <v>43</v>
      </c>
      <c r="N111" s="14" t="s">
        <v>460</v>
      </c>
      <c r="O111" s="12" t="s">
        <v>261</v>
      </c>
      <c r="P111" s="14" t="s">
        <v>255</v>
      </c>
      <c r="Q111" s="12" t="s">
        <v>2</v>
      </c>
      <c r="R111" s="14" t="s">
        <v>2</v>
      </c>
      <c r="S111" s="12" t="s">
        <v>2</v>
      </c>
      <c r="T111" s="14" t="s">
        <v>2</v>
      </c>
      <c r="U111" s="12" t="s">
        <v>314</v>
      </c>
      <c r="V111" s="4" t="s">
        <v>0</v>
      </c>
      <c r="W111" s="3" t="str">
        <f t="shared" si="3"/>
        <v>VZA-L1.25m-A1.25m-ACA-1PA</v>
      </c>
      <c r="X111" s="3" t="str">
        <f t="shared" si="4"/>
        <v>VZA-L1.25m-A1.25m-ACA-1PA-110</v>
      </c>
      <c r="Y111" s="3" t="str">
        <f t="shared" si="5"/>
        <v>Veneziana 1.25m 1.25m de antecâmara 1 painel. Localização: bloco A</v>
      </c>
    </row>
    <row r="112" spans="1:25" ht="8.25" customHeight="1" x14ac:dyDescent="0.25">
      <c r="A112" s="13">
        <v>111</v>
      </c>
      <c r="B112" s="3" t="s">
        <v>30</v>
      </c>
      <c r="C112" s="12" t="s">
        <v>65</v>
      </c>
      <c r="D112" s="3" t="s">
        <v>30</v>
      </c>
      <c r="E112" s="12" t="s">
        <v>248</v>
      </c>
      <c r="F112" s="2" t="s">
        <v>139</v>
      </c>
      <c r="G112" s="12" t="s">
        <v>249</v>
      </c>
      <c r="H112" s="2" t="s">
        <v>2</v>
      </c>
      <c r="I112" s="12" t="s">
        <v>0</v>
      </c>
      <c r="J112" s="2" t="s">
        <v>139</v>
      </c>
      <c r="K112" s="12" t="s">
        <v>505</v>
      </c>
      <c r="L112" s="2" t="s">
        <v>2</v>
      </c>
      <c r="M112" s="12" t="s">
        <v>43</v>
      </c>
      <c r="N112" s="14" t="s">
        <v>460</v>
      </c>
      <c r="O112" s="12" t="s">
        <v>261</v>
      </c>
      <c r="P112" s="14" t="s">
        <v>255</v>
      </c>
      <c r="Q112" s="12" t="s">
        <v>2</v>
      </c>
      <c r="R112" s="14" t="s">
        <v>2</v>
      </c>
      <c r="S112" s="12" t="s">
        <v>2</v>
      </c>
      <c r="T112" s="14" t="s">
        <v>2</v>
      </c>
      <c r="U112" s="12" t="s">
        <v>314</v>
      </c>
      <c r="V112" s="4" t="s">
        <v>0</v>
      </c>
      <c r="W112" s="3" t="str">
        <f t="shared" si="3"/>
        <v>VZA-L1.25m-A1.25m-ACA-1PA</v>
      </c>
      <c r="X112" s="3" t="str">
        <f t="shared" si="4"/>
        <v>VZA-L1.25m-A1.25m-ACA-1PA-111</v>
      </c>
      <c r="Y112" s="3" t="str">
        <f t="shared" si="5"/>
        <v>Veneziana 1.25m 1.25m de antecâmara 1 painel. Localização: bloco A</v>
      </c>
    </row>
    <row r="113" spans="1:25" ht="8.25" customHeight="1" x14ac:dyDescent="0.25">
      <c r="A113" s="13">
        <v>112</v>
      </c>
      <c r="B113" s="3" t="s">
        <v>51</v>
      </c>
      <c r="C113" s="12" t="s">
        <v>52</v>
      </c>
      <c r="D113" s="3" t="s">
        <v>51</v>
      </c>
      <c r="E113" s="12" t="s">
        <v>248</v>
      </c>
      <c r="F113" s="2" t="s">
        <v>2</v>
      </c>
      <c r="G113" s="12" t="s">
        <v>249</v>
      </c>
      <c r="H113" s="2" t="s">
        <v>2</v>
      </c>
      <c r="I113" s="12" t="s">
        <v>0</v>
      </c>
      <c r="J113" s="2" t="s">
        <v>2</v>
      </c>
      <c r="K113" s="12" t="s">
        <v>505</v>
      </c>
      <c r="L113" s="2" t="s">
        <v>2</v>
      </c>
      <c r="M113" s="12" t="s">
        <v>64</v>
      </c>
      <c r="N113" s="14" t="s">
        <v>148</v>
      </c>
      <c r="O113" s="12" t="s">
        <v>54</v>
      </c>
      <c r="P113" s="14" t="s">
        <v>112</v>
      </c>
      <c r="Q113" s="12" t="s">
        <v>75</v>
      </c>
      <c r="R113" s="14" t="s">
        <v>185</v>
      </c>
      <c r="S113" s="12" t="s">
        <v>67</v>
      </c>
      <c r="T113" s="14" t="s">
        <v>71</v>
      </c>
      <c r="U113" s="12" t="s">
        <v>314</v>
      </c>
      <c r="V113" s="4" t="s">
        <v>0</v>
      </c>
      <c r="W113" s="3" t="str">
        <f t="shared" si="3"/>
        <v>LUM-EXT-PAR-EME-ARA</v>
      </c>
      <c r="X113" s="3" t="str">
        <f t="shared" si="4"/>
        <v>LUM-EXT-PAR-EME-ARA-112</v>
      </c>
      <c r="Y113" s="3" t="str">
        <f t="shared" si="5"/>
        <v>Luminária exterior de parede de emergência arandela. Localização: bloco A</v>
      </c>
    </row>
    <row r="114" spans="1:25" ht="8.25" customHeight="1" x14ac:dyDescent="0.25">
      <c r="A114" s="13">
        <v>113</v>
      </c>
      <c r="B114" s="3" t="s">
        <v>51</v>
      </c>
      <c r="C114" s="12" t="s">
        <v>52</v>
      </c>
      <c r="D114" s="3" t="s">
        <v>51</v>
      </c>
      <c r="E114" s="12" t="s">
        <v>248</v>
      </c>
      <c r="F114" s="2" t="s">
        <v>2</v>
      </c>
      <c r="G114" s="12" t="s">
        <v>249</v>
      </c>
      <c r="H114" s="2" t="s">
        <v>2</v>
      </c>
      <c r="I114" s="12" t="s">
        <v>0</v>
      </c>
      <c r="J114" s="2" t="s">
        <v>2</v>
      </c>
      <c r="K114" s="12" t="s">
        <v>505</v>
      </c>
      <c r="L114" s="2" t="s">
        <v>2</v>
      </c>
      <c r="M114" s="12" t="s">
        <v>64</v>
      </c>
      <c r="N114" s="14" t="s">
        <v>148</v>
      </c>
      <c r="O114" s="12" t="s">
        <v>90</v>
      </c>
      <c r="P114" s="14" t="s">
        <v>117</v>
      </c>
      <c r="Q114" s="12" t="s">
        <v>224</v>
      </c>
      <c r="R114" s="14" t="s">
        <v>186</v>
      </c>
      <c r="S114" s="12" t="s">
        <v>21</v>
      </c>
      <c r="T114" s="14" t="s">
        <v>69</v>
      </c>
      <c r="U114" s="12" t="s">
        <v>314</v>
      </c>
      <c r="V114" s="4" t="s">
        <v>0</v>
      </c>
      <c r="W114" s="3" t="str">
        <f t="shared" si="3"/>
        <v>LUM-EXT-PIS-IGE-EMB</v>
      </c>
      <c r="X114" s="3" t="str">
        <f t="shared" si="4"/>
        <v>LUM-EXT-PIS-IGE-EMB-113</v>
      </c>
      <c r="Y114" s="3" t="str">
        <f t="shared" si="5"/>
        <v>Luminária exterior de piso de iluminação geral embutida. Localização: bloco A</v>
      </c>
    </row>
    <row r="115" spans="1:25" ht="8.25" customHeight="1" x14ac:dyDescent="0.25">
      <c r="A115" s="13">
        <v>114</v>
      </c>
      <c r="B115" s="3" t="s">
        <v>51</v>
      </c>
      <c r="C115" s="12" t="s">
        <v>52</v>
      </c>
      <c r="D115" s="3" t="s">
        <v>51</v>
      </c>
      <c r="E115" s="12" t="s">
        <v>248</v>
      </c>
      <c r="F115" s="2" t="s">
        <v>2</v>
      </c>
      <c r="G115" s="12" t="s">
        <v>249</v>
      </c>
      <c r="H115" s="2" t="s">
        <v>2</v>
      </c>
      <c r="I115" s="12" t="s">
        <v>0</v>
      </c>
      <c r="J115" s="2" t="s">
        <v>2</v>
      </c>
      <c r="K115" s="12" t="s">
        <v>505</v>
      </c>
      <c r="L115" s="2" t="s">
        <v>2</v>
      </c>
      <c r="M115" s="12" t="s">
        <v>64</v>
      </c>
      <c r="N115" s="14" t="s">
        <v>148</v>
      </c>
      <c r="O115" s="12" t="s">
        <v>54</v>
      </c>
      <c r="P115" s="14" t="s">
        <v>112</v>
      </c>
      <c r="Q115" s="12" t="s">
        <v>307</v>
      </c>
      <c r="R115" s="14" t="s">
        <v>80</v>
      </c>
      <c r="S115" s="12" t="s">
        <v>68</v>
      </c>
      <c r="T115" s="14" t="s">
        <v>72</v>
      </c>
      <c r="U115" s="12" t="s">
        <v>314</v>
      </c>
      <c r="V115" s="4" t="s">
        <v>0</v>
      </c>
      <c r="W115" s="3" t="str">
        <f t="shared" si="3"/>
        <v>LUM-EXT-PAR-TRB-MEN</v>
      </c>
      <c r="X115" s="3" t="str">
        <f t="shared" si="4"/>
        <v>LUM-EXT-PAR-TRB-MEN-114</v>
      </c>
      <c r="Y115" s="3" t="str">
        <f t="shared" si="5"/>
        <v>Luminária exterior de parede de posto de trabalho mensula. Localização: bloco A</v>
      </c>
    </row>
    <row r="116" spans="1:25" ht="8.25" customHeight="1" x14ac:dyDescent="0.25">
      <c r="A116" s="13">
        <v>115</v>
      </c>
      <c r="B116" s="3" t="s">
        <v>51</v>
      </c>
      <c r="C116" s="12" t="s">
        <v>52</v>
      </c>
      <c r="D116" s="3" t="s">
        <v>51</v>
      </c>
      <c r="E116" s="12" t="s">
        <v>248</v>
      </c>
      <c r="F116" s="2" t="s">
        <v>2</v>
      </c>
      <c r="G116" s="12" t="s">
        <v>249</v>
      </c>
      <c r="H116" s="2" t="s">
        <v>2</v>
      </c>
      <c r="I116" s="12" t="s">
        <v>0</v>
      </c>
      <c r="J116" s="2" t="s">
        <v>2</v>
      </c>
      <c r="K116" s="12" t="s">
        <v>505</v>
      </c>
      <c r="L116" s="2" t="s">
        <v>2</v>
      </c>
      <c r="M116" s="12" t="s">
        <v>45</v>
      </c>
      <c r="N116" s="14" t="s">
        <v>147</v>
      </c>
      <c r="O116" s="12" t="s">
        <v>90</v>
      </c>
      <c r="P116" s="14" t="s">
        <v>117</v>
      </c>
      <c r="Q116" s="12" t="s">
        <v>78</v>
      </c>
      <c r="R116" s="14" t="s">
        <v>79</v>
      </c>
      <c r="S116" s="12" t="s">
        <v>63</v>
      </c>
      <c r="T116" s="14" t="s">
        <v>73</v>
      </c>
      <c r="U116" s="12" t="s">
        <v>314</v>
      </c>
      <c r="V116" s="4" t="s">
        <v>0</v>
      </c>
      <c r="W116" s="3" t="str">
        <f t="shared" si="3"/>
        <v>LUM-INT-PIS-SEG-PFL</v>
      </c>
      <c r="X116" s="3" t="str">
        <f t="shared" si="4"/>
        <v>LUM-INT-PIS-SEG-PFL-115</v>
      </c>
      <c r="Y116" s="3" t="str">
        <f t="shared" si="5"/>
        <v>Luminária interior de piso de segurança para sobrepor. Localização: bloco A</v>
      </c>
    </row>
    <row r="117" spans="1:25" ht="8.25" customHeight="1" x14ac:dyDescent="0.25">
      <c r="A117" s="13">
        <v>116</v>
      </c>
      <c r="B117" s="3" t="s">
        <v>51</v>
      </c>
      <c r="C117" s="12" t="s">
        <v>52</v>
      </c>
      <c r="D117" s="3" t="s">
        <v>51</v>
      </c>
      <c r="E117" s="12" t="s">
        <v>248</v>
      </c>
      <c r="F117" s="2" t="s">
        <v>2</v>
      </c>
      <c r="G117" s="12" t="s">
        <v>249</v>
      </c>
      <c r="H117" s="2" t="s">
        <v>2</v>
      </c>
      <c r="I117" s="12" t="s">
        <v>0</v>
      </c>
      <c r="J117" s="2" t="s">
        <v>2</v>
      </c>
      <c r="K117" s="12" t="s">
        <v>505</v>
      </c>
      <c r="L117" s="2" t="s">
        <v>2</v>
      </c>
      <c r="M117" s="12" t="s">
        <v>45</v>
      </c>
      <c r="N117" s="14" t="s">
        <v>147</v>
      </c>
      <c r="O117" s="12" t="s">
        <v>54</v>
      </c>
      <c r="P117" s="14" t="s">
        <v>112</v>
      </c>
      <c r="Q117" s="12" t="s">
        <v>89</v>
      </c>
      <c r="R117" s="14" t="s">
        <v>81</v>
      </c>
      <c r="S117" s="12" t="s">
        <v>67</v>
      </c>
      <c r="T117" s="14" t="s">
        <v>71</v>
      </c>
      <c r="U117" s="12" t="s">
        <v>314</v>
      </c>
      <c r="V117" s="4" t="s">
        <v>0</v>
      </c>
      <c r="W117" s="3" t="str">
        <f t="shared" si="3"/>
        <v>LUM-INT-PAR-PED-ARA</v>
      </c>
      <c r="X117" s="3" t="str">
        <f t="shared" si="4"/>
        <v>LUM-INT-PAR-PED-ARA-116</v>
      </c>
      <c r="Y117" s="3" t="str">
        <f t="shared" si="5"/>
        <v>Luminária interior de parede de tráfego pedestre arandela. Localização: bloco A</v>
      </c>
    </row>
    <row r="118" spans="1:25" ht="8.25" customHeight="1" x14ac:dyDescent="0.25">
      <c r="A118" s="13">
        <v>117</v>
      </c>
      <c r="B118" s="3" t="s">
        <v>51</v>
      </c>
      <c r="C118" s="12" t="s">
        <v>52</v>
      </c>
      <c r="D118" s="3" t="s">
        <v>51</v>
      </c>
      <c r="E118" s="12" t="s">
        <v>248</v>
      </c>
      <c r="F118" s="2" t="s">
        <v>2</v>
      </c>
      <c r="G118" s="12" t="s">
        <v>249</v>
      </c>
      <c r="H118" s="2" t="s">
        <v>2</v>
      </c>
      <c r="I118" s="12" t="s">
        <v>0</v>
      </c>
      <c r="J118" s="2" t="s">
        <v>2</v>
      </c>
      <c r="K118" s="12" t="s">
        <v>505</v>
      </c>
      <c r="L118" s="2" t="s">
        <v>2</v>
      </c>
      <c r="M118" s="12" t="s">
        <v>45</v>
      </c>
      <c r="N118" s="14" t="s">
        <v>147</v>
      </c>
      <c r="O118" s="12" t="s">
        <v>53</v>
      </c>
      <c r="P118" s="14" t="s">
        <v>113</v>
      </c>
      <c r="Q118" s="12" t="s">
        <v>77</v>
      </c>
      <c r="R118" s="14" t="s">
        <v>76</v>
      </c>
      <c r="S118" s="12" t="s">
        <v>56</v>
      </c>
      <c r="T118" s="14" t="s">
        <v>55</v>
      </c>
      <c r="U118" s="12" t="s">
        <v>314</v>
      </c>
      <c r="V118" s="4" t="s">
        <v>0</v>
      </c>
      <c r="W118" s="3" t="str">
        <f t="shared" si="3"/>
        <v>LUM-INT-TET-DEC-PEN</v>
      </c>
      <c r="X118" s="3" t="str">
        <f t="shared" si="4"/>
        <v>LUM-INT-TET-DEC-PEN-117</v>
      </c>
      <c r="Y118" s="3" t="str">
        <f t="shared" si="5"/>
        <v>Luminária interior de teto decorativa pendente. Localização: bloco A</v>
      </c>
    </row>
    <row r="119" spans="1:25" ht="8.25" customHeight="1" x14ac:dyDescent="0.25">
      <c r="A119" s="13">
        <v>118</v>
      </c>
      <c r="B119" s="3" t="s">
        <v>51</v>
      </c>
      <c r="C119" s="12" t="s">
        <v>52</v>
      </c>
      <c r="D119" s="3" t="s">
        <v>51</v>
      </c>
      <c r="E119" s="12" t="s">
        <v>248</v>
      </c>
      <c r="F119" s="2" t="s">
        <v>2</v>
      </c>
      <c r="G119" s="12" t="s">
        <v>249</v>
      </c>
      <c r="H119" s="2" t="s">
        <v>2</v>
      </c>
      <c r="I119" s="12" t="s">
        <v>0</v>
      </c>
      <c r="J119" s="2" t="s">
        <v>2</v>
      </c>
      <c r="K119" s="12" t="s">
        <v>505</v>
      </c>
      <c r="L119" s="2" t="s">
        <v>2</v>
      </c>
      <c r="M119" s="12" t="s">
        <v>45</v>
      </c>
      <c r="N119" s="14" t="s">
        <v>147</v>
      </c>
      <c r="O119" s="12" t="s">
        <v>53</v>
      </c>
      <c r="P119" s="14" t="s">
        <v>113</v>
      </c>
      <c r="Q119" s="12" t="s">
        <v>77</v>
      </c>
      <c r="R119" s="14" t="s">
        <v>76</v>
      </c>
      <c r="S119" s="12" t="s">
        <v>63</v>
      </c>
      <c r="T119" s="14" t="s">
        <v>70</v>
      </c>
      <c r="U119" s="12" t="s">
        <v>314</v>
      </c>
      <c r="V119" s="4" t="s">
        <v>0</v>
      </c>
      <c r="W119" s="3" t="str">
        <f t="shared" si="3"/>
        <v>LUM-INT-TET-DEC-PFL</v>
      </c>
      <c r="X119" s="3" t="str">
        <f t="shared" si="4"/>
        <v>LUM-INT-TET-DEC-PFL-118</v>
      </c>
      <c r="Y119" s="3" t="str">
        <f t="shared" si="5"/>
        <v>Luminária interior de teto decorativa tipo plafon. Localização: bloco A</v>
      </c>
    </row>
    <row r="120" spans="1:25" ht="8.25" customHeight="1" x14ac:dyDescent="0.25">
      <c r="A120" s="13">
        <v>119</v>
      </c>
      <c r="B120" s="3" t="s">
        <v>51</v>
      </c>
      <c r="C120" s="12" t="s">
        <v>52</v>
      </c>
      <c r="D120" s="3" t="s">
        <v>51</v>
      </c>
      <c r="E120" s="12" t="s">
        <v>248</v>
      </c>
      <c r="F120" s="2" t="s">
        <v>2</v>
      </c>
      <c r="G120" s="12" t="s">
        <v>249</v>
      </c>
      <c r="H120" s="2" t="s">
        <v>2</v>
      </c>
      <c r="I120" s="12" t="s">
        <v>0</v>
      </c>
      <c r="J120" s="2" t="s">
        <v>2</v>
      </c>
      <c r="K120" s="12" t="s">
        <v>505</v>
      </c>
      <c r="L120" s="2" t="s">
        <v>2</v>
      </c>
      <c r="M120" s="12" t="s">
        <v>45</v>
      </c>
      <c r="N120" s="14" t="s">
        <v>147</v>
      </c>
      <c r="O120" s="12" t="s">
        <v>53</v>
      </c>
      <c r="P120" s="14" t="s">
        <v>113</v>
      </c>
      <c r="Q120" s="12" t="s">
        <v>224</v>
      </c>
      <c r="R120" s="14" t="s">
        <v>186</v>
      </c>
      <c r="S120" s="12" t="s">
        <v>63</v>
      </c>
      <c r="T120" s="14" t="s">
        <v>70</v>
      </c>
      <c r="U120" s="12" t="s">
        <v>314</v>
      </c>
      <c r="V120" s="4" t="s">
        <v>0</v>
      </c>
      <c r="W120" s="3" t="str">
        <f t="shared" si="3"/>
        <v>LUM-INT-TET-IGE-PFL</v>
      </c>
      <c r="X120" s="3" t="str">
        <f t="shared" si="4"/>
        <v>LUM-INT-TET-IGE-PFL-119</v>
      </c>
      <c r="Y120" s="3" t="str">
        <f t="shared" si="5"/>
        <v>Luminária interior de teto de iluminação geral tipo plafon. Localização: bloco A</v>
      </c>
    </row>
    <row r="121" spans="1:25" ht="8.25" customHeight="1" x14ac:dyDescent="0.25">
      <c r="A121" s="13">
        <v>120</v>
      </c>
      <c r="B121" s="3" t="s">
        <v>51</v>
      </c>
      <c r="C121" s="12" t="s">
        <v>52</v>
      </c>
      <c r="D121" s="3" t="s">
        <v>51</v>
      </c>
      <c r="E121" s="12" t="s">
        <v>248</v>
      </c>
      <c r="F121" s="2" t="s">
        <v>2</v>
      </c>
      <c r="G121" s="12" t="s">
        <v>249</v>
      </c>
      <c r="H121" s="2" t="s">
        <v>2</v>
      </c>
      <c r="I121" s="12" t="s">
        <v>0</v>
      </c>
      <c r="J121" s="2" t="s">
        <v>2</v>
      </c>
      <c r="K121" s="12" t="s">
        <v>505</v>
      </c>
      <c r="L121" s="2" t="s">
        <v>2</v>
      </c>
      <c r="M121" s="12" t="s">
        <v>45</v>
      </c>
      <c r="N121" s="14" t="s">
        <v>147</v>
      </c>
      <c r="O121" s="12" t="s">
        <v>53</v>
      </c>
      <c r="P121" s="14" t="s">
        <v>113</v>
      </c>
      <c r="Q121" s="12" t="s">
        <v>225</v>
      </c>
      <c r="R121" s="14" t="s">
        <v>223</v>
      </c>
      <c r="S121" s="12" t="s">
        <v>63</v>
      </c>
      <c r="T121" s="14" t="s">
        <v>70</v>
      </c>
      <c r="U121" s="12" t="s">
        <v>314</v>
      </c>
      <c r="V121" s="4" t="s">
        <v>0</v>
      </c>
      <c r="W121" s="3" t="str">
        <f t="shared" si="3"/>
        <v>LUM-INT-TET-IES-PFL</v>
      </c>
      <c r="X121" s="3" t="str">
        <f t="shared" si="4"/>
        <v>LUM-INT-TET-IES-PFL-120</v>
      </c>
      <c r="Y121" s="3" t="str">
        <f t="shared" si="5"/>
        <v>Luminária interior de teto de iluminação especial tipo plafon. Localização: bloco A</v>
      </c>
    </row>
    <row r="122" spans="1:25" ht="8.25" customHeight="1" x14ac:dyDescent="0.25">
      <c r="A122" s="13">
        <v>121</v>
      </c>
      <c r="B122" s="3" t="s">
        <v>51</v>
      </c>
      <c r="C122" s="12" t="s">
        <v>52</v>
      </c>
      <c r="D122" s="3" t="s">
        <v>51</v>
      </c>
      <c r="E122" s="12" t="s">
        <v>248</v>
      </c>
      <c r="F122" s="2" t="s">
        <v>2</v>
      </c>
      <c r="G122" s="12" t="s">
        <v>249</v>
      </c>
      <c r="H122" s="2" t="s">
        <v>2</v>
      </c>
      <c r="I122" s="12" t="s">
        <v>0</v>
      </c>
      <c r="J122" s="2" t="s">
        <v>2</v>
      </c>
      <c r="K122" s="12" t="s">
        <v>505</v>
      </c>
      <c r="L122" s="2" t="s">
        <v>2</v>
      </c>
      <c r="M122" s="12" t="s">
        <v>497</v>
      </c>
      <c r="N122" s="14" t="s">
        <v>496</v>
      </c>
      <c r="O122" s="12" t="s">
        <v>227</v>
      </c>
      <c r="P122" s="14" t="s">
        <v>226</v>
      </c>
      <c r="Q122" s="12" t="s">
        <v>225</v>
      </c>
      <c r="R122" s="14" t="s">
        <v>223</v>
      </c>
      <c r="S122" s="12" t="s">
        <v>229</v>
      </c>
      <c r="T122" s="14" t="s">
        <v>228</v>
      </c>
      <c r="U122" s="12" t="s">
        <v>314</v>
      </c>
      <c r="V122" s="4" t="s">
        <v>0</v>
      </c>
      <c r="W122" s="3" t="str">
        <f t="shared" si="3"/>
        <v>LUM-INE-DPE-IES-MOV</v>
      </c>
      <c r="X122" s="3" t="str">
        <f t="shared" si="4"/>
        <v>LUM-INE-DPE-IES-MOV-121</v>
      </c>
      <c r="Y122" s="3" t="str">
        <f t="shared" si="5"/>
        <v>Luminária interior-exterior de pé de iluminação especial móvel. Localização: bloco A</v>
      </c>
    </row>
    <row r="123" spans="1:25" ht="8.25" customHeight="1" x14ac:dyDescent="0.25">
      <c r="A123" s="13">
        <v>122</v>
      </c>
      <c r="B123" s="3" t="s">
        <v>149</v>
      </c>
      <c r="C123" s="12" t="s">
        <v>54</v>
      </c>
      <c r="D123" s="3" t="s">
        <v>149</v>
      </c>
      <c r="E123" s="12" t="s">
        <v>248</v>
      </c>
      <c r="F123" s="2" t="s">
        <v>2</v>
      </c>
      <c r="G123" s="12" t="s">
        <v>249</v>
      </c>
      <c r="H123" s="2" t="s">
        <v>528</v>
      </c>
      <c r="I123" s="12" t="s">
        <v>0</v>
      </c>
      <c r="J123" s="2" t="s">
        <v>2</v>
      </c>
      <c r="K123" s="12" t="s">
        <v>505</v>
      </c>
      <c r="L123" s="2" t="s">
        <v>2</v>
      </c>
      <c r="M123" s="12" t="s">
        <v>45</v>
      </c>
      <c r="N123" s="14" t="s">
        <v>147</v>
      </c>
      <c r="O123" s="12" t="s">
        <v>362</v>
      </c>
      <c r="P123" s="14" t="s">
        <v>366</v>
      </c>
      <c r="Q123" s="12" t="s">
        <v>2</v>
      </c>
      <c r="R123" s="14" t="s">
        <v>2</v>
      </c>
      <c r="S123" s="12" t="s">
        <v>2</v>
      </c>
      <c r="T123" s="14" t="s">
        <v>2</v>
      </c>
      <c r="U123" s="12" t="s">
        <v>314</v>
      </c>
      <c r="V123" s="4" t="s">
        <v>0</v>
      </c>
      <c r="W123" s="3" t="str">
        <f t="shared" si="3"/>
        <v>PAR-P0.10m-INT-CCE</v>
      </c>
      <c r="X123" s="3" t="str">
        <f t="shared" si="4"/>
        <v>PAR-P0.10m-INT-CCE-122</v>
      </c>
      <c r="Y123" s="3" t="str">
        <f t="shared" si="5"/>
        <v>Parede 0.10m interior das circulações centrais. Localização: bloco A</v>
      </c>
    </row>
    <row r="124" spans="1:25" ht="8.25" customHeight="1" x14ac:dyDescent="0.25">
      <c r="A124" s="13">
        <v>123</v>
      </c>
      <c r="B124" s="3" t="s">
        <v>149</v>
      </c>
      <c r="C124" s="12" t="s">
        <v>54</v>
      </c>
      <c r="D124" s="3" t="s">
        <v>149</v>
      </c>
      <c r="E124" s="12" t="s">
        <v>248</v>
      </c>
      <c r="F124" s="2" t="s">
        <v>2</v>
      </c>
      <c r="G124" s="12" t="s">
        <v>249</v>
      </c>
      <c r="H124" s="2" t="s">
        <v>528</v>
      </c>
      <c r="I124" s="12" t="s">
        <v>0</v>
      </c>
      <c r="J124" s="2" t="s">
        <v>2</v>
      </c>
      <c r="K124" s="12" t="s">
        <v>505</v>
      </c>
      <c r="L124" s="2" t="s">
        <v>2</v>
      </c>
      <c r="M124" s="12" t="s">
        <v>45</v>
      </c>
      <c r="N124" s="14" t="s">
        <v>147</v>
      </c>
      <c r="O124" s="12" t="s">
        <v>362</v>
      </c>
      <c r="P124" s="14" t="s">
        <v>366</v>
      </c>
      <c r="Q124" s="12" t="s">
        <v>372</v>
      </c>
      <c r="R124" s="14" t="s">
        <v>371</v>
      </c>
      <c r="S124" s="12" t="s">
        <v>2</v>
      </c>
      <c r="T124" s="14" t="s">
        <v>2</v>
      </c>
      <c r="U124" s="12" t="s">
        <v>314</v>
      </c>
      <c r="V124" s="4" t="s">
        <v>0</v>
      </c>
      <c r="W124" s="3" t="str">
        <f t="shared" si="3"/>
        <v>PAR-P0.10m-INT-CCE-CBO</v>
      </c>
      <c r="X124" s="3" t="str">
        <f t="shared" si="4"/>
        <v>PAR-P0.10m-INT-CCE-CBO-123</v>
      </c>
      <c r="Y124" s="3" t="str">
        <f t="shared" si="5"/>
        <v>Parede 0.10m interior das circulações centrais cobogô. Localização: bloco A</v>
      </c>
    </row>
    <row r="125" spans="1:25" ht="8.25" customHeight="1" x14ac:dyDescent="0.25">
      <c r="A125" s="13">
        <v>124</v>
      </c>
      <c r="B125" s="3" t="s">
        <v>149</v>
      </c>
      <c r="C125" s="12" t="s">
        <v>54</v>
      </c>
      <c r="D125" s="3" t="s">
        <v>149</v>
      </c>
      <c r="E125" s="12" t="s">
        <v>248</v>
      </c>
      <c r="F125" s="2" t="s">
        <v>2</v>
      </c>
      <c r="G125" s="12" t="s">
        <v>249</v>
      </c>
      <c r="H125" s="2" t="s">
        <v>531</v>
      </c>
      <c r="I125" s="12" t="s">
        <v>0</v>
      </c>
      <c r="J125" s="2" t="s">
        <v>2</v>
      </c>
      <c r="K125" s="12" t="s">
        <v>505</v>
      </c>
      <c r="L125" s="2" t="s">
        <v>2</v>
      </c>
      <c r="M125" s="12" t="s">
        <v>253</v>
      </c>
      <c r="N125" s="14" t="s">
        <v>386</v>
      </c>
      <c r="O125" s="12" t="s">
        <v>362</v>
      </c>
      <c r="P125" s="14" t="s">
        <v>366</v>
      </c>
      <c r="Q125" s="12" t="s">
        <v>2</v>
      </c>
      <c r="R125" s="14" t="s">
        <v>2</v>
      </c>
      <c r="S125" s="12" t="s">
        <v>2</v>
      </c>
      <c r="T125" s="14" t="s">
        <v>2</v>
      </c>
      <c r="U125" s="12" t="s">
        <v>314</v>
      </c>
      <c r="V125" s="4" t="s">
        <v>0</v>
      </c>
      <c r="W125" s="3" t="str">
        <f t="shared" si="3"/>
        <v>PAR-P0.15m-NUC-CCE</v>
      </c>
      <c r="X125" s="3" t="str">
        <f t="shared" si="4"/>
        <v>PAR-P0.15m-NUC-CCE-124</v>
      </c>
      <c r="Y125" s="3" t="str">
        <f t="shared" si="5"/>
        <v>Parede 0.15m nuclear das circulações centrais. Localização: bloco A</v>
      </c>
    </row>
    <row r="126" spans="1:25" ht="8.25" customHeight="1" x14ac:dyDescent="0.25">
      <c r="A126" s="13">
        <v>125</v>
      </c>
      <c r="B126" s="3" t="s">
        <v>149</v>
      </c>
      <c r="C126" s="12" t="s">
        <v>54</v>
      </c>
      <c r="D126" s="3" t="s">
        <v>149</v>
      </c>
      <c r="E126" s="12" t="s">
        <v>248</v>
      </c>
      <c r="F126" s="2" t="s">
        <v>2</v>
      </c>
      <c r="G126" s="12" t="s">
        <v>249</v>
      </c>
      <c r="H126" s="2" t="s">
        <v>535</v>
      </c>
      <c r="I126" s="12" t="s">
        <v>0</v>
      </c>
      <c r="J126" s="2" t="s">
        <v>2</v>
      </c>
      <c r="K126" s="12" t="s">
        <v>505</v>
      </c>
      <c r="L126" s="2" t="s">
        <v>2</v>
      </c>
      <c r="M126" s="12" t="s">
        <v>45</v>
      </c>
      <c r="N126" s="14" t="s">
        <v>147</v>
      </c>
      <c r="O126" s="12" t="s">
        <v>362</v>
      </c>
      <c r="P126" s="14" t="s">
        <v>366</v>
      </c>
      <c r="Q126" s="12" t="s">
        <v>2</v>
      </c>
      <c r="R126" s="14" t="s">
        <v>2</v>
      </c>
      <c r="S126" s="12" t="s">
        <v>2</v>
      </c>
      <c r="T126" s="14" t="s">
        <v>2</v>
      </c>
      <c r="U126" s="12" t="s">
        <v>314</v>
      </c>
      <c r="V126" s="4" t="s">
        <v>0</v>
      </c>
      <c r="W126" s="3" t="str">
        <f t="shared" si="3"/>
        <v>PAR-P0.20m-INT-CCE</v>
      </c>
      <c r="X126" s="3" t="str">
        <f t="shared" si="4"/>
        <v>PAR-P0.20m-INT-CCE-125</v>
      </c>
      <c r="Y126" s="3" t="str">
        <f t="shared" si="5"/>
        <v>Parede 0.20m interior das circulações centrais. Localização: bloco A</v>
      </c>
    </row>
    <row r="127" spans="1:25" ht="8.25" customHeight="1" x14ac:dyDescent="0.25">
      <c r="A127" s="13">
        <v>126</v>
      </c>
      <c r="B127" s="3" t="s">
        <v>149</v>
      </c>
      <c r="C127" s="12" t="s">
        <v>54</v>
      </c>
      <c r="D127" s="3" t="s">
        <v>149</v>
      </c>
      <c r="E127" s="12" t="s">
        <v>248</v>
      </c>
      <c r="F127" s="2" t="s">
        <v>2</v>
      </c>
      <c r="G127" s="12" t="s">
        <v>249</v>
      </c>
      <c r="H127" s="2" t="s">
        <v>532</v>
      </c>
      <c r="I127" s="12" t="s">
        <v>0</v>
      </c>
      <c r="J127" s="2" t="s">
        <v>2</v>
      </c>
      <c r="K127" s="12" t="s">
        <v>505</v>
      </c>
      <c r="L127" s="2" t="s">
        <v>2</v>
      </c>
      <c r="M127" s="12" t="s">
        <v>45</v>
      </c>
      <c r="N127" s="14" t="s">
        <v>147</v>
      </c>
      <c r="O127" s="12" t="s">
        <v>362</v>
      </c>
      <c r="P127" s="14" t="s">
        <v>366</v>
      </c>
      <c r="Q127" s="12" t="s">
        <v>2</v>
      </c>
      <c r="R127" s="14" t="s">
        <v>2</v>
      </c>
      <c r="S127" s="12" t="s">
        <v>2</v>
      </c>
      <c r="T127" s="14" t="s">
        <v>2</v>
      </c>
      <c r="U127" s="12" t="s">
        <v>314</v>
      </c>
      <c r="V127" s="4" t="s">
        <v>0</v>
      </c>
      <c r="W127" s="3" t="str">
        <f t="shared" si="3"/>
        <v>PAR-P0.25m-INT-CCE</v>
      </c>
      <c r="X127" s="3" t="str">
        <f t="shared" si="4"/>
        <v>PAR-P0.25m-INT-CCE-126</v>
      </c>
      <c r="Y127" s="3" t="str">
        <f t="shared" si="5"/>
        <v>Parede 0.25m interior das circulações centrais. Localização: bloco A</v>
      </c>
    </row>
    <row r="128" spans="1:25" ht="8.25" customHeight="1" x14ac:dyDescent="0.25">
      <c r="A128" s="13">
        <v>127</v>
      </c>
      <c r="B128" s="3" t="s">
        <v>149</v>
      </c>
      <c r="C128" s="12" t="s">
        <v>54</v>
      </c>
      <c r="D128" s="3" t="s">
        <v>149</v>
      </c>
      <c r="E128" s="12" t="s">
        <v>248</v>
      </c>
      <c r="F128" s="2" t="s">
        <v>2</v>
      </c>
      <c r="G128" s="12" t="s">
        <v>249</v>
      </c>
      <c r="H128" s="2" t="s">
        <v>533</v>
      </c>
      <c r="I128" s="12" t="s">
        <v>0</v>
      </c>
      <c r="J128" s="2" t="s">
        <v>2</v>
      </c>
      <c r="K128" s="12" t="s">
        <v>505</v>
      </c>
      <c r="L128" s="2" t="s">
        <v>2</v>
      </c>
      <c r="M128" s="12" t="s">
        <v>45</v>
      </c>
      <c r="N128" s="14" t="s">
        <v>147</v>
      </c>
      <c r="O128" s="12" t="s">
        <v>362</v>
      </c>
      <c r="P128" s="14" t="s">
        <v>366</v>
      </c>
      <c r="Q128" s="12" t="s">
        <v>2</v>
      </c>
      <c r="R128" s="14" t="s">
        <v>2</v>
      </c>
      <c r="S128" s="12" t="s">
        <v>2</v>
      </c>
      <c r="T128" s="14" t="s">
        <v>2</v>
      </c>
      <c r="U128" s="12" t="s">
        <v>314</v>
      </c>
      <c r="V128" s="4" t="s">
        <v>0</v>
      </c>
      <c r="W128" s="3" t="str">
        <f t="shared" si="3"/>
        <v>PAR-P0.30m-INT-CCE</v>
      </c>
      <c r="X128" s="3" t="str">
        <f t="shared" si="4"/>
        <v>PAR-P0.30m-INT-CCE-127</v>
      </c>
      <c r="Y128" s="3" t="str">
        <f t="shared" si="5"/>
        <v>Parede 0.30m interior das circulações centrais. Localização: bloco A</v>
      </c>
    </row>
    <row r="129" spans="1:25" ht="8.25" customHeight="1" x14ac:dyDescent="0.25">
      <c r="A129" s="13">
        <v>128</v>
      </c>
      <c r="B129" s="3" t="s">
        <v>149</v>
      </c>
      <c r="C129" s="12" t="s">
        <v>54</v>
      </c>
      <c r="D129" s="3" t="s">
        <v>149</v>
      </c>
      <c r="E129" s="12" t="s">
        <v>248</v>
      </c>
      <c r="F129" s="2" t="s">
        <v>2</v>
      </c>
      <c r="G129" s="12" t="s">
        <v>249</v>
      </c>
      <c r="H129" s="2" t="s">
        <v>528</v>
      </c>
      <c r="I129" s="12" t="s">
        <v>0</v>
      </c>
      <c r="J129" s="2" t="s">
        <v>2</v>
      </c>
      <c r="K129" s="12" t="s">
        <v>505</v>
      </c>
      <c r="L129" s="2" t="s">
        <v>2</v>
      </c>
      <c r="M129" s="12" t="s">
        <v>45</v>
      </c>
      <c r="N129" s="14" t="s">
        <v>147</v>
      </c>
      <c r="O129" s="12" t="s">
        <v>361</v>
      </c>
      <c r="P129" s="14" t="s">
        <v>365</v>
      </c>
      <c r="Q129" s="12" t="s">
        <v>2</v>
      </c>
      <c r="R129" s="14" t="s">
        <v>2</v>
      </c>
      <c r="S129" s="12" t="s">
        <v>2</v>
      </c>
      <c r="T129" s="14" t="s">
        <v>2</v>
      </c>
      <c r="U129" s="12" t="s">
        <v>314</v>
      </c>
      <c r="V129" s="4" t="s">
        <v>0</v>
      </c>
      <c r="W129" s="3" t="str">
        <f t="shared" si="3"/>
        <v>PAR-P0.10m-INT-LYO</v>
      </c>
      <c r="X129" s="3" t="str">
        <f t="shared" si="4"/>
        <v>PAR-P0.10m-INT-LYO-128</v>
      </c>
      <c r="Y129" s="3" t="str">
        <f t="shared" si="5"/>
        <v>Parede 0.10m interior layout. Localização: bloco A</v>
      </c>
    </row>
    <row r="130" spans="1:25" ht="8.25" customHeight="1" x14ac:dyDescent="0.25">
      <c r="A130" s="13">
        <v>129</v>
      </c>
      <c r="B130" s="3" t="s">
        <v>149</v>
      </c>
      <c r="C130" s="12" t="s">
        <v>54</v>
      </c>
      <c r="D130" s="3" t="s">
        <v>149</v>
      </c>
      <c r="E130" s="12" t="s">
        <v>248</v>
      </c>
      <c r="F130" s="2" t="s">
        <v>2</v>
      </c>
      <c r="G130" s="12" t="s">
        <v>249</v>
      </c>
      <c r="H130" s="2" t="s">
        <v>531</v>
      </c>
      <c r="I130" s="12" t="s">
        <v>0</v>
      </c>
      <c r="J130" s="2" t="s">
        <v>2</v>
      </c>
      <c r="K130" s="12" t="s">
        <v>505</v>
      </c>
      <c r="L130" s="2" t="s">
        <v>2</v>
      </c>
      <c r="M130" s="12" t="s">
        <v>45</v>
      </c>
      <c r="N130" s="14" t="s">
        <v>147</v>
      </c>
      <c r="O130" s="12" t="s">
        <v>361</v>
      </c>
      <c r="P130" s="14" t="s">
        <v>365</v>
      </c>
      <c r="Q130" s="12" t="s">
        <v>2</v>
      </c>
      <c r="R130" s="14" t="s">
        <v>2</v>
      </c>
      <c r="S130" s="12" t="s">
        <v>2</v>
      </c>
      <c r="T130" s="14" t="s">
        <v>2</v>
      </c>
      <c r="U130" s="12" t="s">
        <v>314</v>
      </c>
      <c r="V130" s="4" t="s">
        <v>0</v>
      </c>
      <c r="W130" s="3" t="str">
        <f t="shared" ref="W130:W193" si="6">_xlfn.CONCAT(C130,IF(F130=".","",_xlfn.CONCAT("-",E130,F130)),IF(H130=".","",_xlfn.CONCAT("-",G130,H130)),IF(J130=".","",_xlfn.CONCAT("-",I130,J130)),IF(L130=".","",_xlfn.CONCAT("-",K130,L130)), IF(M130=".","",_xlfn.CONCAT("-",M130)),IF(O130=".","",_xlfn.CONCAT("-",O130)), IF(Q130=".","",_xlfn.CONCAT("-",Q130)), IF(S130=".","",_xlfn.CONCAT("-",S130)))</f>
        <v>PAR-P0.15m-INT-LYO</v>
      </c>
      <c r="X130" s="3" t="str">
        <f t="shared" ref="X130:X193" si="7">_xlfn.CONCAT(W130,"-",A130)</f>
        <v>PAR-P0.15m-INT-LYO-129</v>
      </c>
      <c r="Y130" s="3" t="str">
        <f t="shared" si="5"/>
        <v>Parede 0.15m interior layout. Localização: bloco A</v>
      </c>
    </row>
    <row r="131" spans="1:25" ht="8.25" customHeight="1" x14ac:dyDescent="0.25">
      <c r="A131" s="13">
        <v>130</v>
      </c>
      <c r="B131" s="3" t="s">
        <v>149</v>
      </c>
      <c r="C131" s="12" t="s">
        <v>54</v>
      </c>
      <c r="D131" s="3" t="s">
        <v>149</v>
      </c>
      <c r="E131" s="12" t="s">
        <v>248</v>
      </c>
      <c r="F131" s="2" t="s">
        <v>2</v>
      </c>
      <c r="G131" s="12" t="s">
        <v>249</v>
      </c>
      <c r="H131" s="2" t="s">
        <v>531</v>
      </c>
      <c r="I131" s="12" t="s">
        <v>0</v>
      </c>
      <c r="J131" s="2" t="s">
        <v>2</v>
      </c>
      <c r="K131" s="12" t="s">
        <v>505</v>
      </c>
      <c r="L131" s="2" t="s">
        <v>2</v>
      </c>
      <c r="M131" s="12" t="s">
        <v>45</v>
      </c>
      <c r="N131" s="14" t="s">
        <v>147</v>
      </c>
      <c r="O131" s="12" t="s">
        <v>361</v>
      </c>
      <c r="P131" s="14" t="s">
        <v>365</v>
      </c>
      <c r="Q131" s="12" t="s">
        <v>2</v>
      </c>
      <c r="R131" s="14" t="s">
        <v>2</v>
      </c>
      <c r="S131" s="12" t="s">
        <v>245</v>
      </c>
      <c r="T131" s="14" t="s">
        <v>466</v>
      </c>
      <c r="U131" s="12" t="s">
        <v>314</v>
      </c>
      <c r="V131" s="4" t="s">
        <v>0</v>
      </c>
      <c r="W131" s="3" t="str">
        <f t="shared" si="6"/>
        <v>PAR-P0.15m-INT-LYO-AUD</v>
      </c>
      <c r="X131" s="3" t="str">
        <f t="shared" si="7"/>
        <v>PAR-P0.15m-INT-LYO-AUD-130</v>
      </c>
      <c r="Y131" s="3" t="str">
        <f t="shared" ref="Y131:Y194" si="8">SUBSTITUTE(SUBSTITUTE(_xlfn.CONCAT(D131," .",F131," .",H131," .",J131," .",N131," .",P131," .",R131," .",T131,". .Localização: bloco"," .",V131)," ."," ")," .","")</f>
        <v>Parede 0.15m interior layout em auditório. Localização: bloco A</v>
      </c>
    </row>
    <row r="132" spans="1:25" ht="8.25" customHeight="1" x14ac:dyDescent="0.25">
      <c r="A132" s="13">
        <v>131</v>
      </c>
      <c r="B132" s="3" t="s">
        <v>149</v>
      </c>
      <c r="C132" s="12" t="s">
        <v>54</v>
      </c>
      <c r="D132" s="3" t="s">
        <v>149</v>
      </c>
      <c r="E132" s="12" t="s">
        <v>248</v>
      </c>
      <c r="F132" s="2" t="s">
        <v>2</v>
      </c>
      <c r="G132" s="12" t="s">
        <v>249</v>
      </c>
      <c r="H132" s="2" t="s">
        <v>535</v>
      </c>
      <c r="I132" s="12" t="s">
        <v>0</v>
      </c>
      <c r="J132" s="2" t="s">
        <v>2</v>
      </c>
      <c r="K132" s="12" t="s">
        <v>505</v>
      </c>
      <c r="L132" s="2" t="s">
        <v>2</v>
      </c>
      <c r="M132" s="12" t="s">
        <v>45</v>
      </c>
      <c r="N132" s="14" t="s">
        <v>147</v>
      </c>
      <c r="O132" s="12" t="s">
        <v>361</v>
      </c>
      <c r="P132" s="14" t="s">
        <v>365</v>
      </c>
      <c r="Q132" s="12" t="s">
        <v>2</v>
      </c>
      <c r="R132" s="14" t="s">
        <v>2</v>
      </c>
      <c r="S132" s="12" t="s">
        <v>2</v>
      </c>
      <c r="T132" s="14" t="s">
        <v>2</v>
      </c>
      <c r="U132" s="12" t="s">
        <v>314</v>
      </c>
      <c r="V132" s="4" t="s">
        <v>0</v>
      </c>
      <c r="W132" s="3" t="str">
        <f t="shared" si="6"/>
        <v>PAR-P0.20m-INT-LYO</v>
      </c>
      <c r="X132" s="3" t="str">
        <f t="shared" si="7"/>
        <v>PAR-P0.20m-INT-LYO-131</v>
      </c>
      <c r="Y132" s="3" t="str">
        <f t="shared" si="8"/>
        <v>Parede 0.20m interior layout. Localização: bloco A</v>
      </c>
    </row>
    <row r="133" spans="1:25" ht="8.25" customHeight="1" x14ac:dyDescent="0.25">
      <c r="A133" s="13">
        <v>132</v>
      </c>
      <c r="B133" s="3" t="s">
        <v>149</v>
      </c>
      <c r="C133" s="12" t="s">
        <v>54</v>
      </c>
      <c r="D133" s="3" t="s">
        <v>149</v>
      </c>
      <c r="E133" s="12" t="s">
        <v>248</v>
      </c>
      <c r="F133" s="2" t="s">
        <v>2</v>
      </c>
      <c r="G133" s="12" t="s">
        <v>249</v>
      </c>
      <c r="H133" s="2" t="s">
        <v>535</v>
      </c>
      <c r="I133" s="12" t="s">
        <v>0</v>
      </c>
      <c r="J133" s="2" t="s">
        <v>2</v>
      </c>
      <c r="K133" s="12" t="s">
        <v>505</v>
      </c>
      <c r="L133" s="2" t="s">
        <v>2</v>
      </c>
      <c r="M133" s="12" t="s">
        <v>45</v>
      </c>
      <c r="N133" s="14" t="s">
        <v>147</v>
      </c>
      <c r="O133" s="12" t="s">
        <v>361</v>
      </c>
      <c r="P133" s="14" t="s">
        <v>365</v>
      </c>
      <c r="Q133" s="12" t="s">
        <v>2</v>
      </c>
      <c r="R133" s="14" t="s">
        <v>2</v>
      </c>
      <c r="S133" s="12" t="s">
        <v>376</v>
      </c>
      <c r="T133" s="14" t="s">
        <v>377</v>
      </c>
      <c r="U133" s="12" t="s">
        <v>314</v>
      </c>
      <c r="V133" s="4" t="s">
        <v>0</v>
      </c>
      <c r="W133" s="3" t="str">
        <f t="shared" si="6"/>
        <v>PAR-P0.20m-INT-LYO-SSO</v>
      </c>
      <c r="X133" s="3" t="str">
        <f t="shared" si="7"/>
        <v>PAR-P0.20m-INT-LYO-SSO-132</v>
      </c>
      <c r="Y133" s="3" t="str">
        <f t="shared" si="8"/>
        <v>Parede 0.20m interior layout em subsolos. Localização: bloco A</v>
      </c>
    </row>
    <row r="134" spans="1:25" ht="8.25" customHeight="1" x14ac:dyDescent="0.25">
      <c r="A134" s="13">
        <v>133</v>
      </c>
      <c r="B134" s="3" t="s">
        <v>149</v>
      </c>
      <c r="C134" s="12" t="s">
        <v>54</v>
      </c>
      <c r="D134" s="3" t="s">
        <v>149</v>
      </c>
      <c r="E134" s="12" t="s">
        <v>248</v>
      </c>
      <c r="F134" s="2" t="s">
        <v>2</v>
      </c>
      <c r="G134" s="12" t="s">
        <v>249</v>
      </c>
      <c r="H134" s="2" t="s">
        <v>532</v>
      </c>
      <c r="I134" s="12" t="s">
        <v>0</v>
      </c>
      <c r="J134" s="2" t="s">
        <v>2</v>
      </c>
      <c r="K134" s="12" t="s">
        <v>505</v>
      </c>
      <c r="L134" s="2" t="s">
        <v>2</v>
      </c>
      <c r="M134" s="12" t="s">
        <v>45</v>
      </c>
      <c r="N134" s="14" t="s">
        <v>147</v>
      </c>
      <c r="O134" s="12" t="s">
        <v>361</v>
      </c>
      <c r="P134" s="14" t="s">
        <v>365</v>
      </c>
      <c r="Q134" s="12" t="s">
        <v>339</v>
      </c>
      <c r="R134" s="14" t="s">
        <v>338</v>
      </c>
      <c r="S134" s="12" t="s">
        <v>324</v>
      </c>
      <c r="T134" s="14" t="s">
        <v>385</v>
      </c>
      <c r="U134" s="12" t="s">
        <v>314</v>
      </c>
      <c r="V134" s="4" t="s">
        <v>0</v>
      </c>
      <c r="W134" s="3" t="str">
        <f t="shared" si="6"/>
        <v>PAR-P0.25m-INT-LYO-DUP-JDI</v>
      </c>
      <c r="X134" s="3" t="str">
        <f t="shared" si="7"/>
        <v>PAR-P0.25m-INT-LYO-DUP-JDI-133</v>
      </c>
      <c r="Y134" s="3" t="str">
        <f t="shared" si="8"/>
        <v>Parede 0.25m interior layout dupla em junta de dilatação. Localização: bloco A</v>
      </c>
    </row>
    <row r="135" spans="1:25" ht="8.25" customHeight="1" x14ac:dyDescent="0.25">
      <c r="A135" s="13">
        <v>134</v>
      </c>
      <c r="B135" s="3" t="s">
        <v>149</v>
      </c>
      <c r="C135" s="12" t="s">
        <v>54</v>
      </c>
      <c r="D135" s="3" t="s">
        <v>149</v>
      </c>
      <c r="E135" s="12" t="s">
        <v>248</v>
      </c>
      <c r="F135" s="2" t="s">
        <v>2</v>
      </c>
      <c r="G135" s="12" t="s">
        <v>249</v>
      </c>
      <c r="H135" s="2" t="s">
        <v>528</v>
      </c>
      <c r="I135" s="12" t="s">
        <v>0</v>
      </c>
      <c r="J135" s="2" t="s">
        <v>2</v>
      </c>
      <c r="K135" s="12" t="s">
        <v>505</v>
      </c>
      <c r="L135" s="2" t="s">
        <v>2</v>
      </c>
      <c r="M135" s="12" t="s">
        <v>25</v>
      </c>
      <c r="N135" s="14" t="s">
        <v>106</v>
      </c>
      <c r="O135" s="12" t="s">
        <v>2</v>
      </c>
      <c r="P135" s="14" t="s">
        <v>2</v>
      </c>
      <c r="Q135" s="12" t="s">
        <v>2</v>
      </c>
      <c r="R135" s="14" t="s">
        <v>2</v>
      </c>
      <c r="S135" s="12" t="s">
        <v>2</v>
      </c>
      <c r="T135" s="14" t="s">
        <v>2</v>
      </c>
      <c r="U135" s="12" t="s">
        <v>314</v>
      </c>
      <c r="V135" s="4" t="s">
        <v>0</v>
      </c>
      <c r="W135" s="3" t="str">
        <f t="shared" si="6"/>
        <v>PAR-P0.10m-SAN</v>
      </c>
      <c r="X135" s="3" t="str">
        <f t="shared" si="7"/>
        <v>PAR-P0.10m-SAN-134</v>
      </c>
      <c r="Y135" s="3" t="str">
        <f t="shared" si="8"/>
        <v>Parede 0.10m de sanitário. Localização: bloco A</v>
      </c>
    </row>
    <row r="136" spans="1:25" ht="8.25" customHeight="1" x14ac:dyDescent="0.25">
      <c r="A136" s="13">
        <v>135</v>
      </c>
      <c r="B136" s="3" t="s">
        <v>149</v>
      </c>
      <c r="C136" s="12" t="s">
        <v>54</v>
      </c>
      <c r="D136" s="3" t="s">
        <v>149</v>
      </c>
      <c r="E136" s="12" t="s">
        <v>248</v>
      </c>
      <c r="F136" s="2" t="s">
        <v>2</v>
      </c>
      <c r="G136" s="12" t="s">
        <v>249</v>
      </c>
      <c r="H136" s="2" t="s">
        <v>531</v>
      </c>
      <c r="I136" s="12" t="s">
        <v>0</v>
      </c>
      <c r="J136" s="2" t="s">
        <v>2</v>
      </c>
      <c r="K136" s="12" t="s">
        <v>505</v>
      </c>
      <c r="L136" s="2" t="s">
        <v>2</v>
      </c>
      <c r="M136" s="12" t="s">
        <v>253</v>
      </c>
      <c r="N136" s="14" t="s">
        <v>386</v>
      </c>
      <c r="O136" s="12" t="s">
        <v>116</v>
      </c>
      <c r="P136" s="14" t="s">
        <v>364</v>
      </c>
      <c r="Q136" s="12" t="s">
        <v>2</v>
      </c>
      <c r="R136" s="14" t="s">
        <v>2</v>
      </c>
      <c r="S136" s="12" t="s">
        <v>2</v>
      </c>
      <c r="T136" s="14" t="s">
        <v>2</v>
      </c>
      <c r="U136" s="12" t="s">
        <v>314</v>
      </c>
      <c r="V136" s="4" t="s">
        <v>0</v>
      </c>
      <c r="W136" s="3" t="str">
        <f t="shared" si="6"/>
        <v>PAR-P0.15m-NUC-ELV</v>
      </c>
      <c r="X136" s="3" t="str">
        <f t="shared" si="7"/>
        <v>PAR-P0.15m-NUC-ELV-135</v>
      </c>
      <c r="Y136" s="3" t="str">
        <f t="shared" si="8"/>
        <v>Parede 0.15m nuclear elevadores. Localização: bloco A</v>
      </c>
    </row>
    <row r="137" spans="1:25" ht="8.25" customHeight="1" x14ac:dyDescent="0.25">
      <c r="A137" s="13">
        <v>136</v>
      </c>
      <c r="B137" s="3" t="s">
        <v>149</v>
      </c>
      <c r="C137" s="12" t="s">
        <v>54</v>
      </c>
      <c r="D137" s="3" t="s">
        <v>149</v>
      </c>
      <c r="E137" s="12" t="s">
        <v>248</v>
      </c>
      <c r="F137" s="2" t="s">
        <v>2</v>
      </c>
      <c r="G137" s="12" t="s">
        <v>249</v>
      </c>
      <c r="H137" s="2" t="s">
        <v>535</v>
      </c>
      <c r="I137" s="12" t="s">
        <v>0</v>
      </c>
      <c r="J137" s="2" t="s">
        <v>2</v>
      </c>
      <c r="K137" s="12" t="s">
        <v>505</v>
      </c>
      <c r="L137" s="2" t="s">
        <v>2</v>
      </c>
      <c r="M137" s="12" t="s">
        <v>253</v>
      </c>
      <c r="N137" s="14" t="s">
        <v>386</v>
      </c>
      <c r="O137" s="12" t="s">
        <v>315</v>
      </c>
      <c r="P137" s="14" t="s">
        <v>363</v>
      </c>
      <c r="Q137" s="12" t="s">
        <v>2</v>
      </c>
      <c r="R137" s="14" t="s">
        <v>2</v>
      </c>
      <c r="S137" s="12" t="s">
        <v>2</v>
      </c>
      <c r="T137" s="14" t="s">
        <v>2</v>
      </c>
      <c r="U137" s="12" t="s">
        <v>314</v>
      </c>
      <c r="V137" s="4" t="s">
        <v>0</v>
      </c>
      <c r="W137" s="3" t="str">
        <f t="shared" si="6"/>
        <v>PAR-P0.20m-NUC-ESC</v>
      </c>
      <c r="X137" s="3" t="str">
        <f t="shared" si="7"/>
        <v>PAR-P0.20m-NUC-ESC-136</v>
      </c>
      <c r="Y137" s="3" t="str">
        <f t="shared" si="8"/>
        <v>Parede 0.20m nuclear escadas. Localização: bloco A</v>
      </c>
    </row>
    <row r="138" spans="1:25" ht="8.25" customHeight="1" x14ac:dyDescent="0.25">
      <c r="A138" s="13">
        <v>137</v>
      </c>
      <c r="B138" s="3" t="s">
        <v>149</v>
      </c>
      <c r="C138" s="12" t="s">
        <v>54</v>
      </c>
      <c r="D138" s="3" t="s">
        <v>149</v>
      </c>
      <c r="E138" s="12" t="s">
        <v>248</v>
      </c>
      <c r="F138" s="2" t="s">
        <v>2</v>
      </c>
      <c r="G138" s="12" t="s">
        <v>249</v>
      </c>
      <c r="H138" s="2" t="s">
        <v>535</v>
      </c>
      <c r="I138" s="12" t="s">
        <v>0</v>
      </c>
      <c r="J138" s="2" t="s">
        <v>2</v>
      </c>
      <c r="K138" s="12" t="s">
        <v>505</v>
      </c>
      <c r="L138" s="2" t="s">
        <v>2</v>
      </c>
      <c r="M138" s="12" t="s">
        <v>266</v>
      </c>
      <c r="N138" s="14" t="s">
        <v>252</v>
      </c>
      <c r="O138" s="12" t="s">
        <v>64</v>
      </c>
      <c r="P138" s="14" t="s">
        <v>373</v>
      </c>
      <c r="Q138" s="12" t="s">
        <v>375</v>
      </c>
      <c r="R138" s="14" t="s">
        <v>374</v>
      </c>
      <c r="S138" s="12" t="s">
        <v>2</v>
      </c>
      <c r="T138" s="14" t="s">
        <v>2</v>
      </c>
      <c r="U138" s="12" t="s">
        <v>314</v>
      </c>
      <c r="V138" s="4" t="s">
        <v>0</v>
      </c>
      <c r="W138" s="3" t="str">
        <f t="shared" si="6"/>
        <v>PAR-P0.20m-DSA-EXT-ALA</v>
      </c>
      <c r="X138" s="3" t="str">
        <f t="shared" si="7"/>
        <v>PAR-P0.20m-DSA-EXT-ALA-137</v>
      </c>
      <c r="Y138" s="3" t="str">
        <f t="shared" si="8"/>
        <v>Parede 0.20m de divisa externa alambrado. Localização: bloco A</v>
      </c>
    </row>
    <row r="139" spans="1:25" ht="8.25" customHeight="1" x14ac:dyDescent="0.25">
      <c r="A139" s="13">
        <v>138</v>
      </c>
      <c r="B139" s="3" t="s">
        <v>149</v>
      </c>
      <c r="C139" s="12" t="s">
        <v>54</v>
      </c>
      <c r="D139" s="3" t="s">
        <v>149</v>
      </c>
      <c r="E139" s="12" t="s">
        <v>248</v>
      </c>
      <c r="F139" s="2" t="s">
        <v>2</v>
      </c>
      <c r="G139" s="12" t="s">
        <v>249</v>
      </c>
      <c r="H139" s="2" t="s">
        <v>535</v>
      </c>
      <c r="I139" s="12" t="s">
        <v>0</v>
      </c>
      <c r="J139" s="2" t="s">
        <v>2</v>
      </c>
      <c r="K139" s="12" t="s">
        <v>505</v>
      </c>
      <c r="L139" s="2" t="s">
        <v>2</v>
      </c>
      <c r="M139" s="12" t="s">
        <v>266</v>
      </c>
      <c r="N139" s="14" t="s">
        <v>252</v>
      </c>
      <c r="O139" s="12" t="s">
        <v>64</v>
      </c>
      <c r="P139" s="14" t="s">
        <v>373</v>
      </c>
      <c r="Q139" s="12" t="s">
        <v>369</v>
      </c>
      <c r="R139" s="14" t="s">
        <v>368</v>
      </c>
      <c r="S139" s="12" t="s">
        <v>2</v>
      </c>
      <c r="T139" s="14" t="s">
        <v>2</v>
      </c>
      <c r="U139" s="12" t="s">
        <v>314</v>
      </c>
      <c r="V139" s="4" t="s">
        <v>0</v>
      </c>
      <c r="W139" s="3" t="str">
        <f t="shared" si="6"/>
        <v>PAR-P0.20m-DSA-EXT-BXA</v>
      </c>
      <c r="X139" s="3" t="str">
        <f t="shared" si="7"/>
        <v>PAR-P0.20m-DSA-EXT-BXA-138</v>
      </c>
      <c r="Y139" s="3" t="str">
        <f t="shared" si="8"/>
        <v>Parede 0.20m de divisa externa baixa. Localização: bloco A</v>
      </c>
    </row>
    <row r="140" spans="1:25" ht="8.25" customHeight="1" x14ac:dyDescent="0.25">
      <c r="A140" s="13">
        <v>139</v>
      </c>
      <c r="B140" s="3" t="s">
        <v>149</v>
      </c>
      <c r="C140" s="12" t="s">
        <v>54</v>
      </c>
      <c r="D140" s="3" t="s">
        <v>149</v>
      </c>
      <c r="E140" s="12" t="s">
        <v>248</v>
      </c>
      <c r="F140" s="2" t="s">
        <v>2</v>
      </c>
      <c r="G140" s="12" t="s">
        <v>249</v>
      </c>
      <c r="H140" s="2" t="s">
        <v>535</v>
      </c>
      <c r="I140" s="12" t="s">
        <v>0</v>
      </c>
      <c r="J140" s="2" t="s">
        <v>2</v>
      </c>
      <c r="K140" s="12" t="s">
        <v>505</v>
      </c>
      <c r="L140" s="2" t="s">
        <v>2</v>
      </c>
      <c r="M140" s="12" t="s">
        <v>266</v>
      </c>
      <c r="N140" s="14" t="s">
        <v>252</v>
      </c>
      <c r="O140" s="12" t="s">
        <v>189</v>
      </c>
      <c r="P140" s="14" t="s">
        <v>187</v>
      </c>
      <c r="Q140" s="12" t="s">
        <v>2</v>
      </c>
      <c r="R140" s="14" t="s">
        <v>2</v>
      </c>
      <c r="S140" s="12" t="s">
        <v>2</v>
      </c>
      <c r="T140" s="14" t="s">
        <v>2</v>
      </c>
      <c r="U140" s="12" t="s">
        <v>314</v>
      </c>
      <c r="V140" s="4" t="s">
        <v>0</v>
      </c>
      <c r="W140" s="3" t="str">
        <f t="shared" si="6"/>
        <v>PAR-P0.20m-DSA-LAT</v>
      </c>
      <c r="X140" s="3" t="str">
        <f t="shared" si="7"/>
        <v>PAR-P0.20m-DSA-LAT-139</v>
      </c>
      <c r="Y140" s="3" t="str">
        <f t="shared" si="8"/>
        <v>Parede 0.20m de divisa lateral. Localização: bloco A</v>
      </c>
    </row>
    <row r="141" spans="1:25" ht="8.25" customHeight="1" x14ac:dyDescent="0.25">
      <c r="A141" s="13">
        <v>140</v>
      </c>
      <c r="B141" s="3" t="s">
        <v>149</v>
      </c>
      <c r="C141" s="12" t="s">
        <v>54</v>
      </c>
      <c r="D141" s="3" t="s">
        <v>149</v>
      </c>
      <c r="E141" s="12" t="s">
        <v>248</v>
      </c>
      <c r="F141" s="2" t="s">
        <v>2</v>
      </c>
      <c r="G141" s="12" t="s">
        <v>249</v>
      </c>
      <c r="H141" s="2" t="s">
        <v>528</v>
      </c>
      <c r="I141" s="12" t="s">
        <v>0</v>
      </c>
      <c r="J141" s="2" t="s">
        <v>2</v>
      </c>
      <c r="K141" s="12" t="s">
        <v>505</v>
      </c>
      <c r="L141" s="2" t="s">
        <v>2</v>
      </c>
      <c r="M141" s="12" t="s">
        <v>38</v>
      </c>
      <c r="N141" s="14" t="s">
        <v>212</v>
      </c>
      <c r="O141" s="12" t="s">
        <v>2</v>
      </c>
      <c r="P141" s="14" t="s">
        <v>2</v>
      </c>
      <c r="Q141" s="12" t="s">
        <v>380</v>
      </c>
      <c r="R141" s="14" t="s">
        <v>379</v>
      </c>
      <c r="S141" s="12" t="s">
        <v>382</v>
      </c>
      <c r="T141" s="14" t="s">
        <v>383</v>
      </c>
      <c r="U141" s="12" t="s">
        <v>314</v>
      </c>
      <c r="V141" s="4" t="s">
        <v>0</v>
      </c>
      <c r="W141" s="3" t="str">
        <f t="shared" si="6"/>
        <v>PAR-P0.10m-FAC-AZU-1FA</v>
      </c>
      <c r="X141" s="3" t="str">
        <f t="shared" si="7"/>
        <v>PAR-P0.10m-FAC-AZU-1FA-140</v>
      </c>
      <c r="Y141" s="3" t="str">
        <f t="shared" si="8"/>
        <v>Parede 0.10m de fachada azulejo em uma face. Localização: bloco A</v>
      </c>
    </row>
    <row r="142" spans="1:25" ht="8.25" customHeight="1" x14ac:dyDescent="0.25">
      <c r="A142" s="13">
        <v>141</v>
      </c>
      <c r="B142" s="3" t="s">
        <v>149</v>
      </c>
      <c r="C142" s="12" t="s">
        <v>54</v>
      </c>
      <c r="D142" s="3" t="s">
        <v>149</v>
      </c>
      <c r="E142" s="12" t="s">
        <v>248</v>
      </c>
      <c r="F142" s="2" t="s">
        <v>2</v>
      </c>
      <c r="G142" s="12" t="s">
        <v>249</v>
      </c>
      <c r="H142" s="2" t="s">
        <v>531</v>
      </c>
      <c r="I142" s="12" t="s">
        <v>0</v>
      </c>
      <c r="J142" s="2" t="s">
        <v>2</v>
      </c>
      <c r="K142" s="12" t="s">
        <v>505</v>
      </c>
      <c r="L142" s="2" t="s">
        <v>2</v>
      </c>
      <c r="M142" s="12" t="s">
        <v>38</v>
      </c>
      <c r="N142" s="14" t="s">
        <v>212</v>
      </c>
      <c r="O142" s="12" t="s">
        <v>2</v>
      </c>
      <c r="P142" s="14" t="s">
        <v>2</v>
      </c>
      <c r="Q142" s="12" t="s">
        <v>380</v>
      </c>
      <c r="R142" s="14" t="s">
        <v>379</v>
      </c>
      <c r="S142" s="12" t="s">
        <v>381</v>
      </c>
      <c r="T142" s="14" t="s">
        <v>384</v>
      </c>
      <c r="U142" s="12" t="s">
        <v>314</v>
      </c>
      <c r="V142" s="4" t="s">
        <v>0</v>
      </c>
      <c r="W142" s="3" t="str">
        <f t="shared" si="6"/>
        <v>PAR-P0.15m-FAC-AZU-2FA</v>
      </c>
      <c r="X142" s="3" t="str">
        <f t="shared" si="7"/>
        <v>PAR-P0.15m-FAC-AZU-2FA-141</v>
      </c>
      <c r="Y142" s="3" t="str">
        <f t="shared" si="8"/>
        <v>Parede 0.15m de fachada azulejo em ambas as faces. Localização: bloco A</v>
      </c>
    </row>
    <row r="143" spans="1:25" ht="8.25" customHeight="1" x14ac:dyDescent="0.25">
      <c r="A143" s="13">
        <v>142</v>
      </c>
      <c r="B143" s="3" t="s">
        <v>149</v>
      </c>
      <c r="C143" s="12" t="s">
        <v>54</v>
      </c>
      <c r="D143" s="3" t="s">
        <v>149</v>
      </c>
      <c r="E143" s="12" t="s">
        <v>248</v>
      </c>
      <c r="F143" s="2" t="s">
        <v>2</v>
      </c>
      <c r="G143" s="12" t="s">
        <v>249</v>
      </c>
      <c r="H143" s="2" t="s">
        <v>535</v>
      </c>
      <c r="I143" s="12" t="s">
        <v>0</v>
      </c>
      <c r="J143" s="2" t="s">
        <v>2</v>
      </c>
      <c r="K143" s="12" t="s">
        <v>505</v>
      </c>
      <c r="L143" s="2" t="s">
        <v>2</v>
      </c>
      <c r="M143" s="12" t="s">
        <v>38</v>
      </c>
      <c r="N143" s="14" t="s">
        <v>212</v>
      </c>
      <c r="O143" s="12" t="s">
        <v>2</v>
      </c>
      <c r="P143" s="14" t="s">
        <v>2</v>
      </c>
      <c r="Q143" s="12" t="s">
        <v>294</v>
      </c>
      <c r="R143" s="14" t="s">
        <v>162</v>
      </c>
      <c r="S143" s="12" t="s">
        <v>2</v>
      </c>
      <c r="T143" s="14" t="s">
        <v>2</v>
      </c>
      <c r="U143" s="12" t="s">
        <v>314</v>
      </c>
      <c r="V143" s="4" t="s">
        <v>0</v>
      </c>
      <c r="W143" s="3" t="str">
        <f t="shared" si="6"/>
        <v>PAR-P0.20m-FAC-ORN</v>
      </c>
      <c r="X143" s="3" t="str">
        <f t="shared" si="7"/>
        <v>PAR-P0.20m-FAC-ORN-142</v>
      </c>
      <c r="Y143" s="3" t="str">
        <f t="shared" si="8"/>
        <v>Parede 0.20m de fachada ornamental. Localização: bloco A</v>
      </c>
    </row>
    <row r="144" spans="1:25" ht="8.25" customHeight="1" x14ac:dyDescent="0.25">
      <c r="A144" s="13">
        <v>143</v>
      </c>
      <c r="B144" s="3" t="s">
        <v>149</v>
      </c>
      <c r="C144" s="12" t="s">
        <v>54</v>
      </c>
      <c r="D144" s="3" t="s">
        <v>149</v>
      </c>
      <c r="E144" s="12" t="s">
        <v>248</v>
      </c>
      <c r="F144" s="2" t="s">
        <v>2</v>
      </c>
      <c r="G144" s="12" t="s">
        <v>249</v>
      </c>
      <c r="H144" s="2" t="s">
        <v>535</v>
      </c>
      <c r="I144" s="12" t="s">
        <v>0</v>
      </c>
      <c r="J144" s="2" t="s">
        <v>2</v>
      </c>
      <c r="K144" s="12" t="s">
        <v>505</v>
      </c>
      <c r="L144" s="2" t="s">
        <v>2</v>
      </c>
      <c r="M144" s="12" t="s">
        <v>38</v>
      </c>
      <c r="N144" s="14" t="s">
        <v>212</v>
      </c>
      <c r="O144" s="12" t="s">
        <v>190</v>
      </c>
      <c r="P144" s="14" t="s">
        <v>188</v>
      </c>
      <c r="Q144" s="12" t="s">
        <v>2</v>
      </c>
      <c r="R144" s="14" t="s">
        <v>2</v>
      </c>
      <c r="S144" s="12" t="s">
        <v>2</v>
      </c>
      <c r="T144" s="14" t="s">
        <v>2</v>
      </c>
      <c r="U144" s="12" t="s">
        <v>314</v>
      </c>
      <c r="V144" s="4" t="s">
        <v>0</v>
      </c>
      <c r="W144" s="3" t="str">
        <f t="shared" si="6"/>
        <v>PAR-P0.20m-FAC-FRO</v>
      </c>
      <c r="X144" s="3" t="str">
        <f t="shared" si="7"/>
        <v>PAR-P0.20m-FAC-FRO-143</v>
      </c>
      <c r="Y144" s="3" t="str">
        <f t="shared" si="8"/>
        <v>Parede 0.20m de fachada frontal. Localização: bloco A</v>
      </c>
    </row>
    <row r="145" spans="1:25" ht="8.25" customHeight="1" x14ac:dyDescent="0.25">
      <c r="A145" s="13">
        <v>144</v>
      </c>
      <c r="B145" s="3" t="s">
        <v>149</v>
      </c>
      <c r="C145" s="12" t="s">
        <v>54</v>
      </c>
      <c r="D145" s="3" t="s">
        <v>149</v>
      </c>
      <c r="E145" s="12" t="s">
        <v>248</v>
      </c>
      <c r="F145" s="2" t="s">
        <v>2</v>
      </c>
      <c r="G145" s="12" t="s">
        <v>249</v>
      </c>
      <c r="H145" s="2" t="s">
        <v>530</v>
      </c>
      <c r="I145" s="12" t="s">
        <v>0</v>
      </c>
      <c r="J145" s="2" t="s">
        <v>2</v>
      </c>
      <c r="K145" s="12" t="s">
        <v>505</v>
      </c>
      <c r="L145" s="2" t="s">
        <v>2</v>
      </c>
      <c r="M145" s="12" t="s">
        <v>253</v>
      </c>
      <c r="N145" s="14" t="s">
        <v>386</v>
      </c>
      <c r="O145" s="12" t="s">
        <v>40</v>
      </c>
      <c r="P145" s="14" t="s">
        <v>378</v>
      </c>
      <c r="Q145" s="12" t="s">
        <v>2</v>
      </c>
      <c r="R145" s="14" t="s">
        <v>2</v>
      </c>
      <c r="S145" s="12" t="s">
        <v>2</v>
      </c>
      <c r="T145" s="14" t="s">
        <v>2</v>
      </c>
      <c r="U145" s="12" t="s">
        <v>314</v>
      </c>
      <c r="V145" s="4" t="s">
        <v>0</v>
      </c>
      <c r="W145" s="3" t="str">
        <f t="shared" si="6"/>
        <v>PAR-P0.50m-NUC-EST</v>
      </c>
      <c r="X145" s="3" t="str">
        <f t="shared" si="7"/>
        <v>PAR-P0.50m-NUC-EST-144</v>
      </c>
      <c r="Y145" s="3" t="str">
        <f t="shared" si="8"/>
        <v>Parede 0.50m nuclear estrutural. Localização: bloco A</v>
      </c>
    </row>
    <row r="146" spans="1:25" ht="8.25" customHeight="1" x14ac:dyDescent="0.25">
      <c r="A146" s="13">
        <v>145</v>
      </c>
      <c r="B146" s="3" t="s">
        <v>149</v>
      </c>
      <c r="C146" s="12" t="s">
        <v>54</v>
      </c>
      <c r="D146" s="3" t="s">
        <v>149</v>
      </c>
      <c r="E146" s="12" t="s">
        <v>248</v>
      </c>
      <c r="F146" s="2" t="s">
        <v>2</v>
      </c>
      <c r="G146" s="12" t="s">
        <v>249</v>
      </c>
      <c r="H146" s="2" t="s">
        <v>542</v>
      </c>
      <c r="I146" s="12" t="s">
        <v>0</v>
      </c>
      <c r="J146" s="2" t="s">
        <v>2</v>
      </c>
      <c r="K146" s="12" t="s">
        <v>505</v>
      </c>
      <c r="L146" s="2" t="s">
        <v>2</v>
      </c>
      <c r="M146" s="12" t="s">
        <v>38</v>
      </c>
      <c r="N146" s="14" t="s">
        <v>212</v>
      </c>
      <c r="O146" s="12" t="s">
        <v>45</v>
      </c>
      <c r="P146" s="14" t="s">
        <v>142</v>
      </c>
      <c r="Q146" s="12" t="s">
        <v>339</v>
      </c>
      <c r="R146" s="14" t="s">
        <v>338</v>
      </c>
      <c r="S146" s="12" t="s">
        <v>2</v>
      </c>
      <c r="T146" s="14" t="s">
        <v>2</v>
      </c>
      <c r="U146" s="12" t="s">
        <v>314</v>
      </c>
      <c r="V146" s="4" t="s">
        <v>0</v>
      </c>
      <c r="W146" s="3" t="str">
        <f t="shared" si="6"/>
        <v>PAR-P0.55m-FAC-INT-DUP</v>
      </c>
      <c r="X146" s="3" t="str">
        <f t="shared" si="7"/>
        <v>PAR-P0.55m-FAC-INT-DUP-145</v>
      </c>
      <c r="Y146" s="3" t="str">
        <f t="shared" si="8"/>
        <v>Parede 0.55m de fachada interna dupla. Localização: bloco A</v>
      </c>
    </row>
    <row r="147" spans="1:25" ht="8.25" customHeight="1" x14ac:dyDescent="0.25">
      <c r="A147" s="13">
        <v>146</v>
      </c>
      <c r="B147" s="3" t="s">
        <v>149</v>
      </c>
      <c r="C147" s="12" t="s">
        <v>54</v>
      </c>
      <c r="D147" s="3" t="s">
        <v>149</v>
      </c>
      <c r="E147" s="12" t="s">
        <v>248</v>
      </c>
      <c r="F147" s="2" t="s">
        <v>2</v>
      </c>
      <c r="G147" s="12" t="s">
        <v>249</v>
      </c>
      <c r="H147" s="2" t="s">
        <v>528</v>
      </c>
      <c r="I147" s="12" t="s">
        <v>0</v>
      </c>
      <c r="J147" s="2" t="s">
        <v>2</v>
      </c>
      <c r="K147" s="12" t="s">
        <v>505</v>
      </c>
      <c r="L147" s="2" t="s">
        <v>2</v>
      </c>
      <c r="M147" s="12" t="s">
        <v>2</v>
      </c>
      <c r="N147" s="14" t="s">
        <v>2</v>
      </c>
      <c r="O147" s="12" t="s">
        <v>40</v>
      </c>
      <c r="P147" s="14" t="s">
        <v>378</v>
      </c>
      <c r="Q147" s="12" t="s">
        <v>2</v>
      </c>
      <c r="R147" s="14" t="s">
        <v>2</v>
      </c>
      <c r="S147" s="12" t="s">
        <v>376</v>
      </c>
      <c r="T147" s="14" t="s">
        <v>377</v>
      </c>
      <c r="U147" s="12" t="s">
        <v>314</v>
      </c>
      <c r="V147" s="4" t="s">
        <v>0</v>
      </c>
      <c r="W147" s="3" t="str">
        <f t="shared" si="6"/>
        <v>PAR-P0.10m-EST-SSO</v>
      </c>
      <c r="X147" s="3" t="str">
        <f t="shared" si="7"/>
        <v>PAR-P0.10m-EST-SSO-146</v>
      </c>
      <c r="Y147" s="3" t="str">
        <f t="shared" si="8"/>
        <v>Parede 0.10m estrutural em subsolos. Localização: bloco A</v>
      </c>
    </row>
    <row r="148" spans="1:25" ht="8.25" customHeight="1" x14ac:dyDescent="0.25">
      <c r="A148" s="13">
        <v>147</v>
      </c>
      <c r="B148" s="3" t="s">
        <v>149</v>
      </c>
      <c r="C148" s="12" t="s">
        <v>54</v>
      </c>
      <c r="D148" s="3" t="s">
        <v>149</v>
      </c>
      <c r="E148" s="12" t="s">
        <v>248</v>
      </c>
      <c r="F148" s="2" t="s">
        <v>2</v>
      </c>
      <c r="G148" s="12" t="s">
        <v>249</v>
      </c>
      <c r="H148" s="2" t="s">
        <v>531</v>
      </c>
      <c r="I148" s="12" t="s">
        <v>0</v>
      </c>
      <c r="J148" s="2" t="s">
        <v>2</v>
      </c>
      <c r="K148" s="12" t="s">
        <v>505</v>
      </c>
      <c r="L148" s="2" t="s">
        <v>2</v>
      </c>
      <c r="M148" s="12" t="s">
        <v>2</v>
      </c>
      <c r="N148" s="14" t="s">
        <v>2</v>
      </c>
      <c r="O148" s="12" t="s">
        <v>40</v>
      </c>
      <c r="P148" s="14" t="s">
        <v>378</v>
      </c>
      <c r="Q148" s="12" t="s">
        <v>2</v>
      </c>
      <c r="R148" s="14" t="s">
        <v>2</v>
      </c>
      <c r="S148" s="12" t="s">
        <v>2</v>
      </c>
      <c r="T148" s="14" t="s">
        <v>2</v>
      </c>
      <c r="U148" s="12" t="s">
        <v>314</v>
      </c>
      <c r="V148" s="4" t="s">
        <v>0</v>
      </c>
      <c r="W148" s="3" t="str">
        <f t="shared" si="6"/>
        <v>PAR-P0.15m-EST</v>
      </c>
      <c r="X148" s="3" t="str">
        <f t="shared" si="7"/>
        <v>PAR-P0.15m-EST-147</v>
      </c>
      <c r="Y148" s="3" t="str">
        <f t="shared" si="8"/>
        <v>Parede 0.15m estrutural. Localização: bloco A</v>
      </c>
    </row>
    <row r="149" spans="1:25" ht="8.25" customHeight="1" x14ac:dyDescent="0.25">
      <c r="A149" s="13">
        <v>148</v>
      </c>
      <c r="B149" s="3" t="s">
        <v>149</v>
      </c>
      <c r="C149" s="12" t="s">
        <v>54</v>
      </c>
      <c r="D149" s="3" t="s">
        <v>149</v>
      </c>
      <c r="E149" s="12" t="s">
        <v>248</v>
      </c>
      <c r="F149" s="2" t="s">
        <v>2</v>
      </c>
      <c r="G149" s="12" t="s">
        <v>249</v>
      </c>
      <c r="H149" s="2" t="s">
        <v>535</v>
      </c>
      <c r="I149" s="12" t="s">
        <v>0</v>
      </c>
      <c r="J149" s="2" t="s">
        <v>2</v>
      </c>
      <c r="K149" s="12" t="s">
        <v>505</v>
      </c>
      <c r="L149" s="2" t="s">
        <v>2</v>
      </c>
      <c r="M149" s="12" t="s">
        <v>370</v>
      </c>
      <c r="N149" s="14" t="s">
        <v>367</v>
      </c>
      <c r="O149" s="12" t="s">
        <v>2</v>
      </c>
      <c r="P149" s="14" t="s">
        <v>2</v>
      </c>
      <c r="Q149" s="12" t="s">
        <v>369</v>
      </c>
      <c r="R149" s="14" t="s">
        <v>368</v>
      </c>
      <c r="S149" s="12" t="s">
        <v>2</v>
      </c>
      <c r="T149" s="14" t="s">
        <v>2</v>
      </c>
      <c r="U149" s="12" t="s">
        <v>314</v>
      </c>
      <c r="V149" s="4" t="s">
        <v>0</v>
      </c>
      <c r="W149" s="3" t="str">
        <f t="shared" si="6"/>
        <v>PAR-P0.20m-JAR-BXA</v>
      </c>
      <c r="X149" s="3" t="str">
        <f t="shared" si="7"/>
        <v>PAR-P0.20m-JAR-BXA-148</v>
      </c>
      <c r="Y149" s="3" t="str">
        <f t="shared" si="8"/>
        <v>Parede 0.20m de jardim baixa. Localização: bloco A</v>
      </c>
    </row>
    <row r="150" spans="1:25" ht="8.25" customHeight="1" x14ac:dyDescent="0.25">
      <c r="A150" s="13">
        <v>149</v>
      </c>
      <c r="B150" s="3" t="s">
        <v>150</v>
      </c>
      <c r="C150" s="12" t="s">
        <v>151</v>
      </c>
      <c r="D150" s="3" t="s">
        <v>150</v>
      </c>
      <c r="E150" s="12" t="s">
        <v>248</v>
      </c>
      <c r="F150" s="2" t="s">
        <v>2</v>
      </c>
      <c r="G150" s="12" t="s">
        <v>249</v>
      </c>
      <c r="H150" s="2" t="s">
        <v>543</v>
      </c>
      <c r="I150" s="12" t="s">
        <v>0</v>
      </c>
      <c r="J150" s="2" t="s">
        <v>2</v>
      </c>
      <c r="K150" s="12" t="s">
        <v>505</v>
      </c>
      <c r="L150" s="2" t="s">
        <v>2</v>
      </c>
      <c r="M150" s="12" t="s">
        <v>50</v>
      </c>
      <c r="N150" s="14" t="s">
        <v>140</v>
      </c>
      <c r="O150" s="12" t="s">
        <v>155</v>
      </c>
      <c r="P150" s="14" t="s">
        <v>154</v>
      </c>
      <c r="Q150" s="12" t="s">
        <v>2</v>
      </c>
      <c r="R150" s="14" t="s">
        <v>2</v>
      </c>
      <c r="S150" s="12" t="s">
        <v>2</v>
      </c>
      <c r="T150" s="14" t="s">
        <v>2</v>
      </c>
      <c r="U150" s="12" t="s">
        <v>314</v>
      </c>
      <c r="V150" s="4" t="s">
        <v>0</v>
      </c>
      <c r="W150" s="3" t="str">
        <f t="shared" si="6"/>
        <v>DIV-P0.035m-GAB-DYW</v>
      </c>
      <c r="X150" s="3" t="str">
        <f t="shared" si="7"/>
        <v>DIV-P0.035m-GAB-DYW-149</v>
      </c>
      <c r="Y150" s="3" t="str">
        <f t="shared" si="8"/>
        <v>Divisória 0.035m de gabinete drywall. Localização: bloco A</v>
      </c>
    </row>
    <row r="151" spans="1:25" ht="8.25" customHeight="1" x14ac:dyDescent="0.25">
      <c r="A151" s="13">
        <v>150</v>
      </c>
      <c r="B151" s="3" t="s">
        <v>150</v>
      </c>
      <c r="C151" s="12" t="s">
        <v>151</v>
      </c>
      <c r="D151" s="3" t="s">
        <v>150</v>
      </c>
      <c r="E151" s="12" t="s">
        <v>248</v>
      </c>
      <c r="F151" s="2" t="s">
        <v>2</v>
      </c>
      <c r="G151" s="12" t="s">
        <v>249</v>
      </c>
      <c r="H151" s="2" t="s">
        <v>543</v>
      </c>
      <c r="I151" s="12" t="s">
        <v>0</v>
      </c>
      <c r="J151" s="2" t="s">
        <v>2</v>
      </c>
      <c r="K151" s="12" t="s">
        <v>505</v>
      </c>
      <c r="L151" s="2" t="s">
        <v>2</v>
      </c>
      <c r="M151" s="12" t="s">
        <v>50</v>
      </c>
      <c r="N151" s="14" t="s">
        <v>140</v>
      </c>
      <c r="O151" s="12" t="s">
        <v>153</v>
      </c>
      <c r="P151" s="14" t="s">
        <v>152</v>
      </c>
      <c r="Q151" s="12" t="s">
        <v>2</v>
      </c>
      <c r="R151" s="14" t="s">
        <v>2</v>
      </c>
      <c r="S151" s="12" t="s">
        <v>2</v>
      </c>
      <c r="T151" s="14" t="s">
        <v>2</v>
      </c>
      <c r="U151" s="12" t="s">
        <v>314</v>
      </c>
      <c r="V151" s="4" t="s">
        <v>0</v>
      </c>
      <c r="W151" s="3" t="str">
        <f t="shared" si="6"/>
        <v>DIV-P0.035m-GAB-NAV</v>
      </c>
      <c r="X151" s="3" t="str">
        <f t="shared" si="7"/>
        <v>DIV-P0.035m-GAB-NAV-150</v>
      </c>
      <c r="Y151" s="3" t="str">
        <f t="shared" si="8"/>
        <v>Divisória 0.035m de gabinete painel naval. Localização: bloco A</v>
      </c>
    </row>
    <row r="152" spans="1:25" ht="8.25" customHeight="1" x14ac:dyDescent="0.25">
      <c r="A152" s="13">
        <v>151</v>
      </c>
      <c r="B152" s="3" t="s">
        <v>150</v>
      </c>
      <c r="C152" s="12" t="s">
        <v>151</v>
      </c>
      <c r="D152" s="3" t="s">
        <v>150</v>
      </c>
      <c r="E152" s="12" t="s">
        <v>248</v>
      </c>
      <c r="F152" s="2" t="s">
        <v>2</v>
      </c>
      <c r="G152" s="12" t="s">
        <v>249</v>
      </c>
      <c r="H152" s="2" t="s">
        <v>544</v>
      </c>
      <c r="I152" s="12" t="s">
        <v>0</v>
      </c>
      <c r="J152" s="2" t="s">
        <v>2</v>
      </c>
      <c r="K152" s="12" t="s">
        <v>505</v>
      </c>
      <c r="L152" s="2" t="s">
        <v>2</v>
      </c>
      <c r="M152" s="12" t="s">
        <v>50</v>
      </c>
      <c r="N152" s="14" t="s">
        <v>140</v>
      </c>
      <c r="O152" s="12" t="s">
        <v>183</v>
      </c>
      <c r="P152" s="14" t="s">
        <v>159</v>
      </c>
      <c r="Q152" s="12" t="s">
        <v>2</v>
      </c>
      <c r="R152" s="14" t="s">
        <v>2</v>
      </c>
      <c r="S152" s="12" t="s">
        <v>2</v>
      </c>
      <c r="T152" s="14" t="s">
        <v>2</v>
      </c>
      <c r="U152" s="12" t="s">
        <v>314</v>
      </c>
      <c r="V152" s="4" t="s">
        <v>0</v>
      </c>
      <c r="W152" s="3" t="str">
        <f t="shared" si="6"/>
        <v>DIV-P0.075m-GAB-PMA</v>
      </c>
      <c r="X152" s="3" t="str">
        <f t="shared" si="7"/>
        <v>DIV-P0.075m-GAB-PMA-151</v>
      </c>
      <c r="Y152" s="3" t="str">
        <f t="shared" si="8"/>
        <v>Divisória 0.075m de gabinete painel madeira. Localização: bloco A</v>
      </c>
    </row>
    <row r="153" spans="1:25" ht="8.25" customHeight="1" x14ac:dyDescent="0.25">
      <c r="A153" s="13">
        <v>152</v>
      </c>
      <c r="B153" s="3" t="s">
        <v>150</v>
      </c>
      <c r="C153" s="12" t="s">
        <v>151</v>
      </c>
      <c r="D153" s="3" t="s">
        <v>150</v>
      </c>
      <c r="E153" s="12" t="s">
        <v>248</v>
      </c>
      <c r="F153" s="2" t="s">
        <v>2</v>
      </c>
      <c r="G153" s="12" t="s">
        <v>249</v>
      </c>
      <c r="H153" s="2" t="s">
        <v>545</v>
      </c>
      <c r="I153" s="12" t="s">
        <v>0</v>
      </c>
      <c r="J153" s="2" t="s">
        <v>2</v>
      </c>
      <c r="K153" s="12" t="s">
        <v>505</v>
      </c>
      <c r="L153" s="2" t="s">
        <v>2</v>
      </c>
      <c r="M153" s="12" t="s">
        <v>6</v>
      </c>
      <c r="N153" s="14" t="s">
        <v>156</v>
      </c>
      <c r="O153" s="12" t="s">
        <v>251</v>
      </c>
      <c r="P153" s="14" t="s">
        <v>250</v>
      </c>
      <c r="Q153" s="12" t="s">
        <v>2</v>
      </c>
      <c r="R153" s="14" t="s">
        <v>2</v>
      </c>
      <c r="S153" s="12" t="s">
        <v>2</v>
      </c>
      <c r="T153" s="14" t="s">
        <v>2</v>
      </c>
      <c r="U153" s="12" t="s">
        <v>314</v>
      </c>
      <c r="V153" s="4" t="s">
        <v>0</v>
      </c>
      <c r="W153" s="3" t="str">
        <f t="shared" si="6"/>
        <v>DIV-P0.095m-MIC-PDR</v>
      </c>
      <c r="X153" s="3" t="str">
        <f t="shared" si="7"/>
        <v>DIV-P0.095m-MIC-PDR-152</v>
      </c>
      <c r="Y153" s="3" t="str">
        <f t="shared" si="8"/>
        <v>Divisória 0.095m de mictório de pedra . Localização: bloco A</v>
      </c>
    </row>
    <row r="154" spans="1:25" ht="8.25" customHeight="1" x14ac:dyDescent="0.25">
      <c r="A154" s="13">
        <v>153</v>
      </c>
      <c r="B154" s="3" t="s">
        <v>150</v>
      </c>
      <c r="C154" s="12" t="s">
        <v>151</v>
      </c>
      <c r="D154" s="3" t="s">
        <v>150</v>
      </c>
      <c r="E154" s="12" t="s">
        <v>248</v>
      </c>
      <c r="F154" s="2" t="s">
        <v>2</v>
      </c>
      <c r="G154" s="12" t="s">
        <v>249</v>
      </c>
      <c r="H154" s="2" t="s">
        <v>546</v>
      </c>
      <c r="I154" s="12" t="s">
        <v>0</v>
      </c>
      <c r="J154" s="2" t="s">
        <v>2</v>
      </c>
      <c r="K154" s="12" t="s">
        <v>505</v>
      </c>
      <c r="L154" s="2" t="s">
        <v>2</v>
      </c>
      <c r="M154" s="12" t="s">
        <v>158</v>
      </c>
      <c r="N154" s="14" t="s">
        <v>157</v>
      </c>
      <c r="O154" s="12" t="s">
        <v>251</v>
      </c>
      <c r="P154" s="14" t="s">
        <v>250</v>
      </c>
      <c r="Q154" s="12" t="s">
        <v>2</v>
      </c>
      <c r="R154" s="14" t="s">
        <v>2</v>
      </c>
      <c r="S154" s="12" t="s">
        <v>2</v>
      </c>
      <c r="T154" s="14" t="s">
        <v>2</v>
      </c>
      <c r="U154" s="12" t="s">
        <v>314</v>
      </c>
      <c r="V154" s="4" t="s">
        <v>0</v>
      </c>
      <c r="W154" s="3" t="str">
        <f t="shared" si="6"/>
        <v>DIV-P0.025m-BOX-PDR</v>
      </c>
      <c r="X154" s="3" t="str">
        <f t="shared" si="7"/>
        <v>DIV-P0.025m-BOX-PDR-153</v>
      </c>
      <c r="Y154" s="3" t="str">
        <f t="shared" si="8"/>
        <v>Divisória 0.025m de box sanitário de pedra . Localização: bloco A</v>
      </c>
    </row>
    <row r="155" spans="1:25" ht="8.25" customHeight="1" x14ac:dyDescent="0.25">
      <c r="A155" s="13">
        <v>154</v>
      </c>
      <c r="B155" s="3" t="s">
        <v>150</v>
      </c>
      <c r="C155" s="12" t="s">
        <v>151</v>
      </c>
      <c r="D155" s="3" t="s">
        <v>150</v>
      </c>
      <c r="E155" s="12" t="s">
        <v>248</v>
      </c>
      <c r="F155" s="2" t="s">
        <v>2</v>
      </c>
      <c r="G155" s="12" t="s">
        <v>249</v>
      </c>
      <c r="H155" s="2" t="s">
        <v>2</v>
      </c>
      <c r="I155" s="12" t="s">
        <v>0</v>
      </c>
      <c r="J155" s="2" t="s">
        <v>2</v>
      </c>
      <c r="K155" s="12" t="s">
        <v>505</v>
      </c>
      <c r="L155" s="2" t="s">
        <v>2</v>
      </c>
      <c r="M155" s="12" t="s">
        <v>2</v>
      </c>
      <c r="N155" s="14" t="s">
        <v>2</v>
      </c>
      <c r="O155" s="12" t="s">
        <v>2</v>
      </c>
      <c r="P155" s="14" t="s">
        <v>2</v>
      </c>
      <c r="Q155" s="12" t="s">
        <v>2</v>
      </c>
      <c r="R155" s="14" t="s">
        <v>2</v>
      </c>
      <c r="S155" s="12" t="s">
        <v>2</v>
      </c>
      <c r="T155" s="14" t="s">
        <v>2</v>
      </c>
      <c r="U155" s="12" t="s">
        <v>314</v>
      </c>
      <c r="V155" s="4" t="s">
        <v>0</v>
      </c>
      <c r="W155" s="3" t="str">
        <f t="shared" si="6"/>
        <v>DIV</v>
      </c>
      <c r="X155" s="3" t="str">
        <f t="shared" si="7"/>
        <v>DIV-154</v>
      </c>
      <c r="Y155" s="3" t="str">
        <f t="shared" si="8"/>
        <v>Divisória. Localização: bloco A</v>
      </c>
    </row>
    <row r="156" spans="1:25" ht="8.25" customHeight="1" x14ac:dyDescent="0.25">
      <c r="A156" s="13">
        <v>155</v>
      </c>
      <c r="B156" s="3" t="s">
        <v>150</v>
      </c>
      <c r="C156" s="12" t="s">
        <v>151</v>
      </c>
      <c r="D156" s="3" t="s">
        <v>150</v>
      </c>
      <c r="E156" s="12" t="s">
        <v>248</v>
      </c>
      <c r="F156" s="2" t="s">
        <v>2</v>
      </c>
      <c r="G156" s="12" t="s">
        <v>249</v>
      </c>
      <c r="H156" s="2" t="s">
        <v>2</v>
      </c>
      <c r="I156" s="12" t="s">
        <v>0</v>
      </c>
      <c r="J156" s="2" t="s">
        <v>2</v>
      </c>
      <c r="K156" s="12" t="s">
        <v>505</v>
      </c>
      <c r="L156" s="2" t="s">
        <v>2</v>
      </c>
      <c r="M156" s="12" t="s">
        <v>2</v>
      </c>
      <c r="N156" s="14" t="s">
        <v>2</v>
      </c>
      <c r="O156" s="12" t="s">
        <v>2</v>
      </c>
      <c r="P156" s="14" t="s">
        <v>2</v>
      </c>
      <c r="Q156" s="12" t="s">
        <v>2</v>
      </c>
      <c r="R156" s="14" t="s">
        <v>2</v>
      </c>
      <c r="S156" s="12" t="s">
        <v>2</v>
      </c>
      <c r="T156" s="14" t="s">
        <v>2</v>
      </c>
      <c r="U156" s="12" t="s">
        <v>314</v>
      </c>
      <c r="V156" s="4" t="s">
        <v>0</v>
      </c>
      <c r="W156" s="3" t="str">
        <f t="shared" si="6"/>
        <v>DIV</v>
      </c>
      <c r="X156" s="3" t="str">
        <f t="shared" si="7"/>
        <v>DIV-155</v>
      </c>
      <c r="Y156" s="3" t="str">
        <f t="shared" si="8"/>
        <v>Divisória. Localização: bloco A</v>
      </c>
    </row>
    <row r="157" spans="1:25" ht="8.25" customHeight="1" x14ac:dyDescent="0.25">
      <c r="A157" s="13">
        <v>156</v>
      </c>
      <c r="B157" s="3" t="s">
        <v>150</v>
      </c>
      <c r="C157" s="12" t="s">
        <v>151</v>
      </c>
      <c r="D157" s="3" t="s">
        <v>150</v>
      </c>
      <c r="E157" s="12" t="s">
        <v>248</v>
      </c>
      <c r="F157" s="2" t="s">
        <v>2</v>
      </c>
      <c r="G157" s="12" t="s">
        <v>249</v>
      </c>
      <c r="H157" s="2" t="s">
        <v>2</v>
      </c>
      <c r="I157" s="12" t="s">
        <v>0</v>
      </c>
      <c r="J157" s="2" t="s">
        <v>2</v>
      </c>
      <c r="K157" s="12" t="s">
        <v>505</v>
      </c>
      <c r="L157" s="2" t="s">
        <v>2</v>
      </c>
      <c r="M157" s="12" t="s">
        <v>2</v>
      </c>
      <c r="N157" s="14" t="s">
        <v>2</v>
      </c>
      <c r="O157" s="12" t="s">
        <v>2</v>
      </c>
      <c r="P157" s="14" t="s">
        <v>2</v>
      </c>
      <c r="Q157" s="12" t="s">
        <v>2</v>
      </c>
      <c r="R157" s="14" t="s">
        <v>2</v>
      </c>
      <c r="S157" s="12" t="s">
        <v>2</v>
      </c>
      <c r="T157" s="14" t="s">
        <v>2</v>
      </c>
      <c r="U157" s="12" t="s">
        <v>314</v>
      </c>
      <c r="V157" s="4" t="s">
        <v>0</v>
      </c>
      <c r="W157" s="3" t="str">
        <f t="shared" si="6"/>
        <v>DIV</v>
      </c>
      <c r="X157" s="3" t="str">
        <f t="shared" si="7"/>
        <v>DIV-156</v>
      </c>
      <c r="Y157" s="3" t="str">
        <f t="shared" si="8"/>
        <v>Divisória. Localização: bloco A</v>
      </c>
    </row>
    <row r="158" spans="1:25" ht="8.25" customHeight="1" x14ac:dyDescent="0.25">
      <c r="A158" s="13">
        <v>157</v>
      </c>
      <c r="B158" s="3" t="s">
        <v>150</v>
      </c>
      <c r="C158" s="12" t="s">
        <v>151</v>
      </c>
      <c r="D158" s="3" t="s">
        <v>150</v>
      </c>
      <c r="E158" s="12" t="s">
        <v>248</v>
      </c>
      <c r="F158" s="2" t="s">
        <v>2</v>
      </c>
      <c r="G158" s="12" t="s">
        <v>249</v>
      </c>
      <c r="H158" s="2" t="s">
        <v>2</v>
      </c>
      <c r="I158" s="12" t="s">
        <v>0</v>
      </c>
      <c r="J158" s="2" t="s">
        <v>2</v>
      </c>
      <c r="K158" s="12" t="s">
        <v>505</v>
      </c>
      <c r="L158" s="2" t="s">
        <v>2</v>
      </c>
      <c r="M158" s="12" t="s">
        <v>2</v>
      </c>
      <c r="N158" s="14" t="s">
        <v>2</v>
      </c>
      <c r="O158" s="12" t="s">
        <v>2</v>
      </c>
      <c r="P158" s="14" t="s">
        <v>2</v>
      </c>
      <c r="Q158" s="12" t="s">
        <v>2</v>
      </c>
      <c r="R158" s="14" t="s">
        <v>2</v>
      </c>
      <c r="S158" s="12" t="s">
        <v>2</v>
      </c>
      <c r="T158" s="14" t="s">
        <v>2</v>
      </c>
      <c r="U158" s="12" t="s">
        <v>314</v>
      </c>
      <c r="V158" s="4" t="s">
        <v>0</v>
      </c>
      <c r="W158" s="3" t="str">
        <f t="shared" si="6"/>
        <v>DIV</v>
      </c>
      <c r="X158" s="3" t="str">
        <f t="shared" si="7"/>
        <v>DIV-157</v>
      </c>
      <c r="Y158" s="3" t="str">
        <f t="shared" si="8"/>
        <v>Divisória. Localização: bloco A</v>
      </c>
    </row>
    <row r="159" spans="1:25" ht="8.25" customHeight="1" x14ac:dyDescent="0.25">
      <c r="A159" s="13">
        <v>158</v>
      </c>
      <c r="B159" s="3" t="s">
        <v>160</v>
      </c>
      <c r="C159" s="12" t="s">
        <v>161</v>
      </c>
      <c r="D159" s="3" t="s">
        <v>160</v>
      </c>
      <c r="E159" s="12" t="s">
        <v>248</v>
      </c>
      <c r="F159" s="2" t="s">
        <v>528</v>
      </c>
      <c r="G159" s="12" t="s">
        <v>249</v>
      </c>
      <c r="H159" s="2" t="s">
        <v>2</v>
      </c>
      <c r="I159" s="12" t="s">
        <v>0</v>
      </c>
      <c r="J159" s="2" t="s">
        <v>2</v>
      </c>
      <c r="K159" s="12" t="s">
        <v>505</v>
      </c>
      <c r="L159" s="2" t="s">
        <v>2</v>
      </c>
      <c r="M159" s="12" t="s">
        <v>78</v>
      </c>
      <c r="N159" s="14" t="s">
        <v>79</v>
      </c>
      <c r="O159" s="12" t="s">
        <v>295</v>
      </c>
      <c r="P159" s="14" t="s">
        <v>305</v>
      </c>
      <c r="Q159" s="12" t="s">
        <v>2</v>
      </c>
      <c r="R159" s="14" t="s">
        <v>2</v>
      </c>
      <c r="S159" s="12" t="s">
        <v>2</v>
      </c>
      <c r="T159" s="14" t="s">
        <v>2</v>
      </c>
      <c r="U159" s="12" t="s">
        <v>314</v>
      </c>
      <c r="V159" s="4" t="s">
        <v>0</v>
      </c>
      <c r="W159" s="3" t="str">
        <f t="shared" si="6"/>
        <v>GRA-L0.10m-SEG-BAR</v>
      </c>
      <c r="X159" s="3" t="str">
        <f t="shared" si="7"/>
        <v>GRA-L0.10m-SEG-BAR-158</v>
      </c>
      <c r="Y159" s="3" t="str">
        <f t="shared" si="8"/>
        <v>Grade 0.10m de segurança de barras. Localização: bloco A</v>
      </c>
    </row>
    <row r="160" spans="1:25" ht="8.25" customHeight="1" x14ac:dyDescent="0.25">
      <c r="A160" s="13">
        <v>159</v>
      </c>
      <c r="B160" s="3" t="s">
        <v>160</v>
      </c>
      <c r="C160" s="12" t="s">
        <v>161</v>
      </c>
      <c r="D160" s="3" t="s">
        <v>160</v>
      </c>
      <c r="E160" s="12" t="s">
        <v>248</v>
      </c>
      <c r="F160" s="2" t="s">
        <v>528</v>
      </c>
      <c r="G160" s="12" t="s">
        <v>249</v>
      </c>
      <c r="H160" s="2" t="s">
        <v>2</v>
      </c>
      <c r="I160" s="12" t="s">
        <v>0</v>
      </c>
      <c r="J160" s="2" t="s">
        <v>2</v>
      </c>
      <c r="K160" s="12" t="s">
        <v>505</v>
      </c>
      <c r="L160" s="2" t="s">
        <v>2</v>
      </c>
      <c r="M160" s="12" t="s">
        <v>294</v>
      </c>
      <c r="N160" s="14" t="s">
        <v>162</v>
      </c>
      <c r="O160" s="12" t="s">
        <v>296</v>
      </c>
      <c r="P160" s="14" t="s">
        <v>306</v>
      </c>
      <c r="Q160" s="12" t="s">
        <v>298</v>
      </c>
      <c r="R160" s="14" t="s">
        <v>297</v>
      </c>
      <c r="S160" s="12" t="s">
        <v>2</v>
      </c>
      <c r="T160" s="14" t="s">
        <v>2</v>
      </c>
      <c r="U160" s="12" t="s">
        <v>314</v>
      </c>
      <c r="V160" s="4" t="s">
        <v>0</v>
      </c>
      <c r="W160" s="3" t="str">
        <f t="shared" si="6"/>
        <v>GRA-L0.10m-ORN-FUR-DnX</v>
      </c>
      <c r="X160" s="3" t="str">
        <f t="shared" si="7"/>
        <v>GRA-L0.10m-ORN-FUR-DnX-159</v>
      </c>
      <c r="Y160" s="3" t="str">
        <f t="shared" si="8"/>
        <v>Grade 0.10m ornamental furada densidade X. Localização: bloco A</v>
      </c>
    </row>
    <row r="161" spans="1:25" ht="8.25" customHeight="1" x14ac:dyDescent="0.25">
      <c r="A161" s="13">
        <v>160</v>
      </c>
      <c r="B161" s="3" t="s">
        <v>160</v>
      </c>
      <c r="C161" s="12" t="s">
        <v>161</v>
      </c>
      <c r="D161" s="3" t="s">
        <v>160</v>
      </c>
      <c r="E161" s="12" t="s">
        <v>248</v>
      </c>
      <c r="F161" s="2" t="s">
        <v>2</v>
      </c>
      <c r="G161" s="12" t="s">
        <v>249</v>
      </c>
      <c r="H161" s="2" t="s">
        <v>2</v>
      </c>
      <c r="I161" s="12" t="s">
        <v>0</v>
      </c>
      <c r="J161" s="2" t="s">
        <v>2</v>
      </c>
      <c r="K161" s="12" t="s">
        <v>505</v>
      </c>
      <c r="L161" s="2" t="s">
        <v>2</v>
      </c>
      <c r="M161" s="12" t="s">
        <v>2</v>
      </c>
      <c r="N161" s="14" t="s">
        <v>2</v>
      </c>
      <c r="O161" s="12" t="s">
        <v>2</v>
      </c>
      <c r="P161" s="14" t="s">
        <v>2</v>
      </c>
      <c r="Q161" s="12" t="s">
        <v>2</v>
      </c>
      <c r="R161" s="14" t="s">
        <v>2</v>
      </c>
      <c r="S161" s="12" t="s">
        <v>2</v>
      </c>
      <c r="T161" s="14" t="s">
        <v>2</v>
      </c>
      <c r="U161" s="12" t="s">
        <v>314</v>
      </c>
      <c r="V161" s="4" t="s">
        <v>0</v>
      </c>
      <c r="W161" s="3" t="str">
        <f t="shared" si="6"/>
        <v>GRA</v>
      </c>
      <c r="X161" s="3" t="str">
        <f t="shared" si="7"/>
        <v>GRA-160</v>
      </c>
      <c r="Y161" s="3" t="str">
        <f t="shared" si="8"/>
        <v>Grade. Localização: bloco A</v>
      </c>
    </row>
    <row r="162" spans="1:25" ht="8.25" customHeight="1" x14ac:dyDescent="0.25">
      <c r="A162" s="13">
        <v>161</v>
      </c>
      <c r="B162" s="3" t="s">
        <v>160</v>
      </c>
      <c r="C162" s="12" t="s">
        <v>161</v>
      </c>
      <c r="D162" s="3" t="s">
        <v>160</v>
      </c>
      <c r="E162" s="12" t="s">
        <v>248</v>
      </c>
      <c r="F162" s="2" t="s">
        <v>2</v>
      </c>
      <c r="G162" s="12" t="s">
        <v>249</v>
      </c>
      <c r="H162" s="2" t="s">
        <v>2</v>
      </c>
      <c r="I162" s="12" t="s">
        <v>0</v>
      </c>
      <c r="J162" s="2" t="s">
        <v>2</v>
      </c>
      <c r="K162" s="12" t="s">
        <v>505</v>
      </c>
      <c r="L162" s="2" t="s">
        <v>2</v>
      </c>
      <c r="M162" s="12" t="s">
        <v>2</v>
      </c>
      <c r="N162" s="14" t="s">
        <v>2</v>
      </c>
      <c r="O162" s="12" t="s">
        <v>2</v>
      </c>
      <c r="P162" s="14" t="s">
        <v>2</v>
      </c>
      <c r="Q162" s="12" t="s">
        <v>2</v>
      </c>
      <c r="R162" s="14" t="s">
        <v>2</v>
      </c>
      <c r="S162" s="12" t="s">
        <v>2</v>
      </c>
      <c r="T162" s="14" t="s">
        <v>2</v>
      </c>
      <c r="U162" s="12" t="s">
        <v>314</v>
      </c>
      <c r="V162" s="4" t="s">
        <v>0</v>
      </c>
      <c r="W162" s="3" t="str">
        <f t="shared" si="6"/>
        <v>GRA</v>
      </c>
      <c r="X162" s="3" t="str">
        <f t="shared" si="7"/>
        <v>GRA-161</v>
      </c>
      <c r="Y162" s="3" t="str">
        <f t="shared" si="8"/>
        <v>Grade. Localização: bloco A</v>
      </c>
    </row>
    <row r="163" spans="1:25" ht="8.25" customHeight="1" x14ac:dyDescent="0.25">
      <c r="A163" s="13">
        <v>162</v>
      </c>
      <c r="B163" s="3" t="s">
        <v>160</v>
      </c>
      <c r="C163" s="12" t="s">
        <v>161</v>
      </c>
      <c r="D163" s="3" t="s">
        <v>160</v>
      </c>
      <c r="E163" s="12" t="s">
        <v>248</v>
      </c>
      <c r="F163" s="2" t="s">
        <v>2</v>
      </c>
      <c r="G163" s="12" t="s">
        <v>249</v>
      </c>
      <c r="H163" s="2" t="s">
        <v>2</v>
      </c>
      <c r="I163" s="12" t="s">
        <v>0</v>
      </c>
      <c r="J163" s="2" t="s">
        <v>2</v>
      </c>
      <c r="K163" s="12" t="s">
        <v>505</v>
      </c>
      <c r="L163" s="2" t="s">
        <v>2</v>
      </c>
      <c r="M163" s="12" t="s">
        <v>2</v>
      </c>
      <c r="N163" s="14" t="s">
        <v>2</v>
      </c>
      <c r="O163" s="12" t="s">
        <v>2</v>
      </c>
      <c r="P163" s="14" t="s">
        <v>2</v>
      </c>
      <c r="Q163" s="12" t="s">
        <v>2</v>
      </c>
      <c r="R163" s="14" t="s">
        <v>2</v>
      </c>
      <c r="S163" s="12" t="s">
        <v>2</v>
      </c>
      <c r="T163" s="14" t="s">
        <v>2</v>
      </c>
      <c r="U163" s="12" t="s">
        <v>314</v>
      </c>
      <c r="V163" s="4" t="s">
        <v>0</v>
      </c>
      <c r="W163" s="3" t="str">
        <f t="shared" si="6"/>
        <v>GRA</v>
      </c>
      <c r="X163" s="3" t="str">
        <f t="shared" si="7"/>
        <v>GRA-162</v>
      </c>
      <c r="Y163" s="3" t="str">
        <f t="shared" si="8"/>
        <v>Grade. Localização: bloco A</v>
      </c>
    </row>
    <row r="164" spans="1:25" ht="8.25" customHeight="1" x14ac:dyDescent="0.25">
      <c r="A164" s="13">
        <v>163</v>
      </c>
      <c r="B164" s="3" t="s">
        <v>160</v>
      </c>
      <c r="C164" s="12" t="s">
        <v>161</v>
      </c>
      <c r="D164" s="3" t="s">
        <v>160</v>
      </c>
      <c r="E164" s="12" t="s">
        <v>248</v>
      </c>
      <c r="F164" s="2" t="s">
        <v>2</v>
      </c>
      <c r="G164" s="12" t="s">
        <v>249</v>
      </c>
      <c r="H164" s="2" t="s">
        <v>2</v>
      </c>
      <c r="I164" s="12" t="s">
        <v>0</v>
      </c>
      <c r="J164" s="2" t="s">
        <v>2</v>
      </c>
      <c r="K164" s="12" t="s">
        <v>505</v>
      </c>
      <c r="L164" s="2" t="s">
        <v>2</v>
      </c>
      <c r="M164" s="12" t="s">
        <v>2</v>
      </c>
      <c r="N164" s="14" t="s">
        <v>2</v>
      </c>
      <c r="O164" s="12" t="s">
        <v>2</v>
      </c>
      <c r="P164" s="14" t="s">
        <v>2</v>
      </c>
      <c r="Q164" s="12" t="s">
        <v>2</v>
      </c>
      <c r="R164" s="14" t="s">
        <v>2</v>
      </c>
      <c r="S164" s="12" t="s">
        <v>2</v>
      </c>
      <c r="T164" s="14" t="s">
        <v>2</v>
      </c>
      <c r="U164" s="12" t="s">
        <v>314</v>
      </c>
      <c r="V164" s="4" t="s">
        <v>0</v>
      </c>
      <c r="W164" s="3" t="str">
        <f t="shared" si="6"/>
        <v>GRA</v>
      </c>
      <c r="X164" s="3" t="str">
        <f t="shared" si="7"/>
        <v>GRA-163</v>
      </c>
      <c r="Y164" s="3" t="str">
        <f t="shared" si="8"/>
        <v>Grade. Localização: bloco A</v>
      </c>
    </row>
    <row r="165" spans="1:25" ht="8.25" customHeight="1" x14ac:dyDescent="0.25">
      <c r="A165" s="13">
        <v>164</v>
      </c>
      <c r="B165" s="3" t="s">
        <v>160</v>
      </c>
      <c r="C165" s="12" t="s">
        <v>161</v>
      </c>
      <c r="D165" s="3" t="s">
        <v>160</v>
      </c>
      <c r="E165" s="12" t="s">
        <v>248</v>
      </c>
      <c r="F165" s="2" t="s">
        <v>2</v>
      </c>
      <c r="G165" s="12" t="s">
        <v>249</v>
      </c>
      <c r="H165" s="2" t="s">
        <v>2</v>
      </c>
      <c r="I165" s="12" t="s">
        <v>0</v>
      </c>
      <c r="J165" s="2" t="s">
        <v>2</v>
      </c>
      <c r="K165" s="12" t="s">
        <v>505</v>
      </c>
      <c r="L165" s="2" t="s">
        <v>2</v>
      </c>
      <c r="M165" s="12" t="s">
        <v>2</v>
      </c>
      <c r="N165" s="14" t="s">
        <v>2</v>
      </c>
      <c r="O165" s="12" t="s">
        <v>2</v>
      </c>
      <c r="P165" s="14" t="s">
        <v>2</v>
      </c>
      <c r="Q165" s="12" t="s">
        <v>2</v>
      </c>
      <c r="R165" s="14" t="s">
        <v>2</v>
      </c>
      <c r="S165" s="12" t="s">
        <v>2</v>
      </c>
      <c r="T165" s="14" t="s">
        <v>2</v>
      </c>
      <c r="U165" s="12" t="s">
        <v>314</v>
      </c>
      <c r="V165" s="4" t="s">
        <v>0</v>
      </c>
      <c r="W165" s="3" t="str">
        <f t="shared" si="6"/>
        <v>GRA</v>
      </c>
      <c r="X165" s="3" t="str">
        <f t="shared" si="7"/>
        <v>GRA-164</v>
      </c>
      <c r="Y165" s="3" t="str">
        <f t="shared" si="8"/>
        <v>Grade. Localização: bloco A</v>
      </c>
    </row>
    <row r="166" spans="1:25" ht="8.25" customHeight="1" x14ac:dyDescent="0.25">
      <c r="A166" s="13">
        <v>165</v>
      </c>
      <c r="B166" s="3" t="s">
        <v>160</v>
      </c>
      <c r="C166" s="12" t="s">
        <v>161</v>
      </c>
      <c r="D166" s="3" t="s">
        <v>160</v>
      </c>
      <c r="E166" s="12" t="s">
        <v>248</v>
      </c>
      <c r="F166" s="2" t="s">
        <v>2</v>
      </c>
      <c r="G166" s="12" t="s">
        <v>249</v>
      </c>
      <c r="H166" s="2" t="s">
        <v>2</v>
      </c>
      <c r="I166" s="12" t="s">
        <v>0</v>
      </c>
      <c r="J166" s="2" t="s">
        <v>2</v>
      </c>
      <c r="K166" s="12" t="s">
        <v>505</v>
      </c>
      <c r="L166" s="2" t="s">
        <v>2</v>
      </c>
      <c r="M166" s="12" t="s">
        <v>2</v>
      </c>
      <c r="N166" s="14" t="s">
        <v>2</v>
      </c>
      <c r="O166" s="12" t="s">
        <v>2</v>
      </c>
      <c r="P166" s="14" t="s">
        <v>2</v>
      </c>
      <c r="Q166" s="12" t="s">
        <v>2</v>
      </c>
      <c r="R166" s="14" t="s">
        <v>2</v>
      </c>
      <c r="S166" s="12" t="s">
        <v>2</v>
      </c>
      <c r="T166" s="14" t="s">
        <v>2</v>
      </c>
      <c r="U166" s="12" t="s">
        <v>314</v>
      </c>
      <c r="V166" s="4" t="s">
        <v>0</v>
      </c>
      <c r="W166" s="3" t="str">
        <f t="shared" si="6"/>
        <v>GRA</v>
      </c>
      <c r="X166" s="3" t="str">
        <f t="shared" si="7"/>
        <v>GRA-165</v>
      </c>
      <c r="Y166" s="3" t="str">
        <f t="shared" si="8"/>
        <v>Grade. Localização: bloco A</v>
      </c>
    </row>
    <row r="167" spans="1:25" ht="8.25" customHeight="1" x14ac:dyDescent="0.25">
      <c r="A167" s="13">
        <v>166</v>
      </c>
      <c r="B167" s="3" t="s">
        <v>299</v>
      </c>
      <c r="C167" s="12" t="s">
        <v>263</v>
      </c>
      <c r="D167" s="3" t="s">
        <v>299</v>
      </c>
      <c r="E167" s="12" t="s">
        <v>248</v>
      </c>
      <c r="F167" s="2" t="s">
        <v>2</v>
      </c>
      <c r="G167" s="12" t="s">
        <v>249</v>
      </c>
      <c r="H167" s="2" t="s">
        <v>2</v>
      </c>
      <c r="I167" s="12" t="s">
        <v>0</v>
      </c>
      <c r="J167" s="2" t="s">
        <v>2</v>
      </c>
      <c r="K167" s="12" t="s">
        <v>505</v>
      </c>
      <c r="L167" s="2" t="s">
        <v>2</v>
      </c>
      <c r="M167" s="12" t="s">
        <v>300</v>
      </c>
      <c r="N167" s="14" t="s">
        <v>301</v>
      </c>
      <c r="O167" s="12" t="s">
        <v>2</v>
      </c>
      <c r="P167" s="14" t="s">
        <v>2</v>
      </c>
      <c r="Q167" s="12" t="s">
        <v>2</v>
      </c>
      <c r="R167" s="14" t="s">
        <v>2</v>
      </c>
      <c r="S167" s="12" t="s">
        <v>2</v>
      </c>
      <c r="T167" s="14" t="s">
        <v>2</v>
      </c>
      <c r="U167" s="12" t="s">
        <v>314</v>
      </c>
      <c r="V167" s="4" t="s">
        <v>0</v>
      </c>
      <c r="W167" s="3" t="str">
        <f t="shared" si="6"/>
        <v>BRI-SOL</v>
      </c>
      <c r="X167" s="3" t="str">
        <f t="shared" si="7"/>
        <v>BRI-SOL-166</v>
      </c>
      <c r="Y167" s="3" t="str">
        <f t="shared" si="8"/>
        <v>Brise solar. Localização: bloco A</v>
      </c>
    </row>
    <row r="168" spans="1:25" ht="8.25" customHeight="1" x14ac:dyDescent="0.25">
      <c r="A168" s="13">
        <v>167</v>
      </c>
      <c r="B168" s="3" t="s">
        <v>299</v>
      </c>
      <c r="C168" s="12" t="s">
        <v>263</v>
      </c>
      <c r="D168" s="3" t="s">
        <v>299</v>
      </c>
      <c r="E168" s="12" t="s">
        <v>248</v>
      </c>
      <c r="F168" s="2" t="s">
        <v>2</v>
      </c>
      <c r="G168" s="12" t="s">
        <v>249</v>
      </c>
      <c r="H168" s="2" t="s">
        <v>2</v>
      </c>
      <c r="I168" s="12" t="s">
        <v>0</v>
      </c>
      <c r="J168" s="2" t="s">
        <v>2</v>
      </c>
      <c r="K168" s="12" t="s">
        <v>505</v>
      </c>
      <c r="L168" s="2" t="s">
        <v>2</v>
      </c>
      <c r="M168" s="12" t="s">
        <v>294</v>
      </c>
      <c r="N168" s="14" t="s">
        <v>162</v>
      </c>
      <c r="O168" s="12" t="s">
        <v>2</v>
      </c>
      <c r="P168" s="14" t="s">
        <v>2</v>
      </c>
      <c r="Q168" s="12" t="s">
        <v>2</v>
      </c>
      <c r="R168" s="14" t="s">
        <v>2</v>
      </c>
      <c r="S168" s="12" t="s">
        <v>2</v>
      </c>
      <c r="T168" s="14" t="s">
        <v>2</v>
      </c>
      <c r="U168" s="12" t="s">
        <v>314</v>
      </c>
      <c r="V168" s="4" t="s">
        <v>0</v>
      </c>
      <c r="W168" s="3" t="str">
        <f t="shared" si="6"/>
        <v>BRI-ORN</v>
      </c>
      <c r="X168" s="3" t="str">
        <f t="shared" si="7"/>
        <v>BRI-ORN-167</v>
      </c>
      <c r="Y168" s="3" t="str">
        <f t="shared" si="8"/>
        <v>Brise ornamental. Localização: bloco A</v>
      </c>
    </row>
    <row r="169" spans="1:25" ht="8.25" customHeight="1" x14ac:dyDescent="0.25">
      <c r="A169" s="13">
        <v>168</v>
      </c>
      <c r="B169" s="3" t="s">
        <v>299</v>
      </c>
      <c r="C169" s="12" t="s">
        <v>263</v>
      </c>
      <c r="D169" s="3" t="s">
        <v>299</v>
      </c>
      <c r="E169" s="12" t="s">
        <v>248</v>
      </c>
      <c r="F169" s="2" t="s">
        <v>2</v>
      </c>
      <c r="G169" s="12" t="s">
        <v>249</v>
      </c>
      <c r="H169" s="2" t="s">
        <v>2</v>
      </c>
      <c r="I169" s="12" t="s">
        <v>0</v>
      </c>
      <c r="J169" s="2" t="s">
        <v>2</v>
      </c>
      <c r="K169" s="12" t="s">
        <v>505</v>
      </c>
      <c r="L169" s="2" t="s">
        <v>2</v>
      </c>
      <c r="M169" s="12" t="s">
        <v>2</v>
      </c>
      <c r="N169" s="14" t="s">
        <v>2</v>
      </c>
      <c r="O169" s="12" t="s">
        <v>2</v>
      </c>
      <c r="P169" s="14" t="s">
        <v>2</v>
      </c>
      <c r="Q169" s="12" t="s">
        <v>2</v>
      </c>
      <c r="R169" s="14" t="s">
        <v>2</v>
      </c>
      <c r="S169" s="12" t="s">
        <v>2</v>
      </c>
      <c r="T169" s="14" t="s">
        <v>2</v>
      </c>
      <c r="U169" s="12" t="s">
        <v>314</v>
      </c>
      <c r="V169" s="4" t="s">
        <v>0</v>
      </c>
      <c r="W169" s="3" t="str">
        <f t="shared" si="6"/>
        <v>BRI</v>
      </c>
      <c r="X169" s="3" t="str">
        <f t="shared" si="7"/>
        <v>BRI-168</v>
      </c>
      <c r="Y169" s="3" t="str">
        <f t="shared" si="8"/>
        <v>Brise. Localização: bloco A</v>
      </c>
    </row>
    <row r="170" spans="1:25" ht="8.25" customHeight="1" x14ac:dyDescent="0.25">
      <c r="A170" s="13">
        <v>169</v>
      </c>
      <c r="B170" s="3" t="s">
        <v>299</v>
      </c>
      <c r="C170" s="12" t="s">
        <v>263</v>
      </c>
      <c r="D170" s="3" t="s">
        <v>299</v>
      </c>
      <c r="E170" s="12" t="s">
        <v>248</v>
      </c>
      <c r="F170" s="2" t="s">
        <v>2</v>
      </c>
      <c r="G170" s="12" t="s">
        <v>249</v>
      </c>
      <c r="H170" s="2" t="s">
        <v>2</v>
      </c>
      <c r="I170" s="12" t="s">
        <v>0</v>
      </c>
      <c r="J170" s="2" t="s">
        <v>2</v>
      </c>
      <c r="K170" s="12" t="s">
        <v>505</v>
      </c>
      <c r="L170" s="2" t="s">
        <v>2</v>
      </c>
      <c r="M170" s="12" t="s">
        <v>2</v>
      </c>
      <c r="N170" s="14" t="s">
        <v>2</v>
      </c>
      <c r="O170" s="12" t="s">
        <v>2</v>
      </c>
      <c r="P170" s="14" t="s">
        <v>2</v>
      </c>
      <c r="Q170" s="12" t="s">
        <v>2</v>
      </c>
      <c r="R170" s="14" t="s">
        <v>2</v>
      </c>
      <c r="S170" s="12" t="s">
        <v>2</v>
      </c>
      <c r="T170" s="14" t="s">
        <v>2</v>
      </c>
      <c r="U170" s="12" t="s">
        <v>314</v>
      </c>
      <c r="V170" s="4" t="s">
        <v>0</v>
      </c>
      <c r="W170" s="3" t="str">
        <f t="shared" si="6"/>
        <v>BRI</v>
      </c>
      <c r="X170" s="3" t="str">
        <f t="shared" si="7"/>
        <v>BRI-169</v>
      </c>
      <c r="Y170" s="3" t="str">
        <f t="shared" si="8"/>
        <v>Brise. Localização: bloco A</v>
      </c>
    </row>
    <row r="171" spans="1:25" ht="8.25" customHeight="1" x14ac:dyDescent="0.25">
      <c r="A171" s="13">
        <v>170</v>
      </c>
      <c r="B171" s="3" t="s">
        <v>299</v>
      </c>
      <c r="C171" s="12" t="s">
        <v>263</v>
      </c>
      <c r="D171" s="3" t="s">
        <v>299</v>
      </c>
      <c r="E171" s="12" t="s">
        <v>248</v>
      </c>
      <c r="F171" s="2" t="s">
        <v>2</v>
      </c>
      <c r="G171" s="12" t="s">
        <v>249</v>
      </c>
      <c r="H171" s="2" t="s">
        <v>2</v>
      </c>
      <c r="I171" s="12" t="s">
        <v>0</v>
      </c>
      <c r="J171" s="2" t="s">
        <v>2</v>
      </c>
      <c r="K171" s="12" t="s">
        <v>505</v>
      </c>
      <c r="L171" s="2" t="s">
        <v>2</v>
      </c>
      <c r="M171" s="12" t="s">
        <v>2</v>
      </c>
      <c r="N171" s="14" t="s">
        <v>2</v>
      </c>
      <c r="O171" s="12" t="s">
        <v>2</v>
      </c>
      <c r="P171" s="14" t="s">
        <v>2</v>
      </c>
      <c r="Q171" s="12" t="s">
        <v>2</v>
      </c>
      <c r="R171" s="14" t="s">
        <v>2</v>
      </c>
      <c r="S171" s="12" t="s">
        <v>2</v>
      </c>
      <c r="T171" s="14" t="s">
        <v>2</v>
      </c>
      <c r="U171" s="12" t="s">
        <v>314</v>
      </c>
      <c r="V171" s="4" t="s">
        <v>0</v>
      </c>
      <c r="W171" s="3" t="str">
        <f t="shared" si="6"/>
        <v>BRI</v>
      </c>
      <c r="X171" s="3" t="str">
        <f t="shared" si="7"/>
        <v>BRI-170</v>
      </c>
      <c r="Y171" s="3" t="str">
        <f t="shared" si="8"/>
        <v>Brise. Localização: bloco A</v>
      </c>
    </row>
    <row r="172" spans="1:25" ht="8.25" customHeight="1" x14ac:dyDescent="0.25">
      <c r="A172" s="13">
        <v>171</v>
      </c>
      <c r="B172" s="3" t="s">
        <v>299</v>
      </c>
      <c r="C172" s="12" t="s">
        <v>263</v>
      </c>
      <c r="D172" s="3" t="s">
        <v>299</v>
      </c>
      <c r="E172" s="12" t="s">
        <v>248</v>
      </c>
      <c r="F172" s="2" t="s">
        <v>2</v>
      </c>
      <c r="G172" s="12" t="s">
        <v>249</v>
      </c>
      <c r="H172" s="2" t="s">
        <v>2</v>
      </c>
      <c r="I172" s="12" t="s">
        <v>0</v>
      </c>
      <c r="J172" s="2" t="s">
        <v>2</v>
      </c>
      <c r="K172" s="12" t="s">
        <v>505</v>
      </c>
      <c r="L172" s="2" t="s">
        <v>2</v>
      </c>
      <c r="M172" s="12" t="s">
        <v>2</v>
      </c>
      <c r="N172" s="14" t="s">
        <v>2</v>
      </c>
      <c r="O172" s="12" t="s">
        <v>2</v>
      </c>
      <c r="P172" s="14" t="s">
        <v>2</v>
      </c>
      <c r="Q172" s="12" t="s">
        <v>2</v>
      </c>
      <c r="R172" s="14" t="s">
        <v>2</v>
      </c>
      <c r="S172" s="12" t="s">
        <v>2</v>
      </c>
      <c r="T172" s="14" t="s">
        <v>2</v>
      </c>
      <c r="U172" s="12" t="s">
        <v>314</v>
      </c>
      <c r="V172" s="4" t="s">
        <v>0</v>
      </c>
      <c r="W172" s="3" t="str">
        <f t="shared" si="6"/>
        <v>BRI</v>
      </c>
      <c r="X172" s="3" t="str">
        <f t="shared" si="7"/>
        <v>BRI-171</v>
      </c>
      <c r="Y172" s="3" t="str">
        <f t="shared" si="8"/>
        <v>Brise. Localização: bloco A</v>
      </c>
    </row>
    <row r="173" spans="1:25" ht="8.25" customHeight="1" x14ac:dyDescent="0.25">
      <c r="A173" s="13">
        <v>172</v>
      </c>
      <c r="B173" s="3" t="s">
        <v>299</v>
      </c>
      <c r="C173" s="12" t="s">
        <v>263</v>
      </c>
      <c r="D173" s="3" t="s">
        <v>299</v>
      </c>
      <c r="E173" s="12" t="s">
        <v>248</v>
      </c>
      <c r="F173" s="2" t="s">
        <v>2</v>
      </c>
      <c r="G173" s="12" t="s">
        <v>249</v>
      </c>
      <c r="H173" s="2" t="s">
        <v>2</v>
      </c>
      <c r="I173" s="12" t="s">
        <v>0</v>
      </c>
      <c r="J173" s="2" t="s">
        <v>2</v>
      </c>
      <c r="K173" s="12" t="s">
        <v>505</v>
      </c>
      <c r="L173" s="2" t="s">
        <v>2</v>
      </c>
      <c r="M173" s="12" t="s">
        <v>2</v>
      </c>
      <c r="N173" s="14" t="s">
        <v>2</v>
      </c>
      <c r="O173" s="12" t="s">
        <v>2</v>
      </c>
      <c r="P173" s="14" t="s">
        <v>2</v>
      </c>
      <c r="Q173" s="12" t="s">
        <v>2</v>
      </c>
      <c r="R173" s="14" t="s">
        <v>2</v>
      </c>
      <c r="S173" s="12" t="s">
        <v>2</v>
      </c>
      <c r="T173" s="14" t="s">
        <v>2</v>
      </c>
      <c r="U173" s="12" t="s">
        <v>314</v>
      </c>
      <c r="V173" s="4" t="s">
        <v>0</v>
      </c>
      <c r="W173" s="3" t="str">
        <f t="shared" si="6"/>
        <v>BRI</v>
      </c>
      <c r="X173" s="3" t="str">
        <f t="shared" si="7"/>
        <v>BRI-172</v>
      </c>
      <c r="Y173" s="3" t="str">
        <f t="shared" si="8"/>
        <v>Brise. Localização: bloco A</v>
      </c>
    </row>
    <row r="174" spans="1:25" ht="8.25" customHeight="1" x14ac:dyDescent="0.25">
      <c r="A174" s="13">
        <v>173</v>
      </c>
      <c r="B174" s="3" t="s">
        <v>299</v>
      </c>
      <c r="C174" s="12" t="s">
        <v>263</v>
      </c>
      <c r="D174" s="3" t="s">
        <v>299</v>
      </c>
      <c r="E174" s="12" t="s">
        <v>248</v>
      </c>
      <c r="F174" s="2" t="s">
        <v>2</v>
      </c>
      <c r="G174" s="12" t="s">
        <v>249</v>
      </c>
      <c r="H174" s="2" t="s">
        <v>2</v>
      </c>
      <c r="I174" s="12" t="s">
        <v>0</v>
      </c>
      <c r="J174" s="2" t="s">
        <v>2</v>
      </c>
      <c r="K174" s="12" t="s">
        <v>505</v>
      </c>
      <c r="L174" s="2" t="s">
        <v>2</v>
      </c>
      <c r="M174" s="12" t="s">
        <v>2</v>
      </c>
      <c r="N174" s="14" t="s">
        <v>2</v>
      </c>
      <c r="O174" s="12" t="s">
        <v>2</v>
      </c>
      <c r="P174" s="14" t="s">
        <v>2</v>
      </c>
      <c r="Q174" s="12" t="s">
        <v>2</v>
      </c>
      <c r="R174" s="14" t="s">
        <v>2</v>
      </c>
      <c r="S174" s="12" t="s">
        <v>2</v>
      </c>
      <c r="T174" s="14" t="s">
        <v>2</v>
      </c>
      <c r="U174" s="12" t="s">
        <v>314</v>
      </c>
      <c r="V174" s="4" t="s">
        <v>0</v>
      </c>
      <c r="W174" s="3" t="str">
        <f t="shared" si="6"/>
        <v>BRI</v>
      </c>
      <c r="X174" s="3" t="str">
        <f t="shared" si="7"/>
        <v>BRI-173</v>
      </c>
      <c r="Y174" s="3" t="str">
        <f t="shared" si="8"/>
        <v>Brise. Localização: bloco A</v>
      </c>
    </row>
    <row r="175" spans="1:25" ht="8.25" customHeight="1" x14ac:dyDescent="0.25">
      <c r="A175" s="13">
        <v>174</v>
      </c>
      <c r="B175" s="3" t="s">
        <v>163</v>
      </c>
      <c r="C175" s="12" t="s">
        <v>164</v>
      </c>
      <c r="D175" s="3" t="s">
        <v>163</v>
      </c>
      <c r="E175" s="12" t="s">
        <v>248</v>
      </c>
      <c r="F175" s="2" t="s">
        <v>529</v>
      </c>
      <c r="G175" s="12" t="s">
        <v>249</v>
      </c>
      <c r="H175" s="2" t="s">
        <v>2</v>
      </c>
      <c r="I175" s="12" t="s">
        <v>0</v>
      </c>
      <c r="J175" s="2" t="s">
        <v>2</v>
      </c>
      <c r="K175" s="12" t="s">
        <v>505</v>
      </c>
      <c r="L175" s="2" t="s">
        <v>2</v>
      </c>
      <c r="M175" s="12" t="s">
        <v>284</v>
      </c>
      <c r="N175" s="14" t="s">
        <v>282</v>
      </c>
      <c r="O175" s="12" t="s">
        <v>40</v>
      </c>
      <c r="P175" s="14" t="s">
        <v>230</v>
      </c>
      <c r="Q175" s="12" t="s">
        <v>26</v>
      </c>
      <c r="R175" s="14" t="s">
        <v>474</v>
      </c>
      <c r="S175" s="12" t="s">
        <v>2</v>
      </c>
      <c r="T175" s="14" t="s">
        <v>2</v>
      </c>
      <c r="U175" s="12" t="s">
        <v>314</v>
      </c>
      <c r="V175" s="4" t="s">
        <v>0</v>
      </c>
      <c r="W175" s="3" t="str">
        <f t="shared" si="6"/>
        <v>FRR-L0.625m-AUL-EST-ACU</v>
      </c>
      <c r="X175" s="3" t="str">
        <f t="shared" si="7"/>
        <v>FRR-L0.625m-AUL-EST-ACU-174</v>
      </c>
      <c r="Y175" s="3" t="str">
        <f t="shared" si="8"/>
        <v>Forro 0.625m de sala de aula estruturado de placas acústicas. Localização: bloco A</v>
      </c>
    </row>
    <row r="176" spans="1:25" ht="8.25" customHeight="1" x14ac:dyDescent="0.25">
      <c r="A176" s="13">
        <v>175</v>
      </c>
      <c r="B176" s="3" t="s">
        <v>163</v>
      </c>
      <c r="C176" s="12" t="s">
        <v>164</v>
      </c>
      <c r="D176" s="3" t="s">
        <v>163</v>
      </c>
      <c r="E176" s="12" t="s">
        <v>248</v>
      </c>
      <c r="F176" s="2" t="s">
        <v>529</v>
      </c>
      <c r="G176" s="12" t="s">
        <v>249</v>
      </c>
      <c r="H176" s="2" t="s">
        <v>2</v>
      </c>
      <c r="I176" s="12" t="s">
        <v>0</v>
      </c>
      <c r="J176" s="2" t="s">
        <v>2</v>
      </c>
      <c r="K176" s="12" t="s">
        <v>505</v>
      </c>
      <c r="L176" s="2" t="s">
        <v>2</v>
      </c>
      <c r="M176" s="12" t="s">
        <v>245</v>
      </c>
      <c r="N176" s="14" t="s">
        <v>244</v>
      </c>
      <c r="O176" s="12" t="s">
        <v>11</v>
      </c>
      <c r="P176" s="14" t="s">
        <v>88</v>
      </c>
      <c r="Q176" s="12" t="s">
        <v>26</v>
      </c>
      <c r="R176" s="14" t="s">
        <v>474</v>
      </c>
      <c r="S176" s="12" t="s">
        <v>2</v>
      </c>
      <c r="T176" s="14" t="s">
        <v>2</v>
      </c>
      <c r="U176" s="12" t="s">
        <v>314</v>
      </c>
      <c r="V176" s="4" t="s">
        <v>0</v>
      </c>
      <c r="W176" s="3" t="str">
        <f t="shared" si="6"/>
        <v>FRR-L0.625m-AUD-SUS-ACU</v>
      </c>
      <c r="X176" s="3" t="str">
        <f t="shared" si="7"/>
        <v>FRR-L0.625m-AUD-SUS-ACU-175</v>
      </c>
      <c r="Y176" s="3" t="str">
        <f t="shared" si="8"/>
        <v>Forro 0.625m de auditório suspenso de placas acústicas. Localização: bloco A</v>
      </c>
    </row>
    <row r="177" spans="1:25" ht="8.25" customHeight="1" x14ac:dyDescent="0.25">
      <c r="A177" s="13">
        <v>176</v>
      </c>
      <c r="B177" s="3" t="s">
        <v>163</v>
      </c>
      <c r="C177" s="12" t="s">
        <v>164</v>
      </c>
      <c r="D177" s="3" t="s">
        <v>163</v>
      </c>
      <c r="E177" s="12" t="s">
        <v>248</v>
      </c>
      <c r="F177" s="2" t="s">
        <v>529</v>
      </c>
      <c r="G177" s="12" t="s">
        <v>249</v>
      </c>
      <c r="H177" s="2" t="s">
        <v>2</v>
      </c>
      <c r="I177" s="12" t="s">
        <v>0</v>
      </c>
      <c r="J177" s="2" t="s">
        <v>2</v>
      </c>
      <c r="K177" s="12" t="s">
        <v>505</v>
      </c>
      <c r="L177" s="2" t="s">
        <v>2</v>
      </c>
      <c r="M177" s="12" t="s">
        <v>237</v>
      </c>
      <c r="N177" s="14" t="s">
        <v>283</v>
      </c>
      <c r="O177" s="12" t="s">
        <v>11</v>
      </c>
      <c r="P177" s="14" t="s">
        <v>88</v>
      </c>
      <c r="Q177" s="12" t="s">
        <v>231</v>
      </c>
      <c r="R177" s="14" t="s">
        <v>165</v>
      </c>
      <c r="S177" s="12" t="s">
        <v>2</v>
      </c>
      <c r="T177" s="14" t="s">
        <v>2</v>
      </c>
      <c r="U177" s="12" t="s">
        <v>314</v>
      </c>
      <c r="V177" s="4" t="s">
        <v>0</v>
      </c>
      <c r="W177" s="3" t="str">
        <f t="shared" si="6"/>
        <v>FRR-L0.625m-CIR-SUS-GES</v>
      </c>
      <c r="X177" s="3" t="str">
        <f t="shared" si="7"/>
        <v>FRR-L0.625m-CIR-SUS-GES-176</v>
      </c>
      <c r="Y177" s="3" t="str">
        <f t="shared" si="8"/>
        <v>Forro 0.625m de circulação suspenso de placas de gesso. Localização: bloco A</v>
      </c>
    </row>
    <row r="178" spans="1:25" ht="8.25" customHeight="1" x14ac:dyDescent="0.25">
      <c r="A178" s="13">
        <v>177</v>
      </c>
      <c r="B178" s="3" t="s">
        <v>163</v>
      </c>
      <c r="C178" s="12" t="s">
        <v>164</v>
      </c>
      <c r="D178" s="3" t="s">
        <v>163</v>
      </c>
      <c r="E178" s="12" t="s">
        <v>248</v>
      </c>
      <c r="F178" s="2" t="s">
        <v>529</v>
      </c>
      <c r="G178" s="12" t="s">
        <v>249</v>
      </c>
      <c r="H178" s="2" t="s">
        <v>2</v>
      </c>
      <c r="I178" s="12" t="s">
        <v>0</v>
      </c>
      <c r="J178" s="2" t="s">
        <v>2</v>
      </c>
      <c r="K178" s="12" t="s">
        <v>505</v>
      </c>
      <c r="L178" s="2" t="s">
        <v>2</v>
      </c>
      <c r="M178" s="12" t="s">
        <v>245</v>
      </c>
      <c r="N178" s="14" t="s">
        <v>244</v>
      </c>
      <c r="O178" s="12" t="s">
        <v>286</v>
      </c>
      <c r="P178" s="14" t="s">
        <v>285</v>
      </c>
      <c r="Q178" s="12" t="s">
        <v>231</v>
      </c>
      <c r="R178" s="14" t="s">
        <v>165</v>
      </c>
      <c r="S178" s="12" t="s">
        <v>2</v>
      </c>
      <c r="T178" s="14" t="s">
        <v>2</v>
      </c>
      <c r="U178" s="12" t="s">
        <v>314</v>
      </c>
      <c r="V178" s="4" t="s">
        <v>0</v>
      </c>
      <c r="W178" s="3" t="str">
        <f t="shared" si="6"/>
        <v>FRR-L0.625m-AUD-MOD-GES</v>
      </c>
      <c r="X178" s="3" t="str">
        <f t="shared" si="7"/>
        <v>FRR-L0.625m-AUD-MOD-GES-177</v>
      </c>
      <c r="Y178" s="3" t="str">
        <f t="shared" si="8"/>
        <v>Forro 0.625m de auditório modulado de placas de gesso. Localização: bloco A</v>
      </c>
    </row>
    <row r="179" spans="1:25" ht="8.25" customHeight="1" x14ac:dyDescent="0.25">
      <c r="A179" s="13">
        <v>178</v>
      </c>
      <c r="B179" s="3" t="s">
        <v>166</v>
      </c>
      <c r="C179" s="12" t="s">
        <v>90</v>
      </c>
      <c r="D179" s="3" t="s">
        <v>166</v>
      </c>
      <c r="E179" s="12" t="s">
        <v>248</v>
      </c>
      <c r="F179" s="2" t="s">
        <v>528</v>
      </c>
      <c r="G179" s="12" t="s">
        <v>249</v>
      </c>
      <c r="H179" s="2" t="s">
        <v>2</v>
      </c>
      <c r="I179" s="12" t="s">
        <v>0</v>
      </c>
      <c r="J179" s="2" t="s">
        <v>2</v>
      </c>
      <c r="K179" s="12" t="s">
        <v>505</v>
      </c>
      <c r="L179" s="2" t="s">
        <v>2</v>
      </c>
      <c r="M179" s="12" t="s">
        <v>237</v>
      </c>
      <c r="N179" s="14" t="s">
        <v>283</v>
      </c>
      <c r="O179" s="12" t="s">
        <v>232</v>
      </c>
      <c r="P179" s="14" t="s">
        <v>171</v>
      </c>
      <c r="Q179" s="12" t="s">
        <v>2</v>
      </c>
      <c r="R179" s="14" t="s">
        <v>2</v>
      </c>
      <c r="S179" s="12" t="s">
        <v>215</v>
      </c>
      <c r="T179" s="14" t="s">
        <v>172</v>
      </c>
      <c r="U179" s="12" t="s">
        <v>314</v>
      </c>
      <c r="V179" s="4" t="s">
        <v>0</v>
      </c>
      <c r="W179" s="3" t="str">
        <f t="shared" si="6"/>
        <v>PIS-L0.10m-CIR-JUN-ARD</v>
      </c>
      <c r="X179" s="3" t="str">
        <f t="shared" si="7"/>
        <v>PIS-L0.10m-CIR-JUN-ARD-178</v>
      </c>
      <c r="Y179" s="3" t="str">
        <f t="shared" si="8"/>
        <v>Piso 0.10m de circulação com juntas ardósia. Localização: bloco A</v>
      </c>
    </row>
    <row r="180" spans="1:25" ht="8.25" customHeight="1" x14ac:dyDescent="0.25">
      <c r="A180" s="13">
        <v>179</v>
      </c>
      <c r="B180" s="3" t="s">
        <v>166</v>
      </c>
      <c r="C180" s="12" t="s">
        <v>90</v>
      </c>
      <c r="D180" s="3" t="s">
        <v>166</v>
      </c>
      <c r="E180" s="12" t="s">
        <v>248</v>
      </c>
      <c r="F180" s="2" t="s">
        <v>528</v>
      </c>
      <c r="G180" s="12" t="s">
        <v>249</v>
      </c>
      <c r="H180" s="2" t="s">
        <v>2</v>
      </c>
      <c r="I180" s="12" t="s">
        <v>0</v>
      </c>
      <c r="J180" s="2" t="s">
        <v>2</v>
      </c>
      <c r="K180" s="12" t="s">
        <v>505</v>
      </c>
      <c r="L180" s="2" t="s">
        <v>2</v>
      </c>
      <c r="M180" s="12" t="s">
        <v>25</v>
      </c>
      <c r="N180" s="14" t="s">
        <v>106</v>
      </c>
      <c r="O180" s="12" t="s">
        <v>238</v>
      </c>
      <c r="P180" s="14" t="s">
        <v>169</v>
      </c>
      <c r="Q180" s="12" t="s">
        <v>2</v>
      </c>
      <c r="R180" s="14" t="s">
        <v>2</v>
      </c>
      <c r="S180" s="12" t="s">
        <v>217</v>
      </c>
      <c r="T180" s="14" t="s">
        <v>175</v>
      </c>
      <c r="U180" s="12" t="s">
        <v>314</v>
      </c>
      <c r="V180" s="4" t="s">
        <v>0</v>
      </c>
      <c r="W180" s="3" t="str">
        <f t="shared" si="6"/>
        <v>PIS-L0.10m-SAN-PAD-CRM</v>
      </c>
      <c r="X180" s="3" t="str">
        <f t="shared" si="7"/>
        <v>PIS-L0.10m-SAN-PAD-CRM-179</v>
      </c>
      <c r="Y180" s="3" t="str">
        <f t="shared" si="8"/>
        <v>Piso 0.10m de sanitário padronizado cerâmico. Localização: bloco A</v>
      </c>
    </row>
    <row r="181" spans="1:25" ht="8.25" customHeight="1" x14ac:dyDescent="0.25">
      <c r="A181" s="13">
        <v>180</v>
      </c>
      <c r="B181" s="3" t="s">
        <v>166</v>
      </c>
      <c r="C181" s="12" t="s">
        <v>90</v>
      </c>
      <c r="D181" s="3" t="s">
        <v>166</v>
      </c>
      <c r="E181" s="12" t="s">
        <v>248</v>
      </c>
      <c r="F181" s="2" t="s">
        <v>528</v>
      </c>
      <c r="G181" s="12" t="s">
        <v>249</v>
      </c>
      <c r="H181" s="2" t="s">
        <v>2</v>
      </c>
      <c r="I181" s="12" t="s">
        <v>0</v>
      </c>
      <c r="J181" s="2" t="s">
        <v>2</v>
      </c>
      <c r="K181" s="12" t="s">
        <v>505</v>
      </c>
      <c r="L181" s="2" t="s">
        <v>2</v>
      </c>
      <c r="M181" s="12" t="s">
        <v>284</v>
      </c>
      <c r="N181" s="14" t="s">
        <v>282</v>
      </c>
      <c r="O181" s="12" t="s">
        <v>233</v>
      </c>
      <c r="P181" s="14" t="s">
        <v>170</v>
      </c>
      <c r="Q181" s="12" t="s">
        <v>2</v>
      </c>
      <c r="R181" s="14" t="s">
        <v>2</v>
      </c>
      <c r="S181" s="12" t="s">
        <v>218</v>
      </c>
      <c r="T181" s="14" t="s">
        <v>179</v>
      </c>
      <c r="U181" s="12" t="s">
        <v>314</v>
      </c>
      <c r="V181" s="4" t="s">
        <v>0</v>
      </c>
      <c r="W181" s="3" t="str">
        <f t="shared" si="6"/>
        <v>PIS-L0.10m-AUL-CTO-GTI</v>
      </c>
      <c r="X181" s="3" t="str">
        <f t="shared" si="7"/>
        <v>PIS-L0.10m-AUL-CTO-GTI-180</v>
      </c>
      <c r="Y181" s="3" t="str">
        <f t="shared" si="8"/>
        <v>Piso 0.10m de sala de aula continuo granilite. Localização: bloco A</v>
      </c>
    </row>
    <row r="182" spans="1:25" ht="8.25" customHeight="1" x14ac:dyDescent="0.25">
      <c r="A182" s="13">
        <v>181</v>
      </c>
      <c r="B182" s="3" t="s">
        <v>166</v>
      </c>
      <c r="C182" s="12" t="s">
        <v>90</v>
      </c>
      <c r="D182" s="3" t="s">
        <v>166</v>
      </c>
      <c r="E182" s="12" t="s">
        <v>248</v>
      </c>
      <c r="F182" s="2" t="s">
        <v>524</v>
      </c>
      <c r="G182" s="12" t="s">
        <v>249</v>
      </c>
      <c r="H182" s="2" t="s">
        <v>524</v>
      </c>
      <c r="I182" s="12" t="s">
        <v>0</v>
      </c>
      <c r="J182" s="2" t="s">
        <v>2</v>
      </c>
      <c r="K182" s="12" t="s">
        <v>505</v>
      </c>
      <c r="L182" s="2" t="s">
        <v>2</v>
      </c>
      <c r="M182" s="12" t="s">
        <v>245</v>
      </c>
      <c r="N182" s="14" t="s">
        <v>244</v>
      </c>
      <c r="O182" s="12" t="s">
        <v>234</v>
      </c>
      <c r="P182" s="14" t="s">
        <v>214</v>
      </c>
      <c r="Q182" s="12" t="s">
        <v>2</v>
      </c>
      <c r="R182" s="14" t="s">
        <v>2</v>
      </c>
      <c r="S182" s="12" t="s">
        <v>219</v>
      </c>
      <c r="T182" s="14" t="s">
        <v>178</v>
      </c>
      <c r="U182" s="12" t="s">
        <v>314</v>
      </c>
      <c r="V182" s="4" t="s">
        <v>0</v>
      </c>
      <c r="W182" s="3" t="str">
        <f t="shared" si="6"/>
        <v>PIS-L0.60m-P0.60m-AUD-TAB-LHI</v>
      </c>
      <c r="X182" s="3" t="str">
        <f t="shared" si="7"/>
        <v>PIS-L0.60m-P0.60m-AUD-TAB-LHI-181</v>
      </c>
      <c r="Y182" s="3" t="str">
        <f t="shared" si="8"/>
        <v>Piso 0.60m 0.60m de auditório com tábuas ladrilho hidráulico. Localização: bloco A</v>
      </c>
    </row>
    <row r="183" spans="1:25" ht="8.25" customHeight="1" x14ac:dyDescent="0.25">
      <c r="A183" s="13">
        <v>182</v>
      </c>
      <c r="B183" s="3" t="s">
        <v>166</v>
      </c>
      <c r="C183" s="12" t="s">
        <v>90</v>
      </c>
      <c r="D183" s="3" t="s">
        <v>166</v>
      </c>
      <c r="E183" s="12" t="s">
        <v>248</v>
      </c>
      <c r="F183" s="2" t="s">
        <v>524</v>
      </c>
      <c r="G183" s="12" t="s">
        <v>249</v>
      </c>
      <c r="H183" s="2" t="s">
        <v>524</v>
      </c>
      <c r="I183" s="12" t="s">
        <v>0</v>
      </c>
      <c r="J183" s="2" t="s">
        <v>2</v>
      </c>
      <c r="K183" s="12" t="s">
        <v>505</v>
      </c>
      <c r="L183" s="2" t="s">
        <v>2</v>
      </c>
      <c r="M183" s="12" t="s">
        <v>35</v>
      </c>
      <c r="N183" s="14" t="s">
        <v>208</v>
      </c>
      <c r="O183" s="12" t="s">
        <v>235</v>
      </c>
      <c r="P183" s="14" t="s">
        <v>184</v>
      </c>
      <c r="Q183" s="12" t="s">
        <v>2</v>
      </c>
      <c r="R183" s="14" t="s">
        <v>2</v>
      </c>
      <c r="S183" s="12" t="s">
        <v>216</v>
      </c>
      <c r="T183" s="14" t="s">
        <v>174</v>
      </c>
      <c r="U183" s="12" t="s">
        <v>314</v>
      </c>
      <c r="V183" s="4" t="s">
        <v>0</v>
      </c>
      <c r="W183" s="3" t="str">
        <f t="shared" si="6"/>
        <v>PIS-L0.60m-P0.60m-LAB-PLA-LAM</v>
      </c>
      <c r="X183" s="3" t="str">
        <f t="shared" si="7"/>
        <v>PIS-L0.60m-P0.60m-LAB-PLA-LAM-182</v>
      </c>
      <c r="Y183" s="3" t="str">
        <f t="shared" si="8"/>
        <v>Piso 0.60m 0.60m de laboratório com placas laminado. Localização: bloco A</v>
      </c>
    </row>
    <row r="184" spans="1:25" ht="8.25" customHeight="1" x14ac:dyDescent="0.25">
      <c r="A184" s="13">
        <v>183</v>
      </c>
      <c r="B184" s="3" t="s">
        <v>166</v>
      </c>
      <c r="C184" s="12" t="s">
        <v>90</v>
      </c>
      <c r="D184" s="3" t="s">
        <v>166</v>
      </c>
      <c r="E184" s="12" t="s">
        <v>248</v>
      </c>
      <c r="F184" s="2" t="s">
        <v>528</v>
      </c>
      <c r="G184" s="12" t="s">
        <v>249</v>
      </c>
      <c r="H184" s="2" t="s">
        <v>2</v>
      </c>
      <c r="I184" s="12" t="s">
        <v>0</v>
      </c>
      <c r="J184" s="2" t="s">
        <v>2</v>
      </c>
      <c r="K184" s="12" t="s">
        <v>505</v>
      </c>
      <c r="L184" s="2" t="s">
        <v>2</v>
      </c>
      <c r="M184" s="12" t="s">
        <v>289</v>
      </c>
      <c r="N184" s="14" t="s">
        <v>462</v>
      </c>
      <c r="O184" s="12" t="s">
        <v>116</v>
      </c>
      <c r="P184" s="14" t="s">
        <v>167</v>
      </c>
      <c r="Q184" s="12" t="s">
        <v>2</v>
      </c>
      <c r="R184" s="14" t="s">
        <v>2</v>
      </c>
      <c r="S184" s="12" t="s">
        <v>220</v>
      </c>
      <c r="T184" s="14" t="s">
        <v>173</v>
      </c>
      <c r="U184" s="12" t="s">
        <v>314</v>
      </c>
      <c r="V184" s="4" t="s">
        <v>0</v>
      </c>
      <c r="W184" s="3" t="str">
        <f t="shared" si="6"/>
        <v>PIS-L0.10m-SAL-ELV-PQT</v>
      </c>
      <c r="X184" s="3" t="str">
        <f t="shared" si="7"/>
        <v>PIS-L0.10m-SAL-ELV-PQT-183</v>
      </c>
      <c r="Y184" s="3" t="str">
        <f t="shared" si="8"/>
        <v>Piso 0.10m de sala de trabalho elevado parquet. Localização: bloco A</v>
      </c>
    </row>
    <row r="185" spans="1:25" ht="8.25" customHeight="1" x14ac:dyDescent="0.25">
      <c r="A185" s="13">
        <v>184</v>
      </c>
      <c r="B185" s="3" t="s">
        <v>166</v>
      </c>
      <c r="C185" s="12" t="s">
        <v>90</v>
      </c>
      <c r="D185" s="3" t="s">
        <v>166</v>
      </c>
      <c r="E185" s="12" t="s">
        <v>248</v>
      </c>
      <c r="F185" s="2" t="s">
        <v>528</v>
      </c>
      <c r="G185" s="12" t="s">
        <v>249</v>
      </c>
      <c r="H185" s="2" t="s">
        <v>2</v>
      </c>
      <c r="I185" s="12" t="s">
        <v>0</v>
      </c>
      <c r="J185" s="2" t="s">
        <v>2</v>
      </c>
      <c r="K185" s="12" t="s">
        <v>505</v>
      </c>
      <c r="L185" s="2" t="s">
        <v>2</v>
      </c>
      <c r="M185" s="12" t="s">
        <v>2</v>
      </c>
      <c r="N185" s="14" t="s">
        <v>2</v>
      </c>
      <c r="O185" s="12" t="s">
        <v>2</v>
      </c>
      <c r="P185" s="14" t="s">
        <v>2</v>
      </c>
      <c r="Q185" s="12" t="s">
        <v>2</v>
      </c>
      <c r="R185" s="14" t="s">
        <v>2</v>
      </c>
      <c r="S185" s="12" t="s">
        <v>221</v>
      </c>
      <c r="T185" s="14" t="s">
        <v>177</v>
      </c>
      <c r="U185" s="12" t="s">
        <v>314</v>
      </c>
      <c r="V185" s="4" t="s">
        <v>0</v>
      </c>
      <c r="W185" s="3" t="str">
        <f t="shared" si="6"/>
        <v>PIS-L0.10m-PTI</v>
      </c>
      <c r="X185" s="3" t="str">
        <f t="shared" si="7"/>
        <v>PIS-L0.10m-PTI-184</v>
      </c>
      <c r="Y185" s="3" t="str">
        <f t="shared" si="8"/>
        <v>Piso 0.10m pastilhas. Localização: bloco A</v>
      </c>
    </row>
    <row r="186" spans="1:25" ht="8.25" customHeight="1" x14ac:dyDescent="0.25">
      <c r="A186" s="13">
        <v>185</v>
      </c>
      <c r="B186" s="3" t="s">
        <v>166</v>
      </c>
      <c r="C186" s="12" t="s">
        <v>90</v>
      </c>
      <c r="D186" s="3" t="s">
        <v>166</v>
      </c>
      <c r="E186" s="12" t="s">
        <v>248</v>
      </c>
      <c r="F186" s="2" t="s">
        <v>528</v>
      </c>
      <c r="G186" s="12" t="s">
        <v>249</v>
      </c>
      <c r="H186" s="2" t="s">
        <v>2</v>
      </c>
      <c r="I186" s="12" t="s">
        <v>0</v>
      </c>
      <c r="J186" s="2" t="s">
        <v>2</v>
      </c>
      <c r="K186" s="12" t="s">
        <v>505</v>
      </c>
      <c r="L186" s="2" t="s">
        <v>2</v>
      </c>
      <c r="M186" s="12" t="s">
        <v>2</v>
      </c>
      <c r="N186" s="14" t="s">
        <v>2</v>
      </c>
      <c r="O186" s="12" t="s">
        <v>2</v>
      </c>
      <c r="P186" s="14" t="s">
        <v>2</v>
      </c>
      <c r="Q186" s="12" t="s">
        <v>2</v>
      </c>
      <c r="R186" s="14" t="s">
        <v>2</v>
      </c>
      <c r="S186" s="12" t="s">
        <v>290</v>
      </c>
      <c r="T186" s="14" t="s">
        <v>182</v>
      </c>
      <c r="U186" s="12" t="s">
        <v>314</v>
      </c>
      <c r="V186" s="4" t="s">
        <v>0</v>
      </c>
      <c r="W186" s="3" t="str">
        <f t="shared" si="6"/>
        <v>PIS-L0.10m-SIL</v>
      </c>
      <c r="X186" s="3" t="str">
        <f t="shared" si="7"/>
        <v>PIS-L0.10m-SIL-185</v>
      </c>
      <c r="Y186" s="3" t="str">
        <f t="shared" si="8"/>
        <v>Piso 0.10m pedra artificial silestone. Localização: bloco A</v>
      </c>
    </row>
    <row r="187" spans="1:25" ht="8.25" customHeight="1" x14ac:dyDescent="0.25">
      <c r="A187" s="13">
        <v>186</v>
      </c>
      <c r="B187" s="3" t="s">
        <v>166</v>
      </c>
      <c r="C187" s="12" t="s">
        <v>90</v>
      </c>
      <c r="D187" s="3" t="s">
        <v>166</v>
      </c>
      <c r="E187" s="12" t="s">
        <v>248</v>
      </c>
      <c r="F187" s="2" t="s">
        <v>528</v>
      </c>
      <c r="G187" s="12" t="s">
        <v>249</v>
      </c>
      <c r="H187" s="2" t="s">
        <v>2</v>
      </c>
      <c r="I187" s="12" t="s">
        <v>0</v>
      </c>
      <c r="J187" s="2" t="s">
        <v>2</v>
      </c>
      <c r="K187" s="12" t="s">
        <v>505</v>
      </c>
      <c r="L187" s="2" t="s">
        <v>2</v>
      </c>
      <c r="M187" s="12" t="s">
        <v>2</v>
      </c>
      <c r="N187" s="14" t="s">
        <v>2</v>
      </c>
      <c r="O187" s="12" t="s">
        <v>2</v>
      </c>
      <c r="P187" s="14" t="s">
        <v>2</v>
      </c>
      <c r="Q187" s="12" t="s">
        <v>2</v>
      </c>
      <c r="R187" s="14" t="s">
        <v>2</v>
      </c>
      <c r="S187" s="12" t="s">
        <v>161</v>
      </c>
      <c r="T187" s="14" t="s">
        <v>181</v>
      </c>
      <c r="U187" s="12" t="s">
        <v>314</v>
      </c>
      <c r="V187" s="4" t="s">
        <v>0</v>
      </c>
      <c r="W187" s="3" t="str">
        <f t="shared" si="6"/>
        <v>PIS-L0.10m-GRA</v>
      </c>
      <c r="X187" s="3" t="str">
        <f t="shared" si="7"/>
        <v>PIS-L0.10m-GRA-186</v>
      </c>
      <c r="Y187" s="3" t="str">
        <f t="shared" si="8"/>
        <v>Piso 0.10m pedra granito. Localização: bloco A</v>
      </c>
    </row>
    <row r="188" spans="1:25" ht="8.25" customHeight="1" x14ac:dyDescent="0.25">
      <c r="A188" s="13">
        <v>187</v>
      </c>
      <c r="B188" s="3" t="s">
        <v>166</v>
      </c>
      <c r="C188" s="12" t="s">
        <v>90</v>
      </c>
      <c r="D188" s="3" t="s">
        <v>166</v>
      </c>
      <c r="E188" s="12" t="s">
        <v>248</v>
      </c>
      <c r="F188" s="2" t="s">
        <v>528</v>
      </c>
      <c r="G188" s="12" t="s">
        <v>249</v>
      </c>
      <c r="H188" s="2" t="s">
        <v>2</v>
      </c>
      <c r="I188" s="12" t="s">
        <v>0</v>
      </c>
      <c r="J188" s="2" t="s">
        <v>2</v>
      </c>
      <c r="K188" s="12" t="s">
        <v>505</v>
      </c>
      <c r="L188" s="2" t="s">
        <v>2</v>
      </c>
      <c r="M188" s="12" t="s">
        <v>2</v>
      </c>
      <c r="N188" s="14" t="s">
        <v>2</v>
      </c>
      <c r="O188" s="12" t="s">
        <v>2</v>
      </c>
      <c r="P188" s="14" t="s">
        <v>2</v>
      </c>
      <c r="Q188" s="12" t="s">
        <v>2</v>
      </c>
      <c r="R188" s="14" t="s">
        <v>2</v>
      </c>
      <c r="S188" s="12" t="s">
        <v>291</v>
      </c>
      <c r="T188" s="14" t="s">
        <v>180</v>
      </c>
      <c r="U188" s="12" t="s">
        <v>314</v>
      </c>
      <c r="V188" s="4" t="s">
        <v>0</v>
      </c>
      <c r="W188" s="3" t="str">
        <f t="shared" si="6"/>
        <v>PIS-L0.10m-MAR</v>
      </c>
      <c r="X188" s="3" t="str">
        <f t="shared" si="7"/>
        <v>PIS-L0.10m-MAR-187</v>
      </c>
      <c r="Y188" s="3" t="str">
        <f t="shared" si="8"/>
        <v>Piso 0.10m pedra marmore. Localização: bloco A</v>
      </c>
    </row>
    <row r="189" spans="1:25" ht="8.25" customHeight="1" x14ac:dyDescent="0.25">
      <c r="A189" s="13">
        <v>188</v>
      </c>
      <c r="B189" s="3" t="s">
        <v>166</v>
      </c>
      <c r="C189" s="12" t="s">
        <v>90</v>
      </c>
      <c r="D189" s="3" t="s">
        <v>166</v>
      </c>
      <c r="E189" s="12" t="s">
        <v>248</v>
      </c>
      <c r="F189" s="2" t="s">
        <v>528</v>
      </c>
      <c r="G189" s="12" t="s">
        <v>249</v>
      </c>
      <c r="H189" s="2" t="s">
        <v>2</v>
      </c>
      <c r="I189" s="12" t="s">
        <v>0</v>
      </c>
      <c r="J189" s="2" t="s">
        <v>2</v>
      </c>
      <c r="K189" s="12" t="s">
        <v>505</v>
      </c>
      <c r="L189" s="2" t="s">
        <v>2</v>
      </c>
      <c r="M189" s="12" t="s">
        <v>2</v>
      </c>
      <c r="N189" s="14" t="s">
        <v>2</v>
      </c>
      <c r="O189" s="12" t="s">
        <v>2</v>
      </c>
      <c r="P189" s="14" t="s">
        <v>2</v>
      </c>
      <c r="Q189" s="12" t="s">
        <v>2</v>
      </c>
      <c r="R189" s="14" t="s">
        <v>2</v>
      </c>
      <c r="S189" s="12" t="s">
        <v>222</v>
      </c>
      <c r="T189" s="14" t="s">
        <v>176</v>
      </c>
      <c r="U189" s="12" t="s">
        <v>314</v>
      </c>
      <c r="V189" s="4" t="s">
        <v>0</v>
      </c>
      <c r="W189" s="3" t="str">
        <f t="shared" si="6"/>
        <v>PIS-L0.10m-NAT</v>
      </c>
      <c r="X189" s="3" t="str">
        <f t="shared" si="7"/>
        <v>PIS-L0.10m-NAT-188</v>
      </c>
      <c r="Y189" s="3" t="str">
        <f t="shared" si="8"/>
        <v>Piso 0.10m porcelanato. Localização: bloco A</v>
      </c>
    </row>
    <row r="190" spans="1:25" ht="8.25" customHeight="1" x14ac:dyDescent="0.25">
      <c r="A190" s="13">
        <v>189</v>
      </c>
      <c r="B190" s="3" t="s">
        <v>166</v>
      </c>
      <c r="C190" s="12" t="s">
        <v>90</v>
      </c>
      <c r="D190" s="3" t="s">
        <v>166</v>
      </c>
      <c r="E190" s="12" t="s">
        <v>248</v>
      </c>
      <c r="F190" s="2" t="s">
        <v>528</v>
      </c>
      <c r="G190" s="12" t="s">
        <v>249</v>
      </c>
      <c r="H190" s="2" t="s">
        <v>2</v>
      </c>
      <c r="I190" s="12" t="s">
        <v>0</v>
      </c>
      <c r="J190" s="2" t="s">
        <v>2</v>
      </c>
      <c r="K190" s="12" t="s">
        <v>505</v>
      </c>
      <c r="L190" s="2" t="s">
        <v>2</v>
      </c>
      <c r="M190" s="12" t="s">
        <v>2</v>
      </c>
      <c r="N190" s="14" t="s">
        <v>2</v>
      </c>
      <c r="O190" s="12" t="s">
        <v>2</v>
      </c>
      <c r="P190" s="14" t="s">
        <v>2</v>
      </c>
      <c r="Q190" s="12" t="s">
        <v>2</v>
      </c>
      <c r="R190" s="14" t="s">
        <v>2</v>
      </c>
      <c r="S190" s="12" t="s">
        <v>236</v>
      </c>
      <c r="T190" s="14" t="s">
        <v>168</v>
      </c>
      <c r="U190" s="12" t="s">
        <v>314</v>
      </c>
      <c r="V190" s="4" t="s">
        <v>0</v>
      </c>
      <c r="W190" s="3" t="str">
        <f t="shared" si="6"/>
        <v>PIS-L0.10m-CIM</v>
      </c>
      <c r="X190" s="3" t="str">
        <f t="shared" si="7"/>
        <v>PIS-L0.10m-CIM-189</v>
      </c>
      <c r="Y190" s="3" t="str">
        <f t="shared" si="8"/>
        <v>Piso 0.10m cimentado. Localização: bloco A</v>
      </c>
    </row>
    <row r="191" spans="1:25" ht="8.25" customHeight="1" x14ac:dyDescent="0.25">
      <c r="A191" s="13">
        <v>190</v>
      </c>
      <c r="B191" s="3" t="s">
        <v>166</v>
      </c>
      <c r="C191" s="12" t="s">
        <v>90</v>
      </c>
      <c r="D191" s="3" t="s">
        <v>166</v>
      </c>
      <c r="E191" s="12" t="s">
        <v>248</v>
      </c>
      <c r="F191" s="2" t="s">
        <v>528</v>
      </c>
      <c r="G191" s="12" t="s">
        <v>249</v>
      </c>
      <c r="H191" s="2" t="s">
        <v>2</v>
      </c>
      <c r="I191" s="12" t="s">
        <v>0</v>
      </c>
      <c r="J191" s="2" t="s">
        <v>2</v>
      </c>
      <c r="K191" s="12" t="s">
        <v>505</v>
      </c>
      <c r="L191" s="2" t="s">
        <v>2</v>
      </c>
      <c r="M191" s="12" t="s">
        <v>2</v>
      </c>
      <c r="N191" s="14" t="s">
        <v>2</v>
      </c>
      <c r="O191" s="12" t="s">
        <v>2</v>
      </c>
      <c r="P191" s="14" t="s">
        <v>2</v>
      </c>
      <c r="Q191" s="12" t="s">
        <v>2</v>
      </c>
      <c r="R191" s="14" t="s">
        <v>2</v>
      </c>
      <c r="S191" s="12" t="s">
        <v>293</v>
      </c>
      <c r="T191" s="14" t="s">
        <v>292</v>
      </c>
      <c r="U191" s="12" t="s">
        <v>314</v>
      </c>
      <c r="V191" s="4" t="s">
        <v>0</v>
      </c>
      <c r="W191" s="3" t="str">
        <f t="shared" si="6"/>
        <v>PIS-L0.10m-TER</v>
      </c>
      <c r="X191" s="3" t="str">
        <f t="shared" si="7"/>
        <v>PIS-L0.10m-TER-190</v>
      </c>
      <c r="Y191" s="3" t="str">
        <f t="shared" si="8"/>
        <v>Piso 0.10m terra compactada. Localização: bloco A</v>
      </c>
    </row>
    <row r="192" spans="1:25" ht="8.25" customHeight="1" x14ac:dyDescent="0.25">
      <c r="A192" s="13">
        <v>191</v>
      </c>
      <c r="B192" s="3" t="s">
        <v>166</v>
      </c>
      <c r="C192" s="12" t="s">
        <v>90</v>
      </c>
      <c r="D192" s="3" t="s">
        <v>166</v>
      </c>
      <c r="E192" s="12" t="s">
        <v>248</v>
      </c>
      <c r="F192" s="2" t="s">
        <v>528</v>
      </c>
      <c r="G192" s="12" t="s">
        <v>249</v>
      </c>
      <c r="H192" s="2" t="s">
        <v>2</v>
      </c>
      <c r="I192" s="12" t="s">
        <v>0</v>
      </c>
      <c r="J192" s="2" t="s">
        <v>2</v>
      </c>
      <c r="K192" s="12" t="s">
        <v>505</v>
      </c>
      <c r="L192" s="2" t="s">
        <v>2</v>
      </c>
      <c r="M192" s="12" t="s">
        <v>2</v>
      </c>
      <c r="N192" s="14" t="s">
        <v>2</v>
      </c>
      <c r="O192" s="12" t="s">
        <v>2</v>
      </c>
      <c r="P192" s="14" t="s">
        <v>2</v>
      </c>
      <c r="Q192" s="12" t="s">
        <v>2</v>
      </c>
      <c r="R192" s="14" t="s">
        <v>2</v>
      </c>
      <c r="S192" s="12" t="s">
        <v>2</v>
      </c>
      <c r="T192" s="14" t="s">
        <v>2</v>
      </c>
      <c r="U192" s="12" t="s">
        <v>314</v>
      </c>
      <c r="V192" s="4" t="s">
        <v>0</v>
      </c>
      <c r="W192" s="3" t="str">
        <f t="shared" si="6"/>
        <v>PIS-L0.10m</v>
      </c>
      <c r="X192" s="3" t="str">
        <f t="shared" si="7"/>
        <v>PIS-L0.10m-191</v>
      </c>
      <c r="Y192" s="3" t="str">
        <f t="shared" si="8"/>
        <v>Piso 0.10m. Localização: bloco A</v>
      </c>
    </row>
    <row r="193" spans="1:25" ht="8.25" customHeight="1" x14ac:dyDescent="0.25">
      <c r="A193" s="13">
        <v>192</v>
      </c>
      <c r="B193" s="3" t="s">
        <v>166</v>
      </c>
      <c r="C193" s="12" t="s">
        <v>90</v>
      </c>
      <c r="D193" s="3" t="s">
        <v>166</v>
      </c>
      <c r="E193" s="12" t="s">
        <v>248</v>
      </c>
      <c r="F193" s="2" t="s">
        <v>524</v>
      </c>
      <c r="G193" s="12" t="s">
        <v>249</v>
      </c>
      <c r="H193" s="2" t="s">
        <v>524</v>
      </c>
      <c r="I193" s="12" t="s">
        <v>0</v>
      </c>
      <c r="J193" s="2" t="s">
        <v>2</v>
      </c>
      <c r="K193" s="12" t="s">
        <v>505</v>
      </c>
      <c r="L193" s="2" t="s">
        <v>2</v>
      </c>
      <c r="M193" s="12" t="s">
        <v>2</v>
      </c>
      <c r="N193" s="14" t="s">
        <v>2</v>
      </c>
      <c r="O193" s="12" t="s">
        <v>2</v>
      </c>
      <c r="P193" s="14" t="s">
        <v>2</v>
      </c>
      <c r="Q193" s="12" t="s">
        <v>2</v>
      </c>
      <c r="R193" s="14" t="s">
        <v>2</v>
      </c>
      <c r="S193" s="12" t="s">
        <v>2</v>
      </c>
      <c r="T193" s="14" t="s">
        <v>2</v>
      </c>
      <c r="U193" s="12" t="s">
        <v>314</v>
      </c>
      <c r="V193" s="4" t="s">
        <v>0</v>
      </c>
      <c r="W193" s="3" t="str">
        <f t="shared" si="6"/>
        <v>PIS-L0.60m-P0.60m</v>
      </c>
      <c r="X193" s="3" t="str">
        <f t="shared" si="7"/>
        <v>PIS-L0.60m-P0.60m-192</v>
      </c>
      <c r="Y193" s="3" t="str">
        <f t="shared" si="8"/>
        <v>Piso 0.60m 0.60m. Localização: bloco A</v>
      </c>
    </row>
    <row r="194" spans="1:25" ht="8.25" customHeight="1" x14ac:dyDescent="0.25">
      <c r="A194" s="13">
        <v>193</v>
      </c>
      <c r="B194" s="3" t="s">
        <v>166</v>
      </c>
      <c r="C194" s="12" t="s">
        <v>90</v>
      </c>
      <c r="D194" s="3" t="s">
        <v>166</v>
      </c>
      <c r="E194" s="12" t="s">
        <v>248</v>
      </c>
      <c r="F194" s="2" t="s">
        <v>524</v>
      </c>
      <c r="G194" s="12" t="s">
        <v>249</v>
      </c>
      <c r="H194" s="2" t="s">
        <v>524</v>
      </c>
      <c r="I194" s="12" t="s">
        <v>0</v>
      </c>
      <c r="J194" s="2" t="s">
        <v>2</v>
      </c>
      <c r="K194" s="12" t="s">
        <v>505</v>
      </c>
      <c r="L194" s="2" t="s">
        <v>2</v>
      </c>
      <c r="M194" s="12" t="s">
        <v>2</v>
      </c>
      <c r="N194" s="14" t="s">
        <v>2</v>
      </c>
      <c r="O194" s="12" t="s">
        <v>2</v>
      </c>
      <c r="P194" s="14" t="s">
        <v>2</v>
      </c>
      <c r="Q194" s="12" t="s">
        <v>2</v>
      </c>
      <c r="R194" s="14" t="s">
        <v>2</v>
      </c>
      <c r="S194" s="12" t="s">
        <v>2</v>
      </c>
      <c r="T194" s="14" t="s">
        <v>2</v>
      </c>
      <c r="U194" s="12" t="s">
        <v>314</v>
      </c>
      <c r="V194" s="4" t="s">
        <v>0</v>
      </c>
      <c r="W194" s="3" t="str">
        <f t="shared" ref="W194:W257" si="9">_xlfn.CONCAT(C194,IF(F194=".","",_xlfn.CONCAT("-",E194,F194)),IF(H194=".","",_xlfn.CONCAT("-",G194,H194)),IF(J194=".","",_xlfn.CONCAT("-",I194,J194)),IF(L194=".","",_xlfn.CONCAT("-",K194,L194)), IF(M194=".","",_xlfn.CONCAT("-",M194)),IF(O194=".","",_xlfn.CONCAT("-",O194)), IF(Q194=".","",_xlfn.CONCAT("-",Q194)), IF(S194=".","",_xlfn.CONCAT("-",S194)))</f>
        <v>PIS-L0.60m-P0.60m</v>
      </c>
      <c r="X194" s="3" t="str">
        <f t="shared" ref="X194:X257" si="10">_xlfn.CONCAT(W194,"-",A194)</f>
        <v>PIS-L0.60m-P0.60m-193</v>
      </c>
      <c r="Y194" s="3" t="str">
        <f t="shared" si="8"/>
        <v>Piso 0.60m 0.60m. Localização: bloco A</v>
      </c>
    </row>
    <row r="195" spans="1:25" ht="8.25" customHeight="1" x14ac:dyDescent="0.25">
      <c r="A195" s="13">
        <v>194</v>
      </c>
      <c r="B195" s="3" t="s">
        <v>166</v>
      </c>
      <c r="C195" s="12" t="s">
        <v>90</v>
      </c>
      <c r="D195" s="3" t="s">
        <v>166</v>
      </c>
      <c r="E195" s="12" t="s">
        <v>248</v>
      </c>
      <c r="F195" s="2" t="s">
        <v>528</v>
      </c>
      <c r="G195" s="12" t="s">
        <v>249</v>
      </c>
      <c r="H195" s="2" t="s">
        <v>2</v>
      </c>
      <c r="I195" s="12" t="s">
        <v>0</v>
      </c>
      <c r="J195" s="2" t="s">
        <v>2</v>
      </c>
      <c r="K195" s="12" t="s">
        <v>505</v>
      </c>
      <c r="L195" s="2" t="s">
        <v>2</v>
      </c>
      <c r="M195" s="12" t="s">
        <v>2</v>
      </c>
      <c r="N195" s="14" t="s">
        <v>2</v>
      </c>
      <c r="O195" s="12" t="s">
        <v>2</v>
      </c>
      <c r="P195" s="14" t="s">
        <v>2</v>
      </c>
      <c r="Q195" s="12" t="s">
        <v>2</v>
      </c>
      <c r="R195" s="14" t="s">
        <v>2</v>
      </c>
      <c r="S195" s="12" t="s">
        <v>2</v>
      </c>
      <c r="T195" s="14" t="s">
        <v>2</v>
      </c>
      <c r="U195" s="12" t="s">
        <v>314</v>
      </c>
      <c r="V195" s="4" t="s">
        <v>0</v>
      </c>
      <c r="W195" s="3" t="str">
        <f t="shared" si="9"/>
        <v>PIS-L0.10m</v>
      </c>
      <c r="X195" s="3" t="str">
        <f t="shared" si="10"/>
        <v>PIS-L0.10m-194</v>
      </c>
      <c r="Y195" s="3" t="str">
        <f t="shared" ref="Y195:Y258" si="11">SUBSTITUTE(SUBSTITUTE(_xlfn.CONCAT(D195," .",F195," .",H195," .",J195," .",N195," .",P195," .",R195," .",T195,". .Localização: bloco"," .",V195)," ."," ")," .","")</f>
        <v>Piso 0.10m. Localização: bloco A</v>
      </c>
    </row>
    <row r="196" spans="1:25" ht="8.25" customHeight="1" x14ac:dyDescent="0.25">
      <c r="A196" s="13">
        <v>195</v>
      </c>
      <c r="B196" s="3" t="s">
        <v>166</v>
      </c>
      <c r="C196" s="12" t="s">
        <v>90</v>
      </c>
      <c r="D196" s="3" t="s">
        <v>166</v>
      </c>
      <c r="E196" s="12" t="s">
        <v>248</v>
      </c>
      <c r="F196" s="2" t="s">
        <v>528</v>
      </c>
      <c r="G196" s="12" t="s">
        <v>249</v>
      </c>
      <c r="H196" s="2" t="s">
        <v>2</v>
      </c>
      <c r="I196" s="12" t="s">
        <v>0</v>
      </c>
      <c r="J196" s="2" t="s">
        <v>2</v>
      </c>
      <c r="K196" s="12" t="s">
        <v>505</v>
      </c>
      <c r="L196" s="2" t="s">
        <v>2</v>
      </c>
      <c r="M196" s="12" t="s">
        <v>2</v>
      </c>
      <c r="N196" s="14" t="s">
        <v>2</v>
      </c>
      <c r="O196" s="12" t="s">
        <v>2</v>
      </c>
      <c r="P196" s="14" t="s">
        <v>2</v>
      </c>
      <c r="Q196" s="12" t="s">
        <v>2</v>
      </c>
      <c r="R196" s="14" t="s">
        <v>2</v>
      </c>
      <c r="S196" s="12" t="s">
        <v>2</v>
      </c>
      <c r="T196" s="14" t="s">
        <v>2</v>
      </c>
      <c r="U196" s="12" t="s">
        <v>314</v>
      </c>
      <c r="V196" s="4" t="s">
        <v>0</v>
      </c>
      <c r="W196" s="3" t="str">
        <f t="shared" si="9"/>
        <v>PIS-L0.10m</v>
      </c>
      <c r="X196" s="3" t="str">
        <f t="shared" si="10"/>
        <v>PIS-L0.10m-195</v>
      </c>
      <c r="Y196" s="3" t="str">
        <f t="shared" si="11"/>
        <v>Piso 0.10m. Localização: bloco A</v>
      </c>
    </row>
    <row r="197" spans="1:25" ht="8.25" customHeight="1" x14ac:dyDescent="0.25">
      <c r="A197" s="13">
        <v>196</v>
      </c>
      <c r="B197" s="3" t="s">
        <v>166</v>
      </c>
      <c r="C197" s="12" t="s">
        <v>90</v>
      </c>
      <c r="D197" s="3" t="s">
        <v>166</v>
      </c>
      <c r="E197" s="12" t="s">
        <v>248</v>
      </c>
      <c r="F197" s="2" t="s">
        <v>528</v>
      </c>
      <c r="G197" s="12" t="s">
        <v>249</v>
      </c>
      <c r="H197" s="2" t="s">
        <v>2</v>
      </c>
      <c r="I197" s="12" t="s">
        <v>0</v>
      </c>
      <c r="J197" s="2" t="s">
        <v>2</v>
      </c>
      <c r="K197" s="12" t="s">
        <v>505</v>
      </c>
      <c r="L197" s="2" t="s">
        <v>2</v>
      </c>
      <c r="M197" s="12" t="s">
        <v>2</v>
      </c>
      <c r="N197" s="14" t="s">
        <v>2</v>
      </c>
      <c r="O197" s="12" t="s">
        <v>2</v>
      </c>
      <c r="P197" s="14" t="s">
        <v>2</v>
      </c>
      <c r="Q197" s="12" t="s">
        <v>2</v>
      </c>
      <c r="R197" s="14" t="s">
        <v>2</v>
      </c>
      <c r="S197" s="12" t="s">
        <v>2</v>
      </c>
      <c r="T197" s="14" t="s">
        <v>2</v>
      </c>
      <c r="U197" s="12" t="s">
        <v>314</v>
      </c>
      <c r="V197" s="4" t="s">
        <v>0</v>
      </c>
      <c r="W197" s="3" t="str">
        <f t="shared" si="9"/>
        <v>PIS-L0.10m</v>
      </c>
      <c r="X197" s="3" t="str">
        <f t="shared" si="10"/>
        <v>PIS-L0.10m-196</v>
      </c>
      <c r="Y197" s="3" t="str">
        <f t="shared" si="11"/>
        <v>Piso 0.10m. Localização: bloco A</v>
      </c>
    </row>
    <row r="198" spans="1:25" ht="8.25" customHeight="1" x14ac:dyDescent="0.25">
      <c r="A198" s="13">
        <v>197</v>
      </c>
      <c r="B198" s="3" t="s">
        <v>166</v>
      </c>
      <c r="C198" s="12" t="s">
        <v>90</v>
      </c>
      <c r="D198" s="3" t="s">
        <v>166</v>
      </c>
      <c r="E198" s="12" t="s">
        <v>248</v>
      </c>
      <c r="F198" s="2" t="s">
        <v>528</v>
      </c>
      <c r="G198" s="12" t="s">
        <v>249</v>
      </c>
      <c r="H198" s="2" t="s">
        <v>2</v>
      </c>
      <c r="I198" s="12" t="s">
        <v>0</v>
      </c>
      <c r="J198" s="2" t="s">
        <v>2</v>
      </c>
      <c r="K198" s="12" t="s">
        <v>505</v>
      </c>
      <c r="L198" s="2" t="s">
        <v>2</v>
      </c>
      <c r="M198" s="12" t="s">
        <v>2</v>
      </c>
      <c r="N198" s="14" t="s">
        <v>2</v>
      </c>
      <c r="O198" s="12" t="s">
        <v>2</v>
      </c>
      <c r="P198" s="14" t="s">
        <v>2</v>
      </c>
      <c r="Q198" s="12" t="s">
        <v>2</v>
      </c>
      <c r="R198" s="14" t="s">
        <v>2</v>
      </c>
      <c r="S198" s="12" t="s">
        <v>2</v>
      </c>
      <c r="T198" s="14" t="s">
        <v>2</v>
      </c>
      <c r="U198" s="12" t="s">
        <v>314</v>
      </c>
      <c r="V198" s="4" t="s">
        <v>0</v>
      </c>
      <c r="W198" s="3" t="str">
        <f t="shared" si="9"/>
        <v>PIS-L0.10m</v>
      </c>
      <c r="X198" s="3" t="str">
        <f t="shared" si="10"/>
        <v>PIS-L0.10m-197</v>
      </c>
      <c r="Y198" s="3" t="str">
        <f t="shared" si="11"/>
        <v>Piso 0.10m. Localização: bloco A</v>
      </c>
    </row>
    <row r="199" spans="1:25" ht="8.25" customHeight="1" x14ac:dyDescent="0.25">
      <c r="A199" s="13">
        <v>198</v>
      </c>
      <c r="B199" s="3" t="s">
        <v>166</v>
      </c>
      <c r="C199" s="12" t="s">
        <v>90</v>
      </c>
      <c r="D199" s="3" t="s">
        <v>166</v>
      </c>
      <c r="E199" s="12" t="s">
        <v>248</v>
      </c>
      <c r="F199" s="2" t="s">
        <v>528</v>
      </c>
      <c r="G199" s="12" t="s">
        <v>249</v>
      </c>
      <c r="H199" s="2" t="s">
        <v>2</v>
      </c>
      <c r="I199" s="12" t="s">
        <v>0</v>
      </c>
      <c r="J199" s="2" t="s">
        <v>2</v>
      </c>
      <c r="K199" s="12" t="s">
        <v>505</v>
      </c>
      <c r="L199" s="2" t="s">
        <v>2</v>
      </c>
      <c r="M199" s="12" t="s">
        <v>2</v>
      </c>
      <c r="N199" s="14" t="s">
        <v>2</v>
      </c>
      <c r="O199" s="12" t="s">
        <v>2</v>
      </c>
      <c r="P199" s="14" t="s">
        <v>2</v>
      </c>
      <c r="Q199" s="12" t="s">
        <v>2</v>
      </c>
      <c r="R199" s="14" t="s">
        <v>2</v>
      </c>
      <c r="S199" s="12" t="s">
        <v>2</v>
      </c>
      <c r="T199" s="14" t="s">
        <v>2</v>
      </c>
      <c r="U199" s="12" t="s">
        <v>314</v>
      </c>
      <c r="V199" s="4" t="s">
        <v>0</v>
      </c>
      <c r="W199" s="3" t="str">
        <f t="shared" si="9"/>
        <v>PIS-L0.10m</v>
      </c>
      <c r="X199" s="3" t="str">
        <f t="shared" si="10"/>
        <v>PIS-L0.10m-198</v>
      </c>
      <c r="Y199" s="3" t="str">
        <f t="shared" si="11"/>
        <v>Piso 0.10m. Localização: bloco A</v>
      </c>
    </row>
    <row r="200" spans="1:25" ht="8.25" customHeight="1" x14ac:dyDescent="0.25">
      <c r="A200" s="13">
        <v>199</v>
      </c>
      <c r="B200" s="3" t="s">
        <v>166</v>
      </c>
      <c r="C200" s="12" t="s">
        <v>90</v>
      </c>
      <c r="D200" s="3" t="s">
        <v>166</v>
      </c>
      <c r="E200" s="12" t="s">
        <v>248</v>
      </c>
      <c r="F200" s="2" t="s">
        <v>528</v>
      </c>
      <c r="G200" s="12" t="s">
        <v>249</v>
      </c>
      <c r="H200" s="2" t="s">
        <v>2</v>
      </c>
      <c r="I200" s="12" t="s">
        <v>0</v>
      </c>
      <c r="J200" s="2" t="s">
        <v>2</v>
      </c>
      <c r="K200" s="12" t="s">
        <v>505</v>
      </c>
      <c r="L200" s="2" t="s">
        <v>2</v>
      </c>
      <c r="M200" s="12" t="s">
        <v>2</v>
      </c>
      <c r="N200" s="14" t="s">
        <v>2</v>
      </c>
      <c r="O200" s="12" t="s">
        <v>2</v>
      </c>
      <c r="P200" s="14" t="s">
        <v>2</v>
      </c>
      <c r="Q200" s="12" t="s">
        <v>2</v>
      </c>
      <c r="R200" s="14" t="s">
        <v>2</v>
      </c>
      <c r="S200" s="12" t="s">
        <v>2</v>
      </c>
      <c r="T200" s="14" t="s">
        <v>2</v>
      </c>
      <c r="U200" s="12" t="s">
        <v>314</v>
      </c>
      <c r="V200" s="4" t="s">
        <v>0</v>
      </c>
      <c r="W200" s="3" t="str">
        <f t="shared" si="9"/>
        <v>PIS-L0.10m</v>
      </c>
      <c r="X200" s="3" t="str">
        <f t="shared" si="10"/>
        <v>PIS-L0.10m-199</v>
      </c>
      <c r="Y200" s="3" t="str">
        <f t="shared" si="11"/>
        <v>Piso 0.10m. Localização: bloco A</v>
      </c>
    </row>
    <row r="201" spans="1:25" ht="8.25" customHeight="1" x14ac:dyDescent="0.25">
      <c r="A201" s="13">
        <v>200</v>
      </c>
      <c r="B201" s="3" t="s">
        <v>453</v>
      </c>
      <c r="C201" s="12" t="s">
        <v>111</v>
      </c>
      <c r="D201" s="3" t="s">
        <v>240</v>
      </c>
      <c r="E201" s="12" t="s">
        <v>248</v>
      </c>
      <c r="F201" s="2" t="s">
        <v>530</v>
      </c>
      <c r="G201" s="12" t="s">
        <v>249</v>
      </c>
      <c r="H201" s="2" t="s">
        <v>506</v>
      </c>
      <c r="I201" s="12" t="s">
        <v>0</v>
      </c>
      <c r="J201" s="2" t="s">
        <v>553</v>
      </c>
      <c r="K201" s="12" t="s">
        <v>505</v>
      </c>
      <c r="L201" s="2" t="s">
        <v>2</v>
      </c>
      <c r="M201" s="12" t="s">
        <v>307</v>
      </c>
      <c r="N201" s="14" t="s">
        <v>243</v>
      </c>
      <c r="O201" s="12" t="s">
        <v>2</v>
      </c>
      <c r="P201" s="14" t="s">
        <v>2</v>
      </c>
      <c r="Q201" s="12" t="s">
        <v>2</v>
      </c>
      <c r="R201" s="14" t="s">
        <v>2</v>
      </c>
      <c r="S201" s="12" t="s">
        <v>2</v>
      </c>
      <c r="T201" s="14" t="s">
        <v>2</v>
      </c>
      <c r="U201" s="12" t="s">
        <v>314</v>
      </c>
      <c r="V201" s="4" t="s">
        <v>0</v>
      </c>
      <c r="W201" s="3" t="str">
        <f t="shared" si="9"/>
        <v>MES-L0.50m-P1.20m-A0.72m-TRB</v>
      </c>
      <c r="X201" s="3" t="str">
        <f t="shared" si="10"/>
        <v>MES-L0.50m-P1.20m-A0.72m-TRB-200</v>
      </c>
      <c r="Y201" s="3" t="str">
        <f t="shared" si="11"/>
        <v>Mesa 0.50m 1.20m 0.72m de trabalho. Localização: bloco A</v>
      </c>
    </row>
    <row r="202" spans="1:25" ht="8.25" customHeight="1" x14ac:dyDescent="0.25">
      <c r="A202" s="13">
        <v>201</v>
      </c>
      <c r="B202" s="3" t="s">
        <v>453</v>
      </c>
      <c r="C202" s="12" t="s">
        <v>111</v>
      </c>
      <c r="D202" s="3" t="s">
        <v>240</v>
      </c>
      <c r="E202" s="12" t="s">
        <v>248</v>
      </c>
      <c r="F202" s="2" t="s">
        <v>524</v>
      </c>
      <c r="G202" s="12" t="s">
        <v>249</v>
      </c>
      <c r="H202" s="2" t="s">
        <v>506</v>
      </c>
      <c r="I202" s="12" t="s">
        <v>0</v>
      </c>
      <c r="J202" s="2" t="s">
        <v>553</v>
      </c>
      <c r="K202" s="12" t="s">
        <v>505</v>
      </c>
      <c r="L202" s="2" t="s">
        <v>2</v>
      </c>
      <c r="M202" s="12" t="s">
        <v>288</v>
      </c>
      <c r="N202" s="14" t="s">
        <v>287</v>
      </c>
      <c r="O202" s="12" t="s">
        <v>2</v>
      </c>
      <c r="P202" s="14" t="s">
        <v>2</v>
      </c>
      <c r="Q202" s="12" t="s">
        <v>2</v>
      </c>
      <c r="R202" s="14" t="s">
        <v>2</v>
      </c>
      <c r="S202" s="12" t="s">
        <v>2</v>
      </c>
      <c r="T202" s="14" t="s">
        <v>2</v>
      </c>
      <c r="U202" s="12" t="s">
        <v>314</v>
      </c>
      <c r="V202" s="4" t="s">
        <v>0</v>
      </c>
      <c r="W202" s="3" t="str">
        <f t="shared" si="9"/>
        <v>MES-L0.60m-P1.20m-A0.72m-REF</v>
      </c>
      <c r="X202" s="3" t="str">
        <f t="shared" si="10"/>
        <v>MES-L0.60m-P1.20m-A0.72m-REF-201</v>
      </c>
      <c r="Y202" s="3" t="str">
        <f t="shared" si="11"/>
        <v>Mesa 0.60m 1.20m 0.72m de refeição. Localização: bloco A</v>
      </c>
    </row>
    <row r="203" spans="1:25" ht="8.25" customHeight="1" x14ac:dyDescent="0.25">
      <c r="A203" s="13">
        <v>202</v>
      </c>
      <c r="B203" s="3" t="s">
        <v>453</v>
      </c>
      <c r="C203" s="12" t="s">
        <v>111</v>
      </c>
      <c r="D203" s="3" t="s">
        <v>240</v>
      </c>
      <c r="E203" s="12" t="s">
        <v>248</v>
      </c>
      <c r="F203" s="2" t="s">
        <v>524</v>
      </c>
      <c r="G203" s="12" t="s">
        <v>249</v>
      </c>
      <c r="H203" s="2" t="s">
        <v>506</v>
      </c>
      <c r="I203" s="12" t="s">
        <v>0</v>
      </c>
      <c r="J203" s="2" t="s">
        <v>553</v>
      </c>
      <c r="K203" s="12" t="s">
        <v>505</v>
      </c>
      <c r="L203" s="2" t="s">
        <v>2</v>
      </c>
      <c r="M203" s="12" t="s">
        <v>245</v>
      </c>
      <c r="N203" s="14" t="s">
        <v>244</v>
      </c>
      <c r="O203" s="12" t="s">
        <v>2</v>
      </c>
      <c r="P203" s="14" t="s">
        <v>2</v>
      </c>
      <c r="Q203" s="12" t="s">
        <v>2</v>
      </c>
      <c r="R203" s="14" t="s">
        <v>2</v>
      </c>
      <c r="S203" s="12" t="s">
        <v>2</v>
      </c>
      <c r="T203" s="14" t="s">
        <v>2</v>
      </c>
      <c r="U203" s="12" t="s">
        <v>314</v>
      </c>
      <c r="V203" s="4" t="s">
        <v>0</v>
      </c>
      <c r="W203" s="3" t="str">
        <f t="shared" si="9"/>
        <v>MES-L0.60m-P1.20m-A0.72m-AUD</v>
      </c>
      <c r="X203" s="3" t="str">
        <f t="shared" si="10"/>
        <v>MES-L0.60m-P1.20m-A0.72m-AUD-202</v>
      </c>
      <c r="Y203" s="3" t="str">
        <f t="shared" si="11"/>
        <v>Mesa 0.60m 1.20m 0.72m de auditório. Localização: bloco A</v>
      </c>
    </row>
    <row r="204" spans="1:25" ht="8.25" customHeight="1" x14ac:dyDescent="0.25">
      <c r="A204" s="13">
        <v>203</v>
      </c>
      <c r="B204" s="3" t="s">
        <v>453</v>
      </c>
      <c r="C204" s="12" t="s">
        <v>242</v>
      </c>
      <c r="D204" s="3" t="s">
        <v>241</v>
      </c>
      <c r="E204" s="12" t="s">
        <v>248</v>
      </c>
      <c r="F204" s="2" t="s">
        <v>2</v>
      </c>
      <c r="G204" s="12" t="s">
        <v>249</v>
      </c>
      <c r="H204" s="2" t="s">
        <v>2</v>
      </c>
      <c r="I204" s="12" t="s">
        <v>0</v>
      </c>
      <c r="J204" s="2" t="s">
        <v>2</v>
      </c>
      <c r="K204" s="12" t="s">
        <v>505</v>
      </c>
      <c r="L204" s="2" t="s">
        <v>2</v>
      </c>
      <c r="M204" s="12" t="s">
        <v>307</v>
      </c>
      <c r="N204" s="14" t="s">
        <v>243</v>
      </c>
      <c r="O204" s="12" t="s">
        <v>2</v>
      </c>
      <c r="P204" s="14" t="s">
        <v>2</v>
      </c>
      <c r="Q204" s="12" t="s">
        <v>2</v>
      </c>
      <c r="R204" s="14" t="s">
        <v>2</v>
      </c>
      <c r="S204" s="12" t="s">
        <v>2</v>
      </c>
      <c r="T204" s="14" t="s">
        <v>2</v>
      </c>
      <c r="U204" s="12" t="s">
        <v>314</v>
      </c>
      <c r="V204" s="4" t="s">
        <v>0</v>
      </c>
      <c r="W204" s="3" t="str">
        <f t="shared" si="9"/>
        <v>CAD-TRB</v>
      </c>
      <c r="X204" s="3" t="str">
        <f t="shared" si="10"/>
        <v>CAD-TRB-203</v>
      </c>
      <c r="Y204" s="3" t="str">
        <f t="shared" si="11"/>
        <v>Cadeira de trabalho. Localização: bloco A</v>
      </c>
    </row>
    <row r="205" spans="1:25" ht="8.25" customHeight="1" x14ac:dyDescent="0.25">
      <c r="A205" s="13">
        <v>204</v>
      </c>
      <c r="B205" s="3" t="s">
        <v>453</v>
      </c>
      <c r="C205" s="12" t="s">
        <v>242</v>
      </c>
      <c r="D205" s="3" t="s">
        <v>241</v>
      </c>
      <c r="E205" s="12" t="s">
        <v>248</v>
      </c>
      <c r="F205" s="2" t="s">
        <v>2</v>
      </c>
      <c r="G205" s="12" t="s">
        <v>249</v>
      </c>
      <c r="H205" s="2" t="s">
        <v>2</v>
      </c>
      <c r="I205" s="12" t="s">
        <v>0</v>
      </c>
      <c r="J205" s="2" t="s">
        <v>2</v>
      </c>
      <c r="K205" s="12" t="s">
        <v>505</v>
      </c>
      <c r="L205" s="2" t="s">
        <v>2</v>
      </c>
      <c r="M205" s="12" t="s">
        <v>247</v>
      </c>
      <c r="N205" s="14" t="s">
        <v>246</v>
      </c>
      <c r="O205" s="12" t="s">
        <v>2</v>
      </c>
      <c r="P205" s="14" t="s">
        <v>2</v>
      </c>
      <c r="Q205" s="12" t="s">
        <v>2</v>
      </c>
      <c r="R205" s="14" t="s">
        <v>2</v>
      </c>
      <c r="S205" s="12" t="s">
        <v>2</v>
      </c>
      <c r="T205" s="14" t="s">
        <v>2</v>
      </c>
      <c r="U205" s="12" t="s">
        <v>314</v>
      </c>
      <c r="V205" s="4" t="s">
        <v>0</v>
      </c>
      <c r="W205" s="3" t="str">
        <f t="shared" si="9"/>
        <v>CAD-ESP</v>
      </c>
      <c r="X205" s="3" t="str">
        <f t="shared" si="10"/>
        <v>CAD-ESP-204</v>
      </c>
      <c r="Y205" s="3" t="str">
        <f t="shared" si="11"/>
        <v>Cadeira de espera. Localização: bloco A</v>
      </c>
    </row>
    <row r="206" spans="1:25" ht="8.25" customHeight="1" x14ac:dyDescent="0.25">
      <c r="A206" s="13">
        <v>205</v>
      </c>
      <c r="B206" s="3" t="s">
        <v>453</v>
      </c>
      <c r="C206" s="12" t="s">
        <v>242</v>
      </c>
      <c r="D206" s="3" t="s">
        <v>241</v>
      </c>
      <c r="E206" s="12" t="s">
        <v>248</v>
      </c>
      <c r="F206" s="2" t="s">
        <v>2</v>
      </c>
      <c r="G206" s="12" t="s">
        <v>249</v>
      </c>
      <c r="H206" s="2" t="s">
        <v>2</v>
      </c>
      <c r="I206" s="12" t="s">
        <v>0</v>
      </c>
      <c r="J206" s="2" t="s">
        <v>2</v>
      </c>
      <c r="K206" s="12" t="s">
        <v>505</v>
      </c>
      <c r="L206" s="2" t="s">
        <v>2</v>
      </c>
      <c r="M206" s="12" t="s">
        <v>288</v>
      </c>
      <c r="N206" s="14" t="s">
        <v>287</v>
      </c>
      <c r="O206" s="12" t="s">
        <v>2</v>
      </c>
      <c r="P206" s="14" t="s">
        <v>2</v>
      </c>
      <c r="Q206" s="12" t="s">
        <v>2</v>
      </c>
      <c r="R206" s="14" t="s">
        <v>2</v>
      </c>
      <c r="S206" s="12" t="s">
        <v>2</v>
      </c>
      <c r="T206" s="14" t="s">
        <v>2</v>
      </c>
      <c r="U206" s="12" t="s">
        <v>314</v>
      </c>
      <c r="V206" s="4" t="s">
        <v>0</v>
      </c>
      <c r="W206" s="3" t="str">
        <f t="shared" si="9"/>
        <v>CAD-REF</v>
      </c>
      <c r="X206" s="3" t="str">
        <f t="shared" si="10"/>
        <v>CAD-REF-205</v>
      </c>
      <c r="Y206" s="3" t="str">
        <f t="shared" si="11"/>
        <v>Cadeira de refeição. Localização: bloco A</v>
      </c>
    </row>
    <row r="207" spans="1:25" ht="8.25" customHeight="1" x14ac:dyDescent="0.25">
      <c r="A207" s="13">
        <v>206</v>
      </c>
      <c r="B207" s="3" t="s">
        <v>453</v>
      </c>
      <c r="C207" s="12" t="s">
        <v>242</v>
      </c>
      <c r="D207" s="3" t="s">
        <v>241</v>
      </c>
      <c r="E207" s="12" t="s">
        <v>248</v>
      </c>
      <c r="F207" s="2" t="s">
        <v>2</v>
      </c>
      <c r="G207" s="12" t="s">
        <v>249</v>
      </c>
      <c r="H207" s="2" t="s">
        <v>2</v>
      </c>
      <c r="I207" s="12" t="s">
        <v>0</v>
      </c>
      <c r="J207" s="2" t="s">
        <v>2</v>
      </c>
      <c r="K207" s="12" t="s">
        <v>505</v>
      </c>
      <c r="L207" s="2" t="s">
        <v>2</v>
      </c>
      <c r="M207" s="12" t="s">
        <v>245</v>
      </c>
      <c r="N207" s="14" t="s">
        <v>244</v>
      </c>
      <c r="O207" s="12" t="s">
        <v>2</v>
      </c>
      <c r="P207" s="14" t="s">
        <v>2</v>
      </c>
      <c r="Q207" s="12" t="s">
        <v>2</v>
      </c>
      <c r="R207" s="14" t="s">
        <v>2</v>
      </c>
      <c r="S207" s="12" t="s">
        <v>2</v>
      </c>
      <c r="T207" s="14" t="s">
        <v>2</v>
      </c>
      <c r="U207" s="12" t="s">
        <v>314</v>
      </c>
      <c r="V207" s="4" t="s">
        <v>0</v>
      </c>
      <c r="W207" s="3" t="str">
        <f t="shared" si="9"/>
        <v>CAD-AUD</v>
      </c>
      <c r="X207" s="3" t="str">
        <f t="shared" si="10"/>
        <v>CAD-AUD-206</v>
      </c>
      <c r="Y207" s="3" t="str">
        <f t="shared" si="11"/>
        <v>Cadeira de auditório. Localização: bloco A</v>
      </c>
    </row>
    <row r="208" spans="1:25" ht="8.25" customHeight="1" x14ac:dyDescent="0.25">
      <c r="A208" s="13">
        <v>207</v>
      </c>
      <c r="B208" s="3" t="s">
        <v>302</v>
      </c>
      <c r="C208" s="12" t="s">
        <v>303</v>
      </c>
      <c r="D208" s="3" t="s">
        <v>302</v>
      </c>
      <c r="E208" s="12" t="s">
        <v>248</v>
      </c>
      <c r="F208" s="2" t="s">
        <v>531</v>
      </c>
      <c r="G208" s="12" t="s">
        <v>249</v>
      </c>
      <c r="H208" s="2" t="s">
        <v>531</v>
      </c>
      <c r="I208" s="12" t="s">
        <v>0</v>
      </c>
      <c r="J208" s="2" t="s">
        <v>2</v>
      </c>
      <c r="K208" s="12" t="s">
        <v>505</v>
      </c>
      <c r="L208" s="2" t="s">
        <v>2</v>
      </c>
      <c r="M208" s="12" t="s">
        <v>314</v>
      </c>
      <c r="N208" s="14" t="s">
        <v>470</v>
      </c>
      <c r="O208" s="12" t="s">
        <v>92</v>
      </c>
      <c r="P208" s="14" t="s">
        <v>311</v>
      </c>
      <c r="Q208" s="12" t="s">
        <v>322</v>
      </c>
      <c r="R208" s="14" t="s">
        <v>321</v>
      </c>
      <c r="S208" s="12" t="s">
        <v>2</v>
      </c>
      <c r="T208" s="14" t="s">
        <v>2</v>
      </c>
      <c r="U208" s="12" t="s">
        <v>314</v>
      </c>
      <c r="V208" s="4" t="s">
        <v>0</v>
      </c>
      <c r="W208" s="3" t="str">
        <f t="shared" si="9"/>
        <v>PIL-L0.15m-P0.15m-BLC-CON-RET</v>
      </c>
      <c r="X208" s="3" t="str">
        <f t="shared" si="10"/>
        <v>PIL-L0.15m-P0.15m-BLC-CON-RET-207</v>
      </c>
      <c r="Y208" s="3" t="str">
        <f t="shared" si="11"/>
        <v>Pilar 0.15m 0.15m em bloco do CT concreto retangular. Localização: bloco A</v>
      </c>
    </row>
    <row r="209" spans="1:25" ht="8.25" customHeight="1" x14ac:dyDescent="0.25">
      <c r="A209" s="13">
        <v>208</v>
      </c>
      <c r="B209" s="3" t="s">
        <v>302</v>
      </c>
      <c r="C209" s="12" t="s">
        <v>303</v>
      </c>
      <c r="D209" s="3" t="s">
        <v>302</v>
      </c>
      <c r="E209" s="12" t="s">
        <v>248</v>
      </c>
      <c r="F209" s="2" t="s">
        <v>532</v>
      </c>
      <c r="G209" s="12" t="s">
        <v>249</v>
      </c>
      <c r="H209" s="2" t="s">
        <v>533</v>
      </c>
      <c r="I209" s="12" t="s">
        <v>0</v>
      </c>
      <c r="J209" s="2" t="s">
        <v>2</v>
      </c>
      <c r="K209" s="12" t="s">
        <v>505</v>
      </c>
      <c r="L209" s="2" t="s">
        <v>2</v>
      </c>
      <c r="M209" s="12" t="s">
        <v>314</v>
      </c>
      <c r="N209" s="14" t="s">
        <v>470</v>
      </c>
      <c r="O209" s="12" t="s">
        <v>92</v>
      </c>
      <c r="P209" s="14" t="s">
        <v>311</v>
      </c>
      <c r="Q209" s="12" t="s">
        <v>322</v>
      </c>
      <c r="R209" s="14" t="s">
        <v>321</v>
      </c>
      <c r="S209" s="12" t="s">
        <v>2</v>
      </c>
      <c r="T209" s="14" t="s">
        <v>2</v>
      </c>
      <c r="U209" s="12" t="s">
        <v>314</v>
      </c>
      <c r="V209" s="4" t="s">
        <v>0</v>
      </c>
      <c r="W209" s="3" t="str">
        <f t="shared" si="9"/>
        <v>PIL-L0.25m-P0.30m-BLC-CON-RET</v>
      </c>
      <c r="X209" s="3" t="str">
        <f t="shared" si="10"/>
        <v>PIL-L0.25m-P0.30m-BLC-CON-RET-208</v>
      </c>
      <c r="Y209" s="3" t="str">
        <f t="shared" si="11"/>
        <v>Pilar 0.25m 0.30m em bloco do CT concreto retangular. Localização: bloco A</v>
      </c>
    </row>
    <row r="210" spans="1:25" ht="8.25" customHeight="1" x14ac:dyDescent="0.25">
      <c r="A210" s="13">
        <v>209</v>
      </c>
      <c r="B210" s="3" t="s">
        <v>302</v>
      </c>
      <c r="C210" s="12" t="s">
        <v>303</v>
      </c>
      <c r="D210" s="3" t="s">
        <v>302</v>
      </c>
      <c r="E210" s="12" t="s">
        <v>248</v>
      </c>
      <c r="F210" s="2" t="s">
        <v>532</v>
      </c>
      <c r="G210" s="12" t="s">
        <v>249</v>
      </c>
      <c r="H210" s="2" t="s">
        <v>547</v>
      </c>
      <c r="I210" s="12" t="s">
        <v>0</v>
      </c>
      <c r="J210" s="2" t="s">
        <v>2</v>
      </c>
      <c r="K210" s="12" t="s">
        <v>505</v>
      </c>
      <c r="L210" s="2" t="s">
        <v>2</v>
      </c>
      <c r="M210" s="12" t="s">
        <v>314</v>
      </c>
      <c r="N210" s="14" t="s">
        <v>470</v>
      </c>
      <c r="O210" s="12" t="s">
        <v>92</v>
      </c>
      <c r="P210" s="14" t="s">
        <v>311</v>
      </c>
      <c r="Q210" s="12" t="s">
        <v>322</v>
      </c>
      <c r="R210" s="14" t="s">
        <v>321</v>
      </c>
      <c r="S210" s="12" t="s">
        <v>2</v>
      </c>
      <c r="T210" s="14" t="s">
        <v>2</v>
      </c>
      <c r="U210" s="12" t="s">
        <v>314</v>
      </c>
      <c r="V210" s="4" t="s">
        <v>0</v>
      </c>
      <c r="W210" s="3" t="str">
        <f t="shared" si="9"/>
        <v>PIL-L0.25m-P0.85m-BLC-CON-RET</v>
      </c>
      <c r="X210" s="3" t="str">
        <f t="shared" si="10"/>
        <v>PIL-L0.25m-P0.85m-BLC-CON-RET-209</v>
      </c>
      <c r="Y210" s="3" t="str">
        <f t="shared" si="11"/>
        <v>Pilar 0.25m 0.85m em bloco do CT concreto retangular. Localização: bloco A</v>
      </c>
    </row>
    <row r="211" spans="1:25" ht="8.25" customHeight="1" x14ac:dyDescent="0.25">
      <c r="A211" s="13">
        <v>210</v>
      </c>
      <c r="B211" s="3" t="s">
        <v>302</v>
      </c>
      <c r="C211" s="12" t="s">
        <v>303</v>
      </c>
      <c r="D211" s="3" t="s">
        <v>302</v>
      </c>
      <c r="E211" s="12" t="s">
        <v>248</v>
      </c>
      <c r="F211" s="2" t="s">
        <v>533</v>
      </c>
      <c r="G211" s="12" t="s">
        <v>249</v>
      </c>
      <c r="H211" s="2" t="s">
        <v>525</v>
      </c>
      <c r="I211" s="12" t="s">
        <v>0</v>
      </c>
      <c r="J211" s="2" t="s">
        <v>2</v>
      </c>
      <c r="K211" s="12" t="s">
        <v>505</v>
      </c>
      <c r="L211" s="2" t="s">
        <v>2</v>
      </c>
      <c r="M211" s="12" t="s">
        <v>314</v>
      </c>
      <c r="N211" s="14" t="s">
        <v>470</v>
      </c>
      <c r="O211" s="12" t="s">
        <v>92</v>
      </c>
      <c r="P211" s="14" t="s">
        <v>311</v>
      </c>
      <c r="Q211" s="12" t="s">
        <v>322</v>
      </c>
      <c r="R211" s="14" t="s">
        <v>321</v>
      </c>
      <c r="S211" s="12" t="s">
        <v>2</v>
      </c>
      <c r="T211" s="14" t="s">
        <v>2</v>
      </c>
      <c r="U211" s="12" t="s">
        <v>314</v>
      </c>
      <c r="V211" s="4" t="s">
        <v>0</v>
      </c>
      <c r="W211" s="3" t="str">
        <f t="shared" si="9"/>
        <v>PIL-L0.30m-P0.70m-BLC-CON-RET</v>
      </c>
      <c r="X211" s="3" t="str">
        <f t="shared" si="10"/>
        <v>PIL-L0.30m-P0.70m-BLC-CON-RET-210</v>
      </c>
      <c r="Y211" s="3" t="str">
        <f t="shared" si="11"/>
        <v>Pilar 0.30m 0.70m em bloco do CT concreto retangular. Localização: bloco A</v>
      </c>
    </row>
    <row r="212" spans="1:25" ht="8.25" customHeight="1" x14ac:dyDescent="0.25">
      <c r="A212" s="13">
        <v>211</v>
      </c>
      <c r="B212" s="3" t="s">
        <v>302</v>
      </c>
      <c r="C212" s="12" t="s">
        <v>303</v>
      </c>
      <c r="D212" s="3" t="s">
        <v>302</v>
      </c>
      <c r="E212" s="12" t="s">
        <v>248</v>
      </c>
      <c r="F212" s="2" t="s">
        <v>533</v>
      </c>
      <c r="G212" s="12" t="s">
        <v>249</v>
      </c>
      <c r="H212" s="2" t="s">
        <v>507</v>
      </c>
      <c r="I212" s="12" t="s">
        <v>0</v>
      </c>
      <c r="J212" s="2" t="s">
        <v>2</v>
      </c>
      <c r="K212" s="12" t="s">
        <v>505</v>
      </c>
      <c r="L212" s="2" t="s">
        <v>2</v>
      </c>
      <c r="M212" s="12" t="s">
        <v>314</v>
      </c>
      <c r="N212" s="14" t="s">
        <v>470</v>
      </c>
      <c r="O212" s="12" t="s">
        <v>92</v>
      </c>
      <c r="P212" s="14" t="s">
        <v>311</v>
      </c>
      <c r="Q212" s="12" t="s">
        <v>322</v>
      </c>
      <c r="R212" s="14" t="s">
        <v>321</v>
      </c>
      <c r="S212" s="12" t="s">
        <v>2</v>
      </c>
      <c r="T212" s="14" t="s">
        <v>2</v>
      </c>
      <c r="U212" s="12" t="s">
        <v>314</v>
      </c>
      <c r="V212" s="4" t="s">
        <v>0</v>
      </c>
      <c r="W212" s="3" t="str">
        <f t="shared" si="9"/>
        <v>PIL-L0.30m-P1.00m-BLC-CON-RET</v>
      </c>
      <c r="X212" s="3" t="str">
        <f t="shared" si="10"/>
        <v>PIL-L0.30m-P1.00m-BLC-CON-RET-211</v>
      </c>
      <c r="Y212" s="3" t="str">
        <f t="shared" si="11"/>
        <v>Pilar 0.30m 1.00m em bloco do CT concreto retangular. Localização: bloco A</v>
      </c>
    </row>
    <row r="213" spans="1:25" ht="8.25" customHeight="1" x14ac:dyDescent="0.25">
      <c r="A213" s="13">
        <v>212</v>
      </c>
      <c r="B213" s="3" t="s">
        <v>302</v>
      </c>
      <c r="C213" s="12" t="s">
        <v>303</v>
      </c>
      <c r="D213" s="3" t="s">
        <v>302</v>
      </c>
      <c r="E213" s="12" t="s">
        <v>248</v>
      </c>
      <c r="F213" s="2" t="s">
        <v>533</v>
      </c>
      <c r="G213" s="12" t="s">
        <v>249</v>
      </c>
      <c r="H213" s="2" t="s">
        <v>508</v>
      </c>
      <c r="I213" s="12" t="s">
        <v>0</v>
      </c>
      <c r="J213" s="2" t="s">
        <v>2</v>
      </c>
      <c r="K213" s="12" t="s">
        <v>505</v>
      </c>
      <c r="L213" s="2" t="s">
        <v>2</v>
      </c>
      <c r="M213" s="12" t="s">
        <v>314</v>
      </c>
      <c r="N213" s="14" t="s">
        <v>470</v>
      </c>
      <c r="O213" s="12" t="s">
        <v>92</v>
      </c>
      <c r="P213" s="14" t="s">
        <v>311</v>
      </c>
      <c r="Q213" s="12" t="s">
        <v>322</v>
      </c>
      <c r="R213" s="14" t="s">
        <v>321</v>
      </c>
      <c r="S213" s="12" t="s">
        <v>2</v>
      </c>
      <c r="T213" s="14" t="s">
        <v>2</v>
      </c>
      <c r="U213" s="12" t="s">
        <v>314</v>
      </c>
      <c r="V213" s="4" t="s">
        <v>0</v>
      </c>
      <c r="W213" s="3" t="str">
        <f t="shared" si="9"/>
        <v>PIL-L0.30m-P1.70m-BLC-CON-RET</v>
      </c>
      <c r="X213" s="3" t="str">
        <f t="shared" si="10"/>
        <v>PIL-L0.30m-P1.70m-BLC-CON-RET-212</v>
      </c>
      <c r="Y213" s="3" t="str">
        <f t="shared" si="11"/>
        <v>Pilar 0.30m 1.70m em bloco do CT concreto retangular. Localização: bloco A</v>
      </c>
    </row>
    <row r="214" spans="1:25" ht="8.25" customHeight="1" x14ac:dyDescent="0.25">
      <c r="A214" s="13">
        <v>213</v>
      </c>
      <c r="B214" s="3" t="s">
        <v>302</v>
      </c>
      <c r="C214" s="12" t="s">
        <v>303</v>
      </c>
      <c r="D214" s="3" t="s">
        <v>302</v>
      </c>
      <c r="E214" s="12" t="s">
        <v>248</v>
      </c>
      <c r="F214" s="2" t="s">
        <v>530</v>
      </c>
      <c r="G214" s="12" t="s">
        <v>249</v>
      </c>
      <c r="H214" s="2" t="s">
        <v>530</v>
      </c>
      <c r="I214" s="12" t="s">
        <v>0</v>
      </c>
      <c r="J214" s="2" t="s">
        <v>2</v>
      </c>
      <c r="K214" s="12" t="s">
        <v>505</v>
      </c>
      <c r="L214" s="2" t="s">
        <v>2</v>
      </c>
      <c r="M214" s="12" t="s">
        <v>314</v>
      </c>
      <c r="N214" s="14" t="s">
        <v>470</v>
      </c>
      <c r="O214" s="12" t="s">
        <v>92</v>
      </c>
      <c r="P214" s="14" t="s">
        <v>311</v>
      </c>
      <c r="Q214" s="12" t="s">
        <v>322</v>
      </c>
      <c r="R214" s="14" t="s">
        <v>321</v>
      </c>
      <c r="S214" s="12" t="s">
        <v>2</v>
      </c>
      <c r="T214" s="14" t="s">
        <v>2</v>
      </c>
      <c r="U214" s="12" t="s">
        <v>314</v>
      </c>
      <c r="V214" s="4" t="s">
        <v>0</v>
      </c>
      <c r="W214" s="3" t="str">
        <f t="shared" si="9"/>
        <v>PIL-L0.50m-P0.50m-BLC-CON-RET</v>
      </c>
      <c r="X214" s="3" t="str">
        <f t="shared" si="10"/>
        <v>PIL-L0.50m-P0.50m-BLC-CON-RET-213</v>
      </c>
      <c r="Y214" s="3" t="str">
        <f t="shared" si="11"/>
        <v>Pilar 0.50m 0.50m em bloco do CT concreto retangular. Localização: bloco A</v>
      </c>
    </row>
    <row r="215" spans="1:25" ht="8.25" customHeight="1" x14ac:dyDescent="0.25">
      <c r="A215" s="13">
        <v>214</v>
      </c>
      <c r="B215" s="3" t="s">
        <v>302</v>
      </c>
      <c r="C215" s="12" t="s">
        <v>303</v>
      </c>
      <c r="D215" s="3" t="s">
        <v>302</v>
      </c>
      <c r="E215" s="12" t="s">
        <v>248</v>
      </c>
      <c r="F215" s="2" t="s">
        <v>524</v>
      </c>
      <c r="G215" s="12" t="s">
        <v>249</v>
      </c>
      <c r="H215" s="2" t="s">
        <v>509</v>
      </c>
      <c r="I215" s="12" t="s">
        <v>0</v>
      </c>
      <c r="J215" s="2" t="s">
        <v>2</v>
      </c>
      <c r="K215" s="12" t="s">
        <v>505</v>
      </c>
      <c r="L215" s="2" t="s">
        <v>2</v>
      </c>
      <c r="M215" s="12" t="s">
        <v>314</v>
      </c>
      <c r="N215" s="14" t="s">
        <v>470</v>
      </c>
      <c r="O215" s="12" t="s">
        <v>92</v>
      </c>
      <c r="P215" s="14" t="s">
        <v>311</v>
      </c>
      <c r="Q215" s="12" t="s">
        <v>322</v>
      </c>
      <c r="R215" s="14" t="s">
        <v>321</v>
      </c>
      <c r="S215" s="12" t="s">
        <v>2</v>
      </c>
      <c r="T215" s="14" t="s">
        <v>2</v>
      </c>
      <c r="U215" s="12" t="s">
        <v>314</v>
      </c>
      <c r="V215" s="4" t="s">
        <v>0</v>
      </c>
      <c r="W215" s="3" t="str">
        <f t="shared" si="9"/>
        <v>PIL-L0.60m-P1.40m-BLC-CON-RET</v>
      </c>
      <c r="X215" s="3" t="str">
        <f t="shared" si="10"/>
        <v>PIL-L0.60m-P1.40m-BLC-CON-RET-214</v>
      </c>
      <c r="Y215" s="3" t="str">
        <f t="shared" si="11"/>
        <v>Pilar 0.60m 1.40m em bloco do CT concreto retangular. Localização: bloco A</v>
      </c>
    </row>
    <row r="216" spans="1:25" ht="8.25" customHeight="1" x14ac:dyDescent="0.25">
      <c r="A216" s="13">
        <v>215</v>
      </c>
      <c r="B216" s="3" t="s">
        <v>302</v>
      </c>
      <c r="C216" s="12" t="s">
        <v>303</v>
      </c>
      <c r="D216" s="3" t="s">
        <v>302</v>
      </c>
      <c r="E216" s="12" t="s">
        <v>248</v>
      </c>
      <c r="F216" s="2" t="s">
        <v>534</v>
      </c>
      <c r="G216" s="12" t="s">
        <v>249</v>
      </c>
      <c r="H216" s="2" t="s">
        <v>534</v>
      </c>
      <c r="I216" s="12" t="s">
        <v>0</v>
      </c>
      <c r="J216" s="2" t="s">
        <v>2</v>
      </c>
      <c r="K216" s="12" t="s">
        <v>505</v>
      </c>
      <c r="L216" s="2" t="s">
        <v>2</v>
      </c>
      <c r="M216" s="12" t="s">
        <v>314</v>
      </c>
      <c r="N216" s="14" t="s">
        <v>470</v>
      </c>
      <c r="O216" s="12" t="s">
        <v>92</v>
      </c>
      <c r="P216" s="14" t="s">
        <v>311</v>
      </c>
      <c r="Q216" s="12" t="s">
        <v>322</v>
      </c>
      <c r="R216" s="14" t="s">
        <v>321</v>
      </c>
      <c r="S216" s="12" t="s">
        <v>2</v>
      </c>
      <c r="T216" s="14" t="s">
        <v>2</v>
      </c>
      <c r="U216" s="12" t="s">
        <v>314</v>
      </c>
      <c r="V216" s="4" t="s">
        <v>0</v>
      </c>
      <c r="W216" s="3" t="str">
        <f t="shared" si="9"/>
        <v>PIL-L0.95m-P0.95m-BLC-CON-RET</v>
      </c>
      <c r="X216" s="3" t="str">
        <f t="shared" si="10"/>
        <v>PIL-L0.95m-P0.95m-BLC-CON-RET-215</v>
      </c>
      <c r="Y216" s="3" t="str">
        <f t="shared" si="11"/>
        <v>Pilar 0.95m 0.95m em bloco do CT concreto retangular. Localização: bloco A</v>
      </c>
    </row>
    <row r="217" spans="1:25" ht="8.25" customHeight="1" x14ac:dyDescent="0.25">
      <c r="A217" s="13">
        <v>216</v>
      </c>
      <c r="B217" s="3" t="s">
        <v>302</v>
      </c>
      <c r="C217" s="12" t="s">
        <v>303</v>
      </c>
      <c r="D217" s="3" t="s">
        <v>302</v>
      </c>
      <c r="E217" s="12" t="s">
        <v>248</v>
      </c>
      <c r="F217" s="2" t="s">
        <v>532</v>
      </c>
      <c r="G217" s="12" t="s">
        <v>249</v>
      </c>
      <c r="H217" s="2" t="s">
        <v>533</v>
      </c>
      <c r="I217" s="12" t="s">
        <v>0</v>
      </c>
      <c r="J217" s="2" t="s">
        <v>2</v>
      </c>
      <c r="K217" s="12" t="s">
        <v>505</v>
      </c>
      <c r="L217" s="2" t="s">
        <v>2</v>
      </c>
      <c r="M217" s="12" t="s">
        <v>245</v>
      </c>
      <c r="N217" s="14" t="s">
        <v>466</v>
      </c>
      <c r="O217" s="12" t="s">
        <v>92</v>
      </c>
      <c r="P217" s="14" t="s">
        <v>311</v>
      </c>
      <c r="Q217" s="12" t="s">
        <v>322</v>
      </c>
      <c r="R217" s="14" t="s">
        <v>321</v>
      </c>
      <c r="S217" s="12" t="s">
        <v>2</v>
      </c>
      <c r="T217" s="14" t="s">
        <v>2</v>
      </c>
      <c r="U217" s="12" t="s">
        <v>314</v>
      </c>
      <c r="V217" s="4" t="s">
        <v>0</v>
      </c>
      <c r="W217" s="3" t="str">
        <f t="shared" si="9"/>
        <v>PIL-L0.25m-P0.30m-AUD-CON-RET</v>
      </c>
      <c r="X217" s="3" t="str">
        <f t="shared" si="10"/>
        <v>PIL-L0.25m-P0.30m-AUD-CON-RET-216</v>
      </c>
      <c r="Y217" s="3" t="str">
        <f t="shared" si="11"/>
        <v>Pilar 0.25m 0.30m em auditório concreto retangular. Localização: bloco A</v>
      </c>
    </row>
    <row r="218" spans="1:25" ht="8.25" customHeight="1" x14ac:dyDescent="0.25">
      <c r="A218" s="13">
        <v>217</v>
      </c>
      <c r="B218" s="3" t="s">
        <v>302</v>
      </c>
      <c r="C218" s="12" t="s">
        <v>303</v>
      </c>
      <c r="D218" s="3" t="s">
        <v>302</v>
      </c>
      <c r="E218" s="12" t="s">
        <v>248</v>
      </c>
      <c r="F218" s="2" t="s">
        <v>535</v>
      </c>
      <c r="G218" s="12" t="s">
        <v>249</v>
      </c>
      <c r="H218" s="2" t="s">
        <v>533</v>
      </c>
      <c r="I218" s="12" t="s">
        <v>0</v>
      </c>
      <c r="J218" s="2" t="s">
        <v>2</v>
      </c>
      <c r="K218" s="12" t="s">
        <v>505</v>
      </c>
      <c r="L218" s="2" t="s">
        <v>2</v>
      </c>
      <c r="M218" s="12" t="s">
        <v>315</v>
      </c>
      <c r="N218" s="14" t="s">
        <v>465</v>
      </c>
      <c r="O218" s="12" t="s">
        <v>92</v>
      </c>
      <c r="P218" s="14" t="s">
        <v>311</v>
      </c>
      <c r="Q218" s="12" t="s">
        <v>322</v>
      </c>
      <c r="R218" s="14" t="s">
        <v>321</v>
      </c>
      <c r="S218" s="12" t="s">
        <v>2</v>
      </c>
      <c r="T218" s="14" t="s">
        <v>2</v>
      </c>
      <c r="U218" s="12" t="s">
        <v>314</v>
      </c>
      <c r="V218" s="4" t="s">
        <v>0</v>
      </c>
      <c r="W218" s="3" t="str">
        <f t="shared" si="9"/>
        <v>PIL-L0.20m-P0.30m-ESC-CON-RET</v>
      </c>
      <c r="X218" s="3" t="str">
        <f t="shared" si="10"/>
        <v>PIL-L0.20m-P0.30m-ESC-CON-RET-217</v>
      </c>
      <c r="Y218" s="3" t="str">
        <f t="shared" si="11"/>
        <v>Pilar 0.20m 0.30m em escada concreto retangular. Localização: bloco A</v>
      </c>
    </row>
    <row r="219" spans="1:25" ht="8.25" customHeight="1" x14ac:dyDescent="0.25">
      <c r="A219" s="13">
        <v>218</v>
      </c>
      <c r="B219" s="3" t="s">
        <v>302</v>
      </c>
      <c r="C219" s="12" t="s">
        <v>303</v>
      </c>
      <c r="D219" s="3" t="s">
        <v>302</v>
      </c>
      <c r="E219" s="12" t="s">
        <v>248</v>
      </c>
      <c r="F219" s="2" t="s">
        <v>535</v>
      </c>
      <c r="G219" s="12" t="s">
        <v>249</v>
      </c>
      <c r="H219" s="2" t="s">
        <v>530</v>
      </c>
      <c r="I219" s="12" t="s">
        <v>0</v>
      </c>
      <c r="J219" s="2" t="s">
        <v>2</v>
      </c>
      <c r="K219" s="12" t="s">
        <v>505</v>
      </c>
      <c r="L219" s="2" t="s">
        <v>2</v>
      </c>
      <c r="M219" s="12" t="s">
        <v>315</v>
      </c>
      <c r="N219" s="14" t="s">
        <v>465</v>
      </c>
      <c r="O219" s="12" t="s">
        <v>92</v>
      </c>
      <c r="P219" s="14" t="s">
        <v>311</v>
      </c>
      <c r="Q219" s="12" t="s">
        <v>322</v>
      </c>
      <c r="R219" s="14" t="s">
        <v>321</v>
      </c>
      <c r="S219" s="12" t="s">
        <v>2</v>
      </c>
      <c r="T219" s="14" t="s">
        <v>2</v>
      </c>
      <c r="U219" s="12" t="s">
        <v>314</v>
      </c>
      <c r="V219" s="4" t="s">
        <v>0</v>
      </c>
      <c r="W219" s="3" t="str">
        <f t="shared" si="9"/>
        <v>PIL-L0.20m-P0.50m-ESC-CON-RET</v>
      </c>
      <c r="X219" s="3" t="str">
        <f t="shared" si="10"/>
        <v>PIL-L0.20m-P0.50m-ESC-CON-RET-218</v>
      </c>
      <c r="Y219" s="3" t="str">
        <f t="shared" si="11"/>
        <v>Pilar 0.20m 0.50m em escada concreto retangular. Localização: bloco A</v>
      </c>
    </row>
    <row r="220" spans="1:25" ht="8.25" customHeight="1" x14ac:dyDescent="0.25">
      <c r="A220" s="13">
        <v>219</v>
      </c>
      <c r="B220" s="3" t="s">
        <v>302</v>
      </c>
      <c r="C220" s="12" t="s">
        <v>303</v>
      </c>
      <c r="D220" s="3" t="s">
        <v>302</v>
      </c>
      <c r="E220" s="12" t="s">
        <v>248</v>
      </c>
      <c r="F220" s="2" t="s">
        <v>533</v>
      </c>
      <c r="G220" s="12" t="s">
        <v>249</v>
      </c>
      <c r="H220" s="2" t="s">
        <v>530</v>
      </c>
      <c r="I220" s="12" t="s">
        <v>0</v>
      </c>
      <c r="J220" s="2" t="s">
        <v>2</v>
      </c>
      <c r="K220" s="12" t="s">
        <v>505</v>
      </c>
      <c r="L220" s="2" t="s">
        <v>2</v>
      </c>
      <c r="M220" s="12" t="s">
        <v>315</v>
      </c>
      <c r="N220" s="14" t="s">
        <v>465</v>
      </c>
      <c r="O220" s="12" t="s">
        <v>92</v>
      </c>
      <c r="P220" s="14" t="s">
        <v>311</v>
      </c>
      <c r="Q220" s="12" t="s">
        <v>322</v>
      </c>
      <c r="R220" s="14" t="s">
        <v>321</v>
      </c>
      <c r="S220" s="12" t="s">
        <v>2</v>
      </c>
      <c r="T220" s="14" t="s">
        <v>2</v>
      </c>
      <c r="U220" s="12" t="s">
        <v>314</v>
      </c>
      <c r="V220" s="4" t="s">
        <v>0</v>
      </c>
      <c r="W220" s="3" t="str">
        <f t="shared" si="9"/>
        <v>PIL-L0.30m-P0.50m-ESC-CON-RET</v>
      </c>
      <c r="X220" s="3" t="str">
        <f t="shared" si="10"/>
        <v>PIL-L0.30m-P0.50m-ESC-CON-RET-219</v>
      </c>
      <c r="Y220" s="3" t="str">
        <f t="shared" si="11"/>
        <v>Pilar 0.30m 0.50m em escada concreto retangular. Localização: bloco A</v>
      </c>
    </row>
    <row r="221" spans="1:25" ht="8.25" customHeight="1" x14ac:dyDescent="0.25">
      <c r="A221" s="13">
        <v>220</v>
      </c>
      <c r="B221" s="3" t="s">
        <v>302</v>
      </c>
      <c r="C221" s="12" t="s">
        <v>303</v>
      </c>
      <c r="D221" s="3" t="s">
        <v>302</v>
      </c>
      <c r="E221" s="12" t="s">
        <v>248</v>
      </c>
      <c r="F221" s="2" t="s">
        <v>535</v>
      </c>
      <c r="G221" s="12" t="s">
        <v>249</v>
      </c>
      <c r="H221" s="2" t="s">
        <v>536</v>
      </c>
      <c r="I221" s="12" t="s">
        <v>0</v>
      </c>
      <c r="J221" s="2" t="s">
        <v>2</v>
      </c>
      <c r="K221" s="12" t="s">
        <v>505</v>
      </c>
      <c r="L221" s="2" t="s">
        <v>2</v>
      </c>
      <c r="M221" s="12" t="s">
        <v>323</v>
      </c>
      <c r="N221" s="14" t="s">
        <v>320</v>
      </c>
      <c r="O221" s="12" t="s">
        <v>92</v>
      </c>
      <c r="P221" s="14" t="s">
        <v>311</v>
      </c>
      <c r="Q221" s="12" t="s">
        <v>322</v>
      </c>
      <c r="R221" s="14" t="s">
        <v>321</v>
      </c>
      <c r="S221" s="12" t="s">
        <v>2</v>
      </c>
      <c r="T221" s="14" t="s">
        <v>2</v>
      </c>
      <c r="U221" s="12" t="s">
        <v>314</v>
      </c>
      <c r="V221" s="4" t="s">
        <v>0</v>
      </c>
      <c r="W221" s="3" t="str">
        <f t="shared" si="9"/>
        <v>PIL-L0.20m-P0.40m-FUN-CON-RET</v>
      </c>
      <c r="X221" s="3" t="str">
        <f t="shared" si="10"/>
        <v>PIL-L0.20m-P0.40m-FUN-CON-RET-220</v>
      </c>
      <c r="Y221" s="3" t="str">
        <f t="shared" si="11"/>
        <v>Pilar 0.20m 0.40m na fundação concreto retangular. Localização: bloco A</v>
      </c>
    </row>
    <row r="222" spans="1:25" ht="8.25" customHeight="1" x14ac:dyDescent="0.25">
      <c r="A222" s="13">
        <v>221</v>
      </c>
      <c r="B222" s="3" t="s">
        <v>302</v>
      </c>
      <c r="C222" s="12" t="s">
        <v>303</v>
      </c>
      <c r="D222" s="3" t="s">
        <v>302</v>
      </c>
      <c r="E222" s="12" t="s">
        <v>248</v>
      </c>
      <c r="F222" s="2" t="s">
        <v>536</v>
      </c>
      <c r="G222" s="12" t="s">
        <v>249</v>
      </c>
      <c r="H222" s="2" t="s">
        <v>536</v>
      </c>
      <c r="I222" s="12" t="s">
        <v>0</v>
      </c>
      <c r="J222" s="2" t="s">
        <v>2</v>
      </c>
      <c r="K222" s="12" t="s">
        <v>505</v>
      </c>
      <c r="L222" s="2" t="s">
        <v>2</v>
      </c>
      <c r="M222" s="12" t="s">
        <v>323</v>
      </c>
      <c r="N222" s="14" t="s">
        <v>320</v>
      </c>
      <c r="O222" s="12" t="s">
        <v>92</v>
      </c>
      <c r="P222" s="14" t="s">
        <v>311</v>
      </c>
      <c r="Q222" s="12" t="s">
        <v>322</v>
      </c>
      <c r="R222" s="14" t="s">
        <v>321</v>
      </c>
      <c r="S222" s="12" t="s">
        <v>2</v>
      </c>
      <c r="T222" s="14" t="s">
        <v>2</v>
      </c>
      <c r="U222" s="12" t="s">
        <v>314</v>
      </c>
      <c r="V222" s="4" t="s">
        <v>0</v>
      </c>
      <c r="W222" s="3" t="str">
        <f t="shared" si="9"/>
        <v>PIL-L0.40m-P0.40m-FUN-CON-RET</v>
      </c>
      <c r="X222" s="3" t="str">
        <f t="shared" si="10"/>
        <v>PIL-L0.40m-P0.40m-FUN-CON-RET-221</v>
      </c>
      <c r="Y222" s="3" t="str">
        <f t="shared" si="11"/>
        <v>Pilar 0.40m 0.40m na fundação concreto retangular. Localização: bloco A</v>
      </c>
    </row>
    <row r="223" spans="1:25" ht="8.25" customHeight="1" x14ac:dyDescent="0.25">
      <c r="A223" s="13">
        <v>222</v>
      </c>
      <c r="B223" s="3" t="s">
        <v>302</v>
      </c>
      <c r="C223" s="12" t="s">
        <v>303</v>
      </c>
      <c r="D223" s="3" t="s">
        <v>302</v>
      </c>
      <c r="E223" s="12" t="s">
        <v>248</v>
      </c>
      <c r="F223" s="2" t="s">
        <v>535</v>
      </c>
      <c r="G223" s="12" t="s">
        <v>249</v>
      </c>
      <c r="H223" s="2" t="s">
        <v>548</v>
      </c>
      <c r="I223" s="12" t="s">
        <v>0</v>
      </c>
      <c r="J223" s="2" t="s">
        <v>2</v>
      </c>
      <c r="K223" s="12" t="s">
        <v>505</v>
      </c>
      <c r="L223" s="2" t="s">
        <v>2</v>
      </c>
      <c r="M223" s="12" t="s">
        <v>253</v>
      </c>
      <c r="N223" s="14" t="s">
        <v>468</v>
      </c>
      <c r="O223" s="12" t="s">
        <v>92</v>
      </c>
      <c r="P223" s="14" t="s">
        <v>311</v>
      </c>
      <c r="Q223" s="12" t="s">
        <v>322</v>
      </c>
      <c r="R223" s="14" t="s">
        <v>321</v>
      </c>
      <c r="S223" s="12" t="s">
        <v>2</v>
      </c>
      <c r="T223" s="14" t="s">
        <v>2</v>
      </c>
      <c r="U223" s="12" t="s">
        <v>314</v>
      </c>
      <c r="V223" s="4" t="s">
        <v>0</v>
      </c>
      <c r="W223" s="3" t="str">
        <f t="shared" si="9"/>
        <v>PIL-L0.20m-P0.71m-NUC-CON-RET</v>
      </c>
      <c r="X223" s="3" t="str">
        <f t="shared" si="10"/>
        <v>PIL-L0.20m-P0.71m-NUC-CON-RET-222</v>
      </c>
      <c r="Y223" s="3" t="str">
        <f t="shared" si="11"/>
        <v>Pilar 0.20m 0.71m em núcleo de elevador concreto retangular. Localização: bloco A</v>
      </c>
    </row>
    <row r="224" spans="1:25" ht="8.25" customHeight="1" x14ac:dyDescent="0.25">
      <c r="A224" s="13">
        <v>223</v>
      </c>
      <c r="B224" s="3" t="s">
        <v>302</v>
      </c>
      <c r="C224" s="12" t="s">
        <v>303</v>
      </c>
      <c r="D224" s="3" t="s">
        <v>302</v>
      </c>
      <c r="E224" s="12" t="s">
        <v>248</v>
      </c>
      <c r="F224" s="2" t="s">
        <v>532</v>
      </c>
      <c r="G224" s="12" t="s">
        <v>249</v>
      </c>
      <c r="H224" s="2" t="s">
        <v>549</v>
      </c>
      <c r="I224" s="12" t="s">
        <v>0</v>
      </c>
      <c r="J224" s="2" t="s">
        <v>2</v>
      </c>
      <c r="K224" s="12" t="s">
        <v>505</v>
      </c>
      <c r="L224" s="2" t="s">
        <v>2</v>
      </c>
      <c r="M224" s="12" t="s">
        <v>253</v>
      </c>
      <c r="N224" s="14" t="s">
        <v>468</v>
      </c>
      <c r="O224" s="12" t="s">
        <v>92</v>
      </c>
      <c r="P224" s="14" t="s">
        <v>311</v>
      </c>
      <c r="Q224" s="12" t="s">
        <v>322</v>
      </c>
      <c r="R224" s="14" t="s">
        <v>321</v>
      </c>
      <c r="S224" s="12" t="s">
        <v>2</v>
      </c>
      <c r="T224" s="14" t="s">
        <v>2</v>
      </c>
      <c r="U224" s="12" t="s">
        <v>314</v>
      </c>
      <c r="V224" s="4" t="s">
        <v>0</v>
      </c>
      <c r="W224" s="3" t="str">
        <f t="shared" si="9"/>
        <v>PIL-L0.25m-P0.92m-NUC-CON-RET</v>
      </c>
      <c r="X224" s="3" t="str">
        <f t="shared" si="10"/>
        <v>PIL-L0.25m-P0.92m-NUC-CON-RET-223</v>
      </c>
      <c r="Y224" s="3" t="str">
        <f t="shared" si="11"/>
        <v>Pilar 0.25m 0.92m em núcleo de elevador concreto retangular. Localização: bloco A</v>
      </c>
    </row>
    <row r="225" spans="1:25" ht="8.25" customHeight="1" x14ac:dyDescent="0.25">
      <c r="A225" s="13">
        <v>224</v>
      </c>
      <c r="B225" s="3" t="s">
        <v>302</v>
      </c>
      <c r="C225" s="12" t="s">
        <v>303</v>
      </c>
      <c r="D225" s="3" t="s">
        <v>302</v>
      </c>
      <c r="E225" s="12" t="s">
        <v>248</v>
      </c>
      <c r="F225" s="2" t="s">
        <v>533</v>
      </c>
      <c r="G225" s="12" t="s">
        <v>249</v>
      </c>
      <c r="H225" s="2" t="s">
        <v>530</v>
      </c>
      <c r="I225" s="12" t="s">
        <v>0</v>
      </c>
      <c r="J225" s="2" t="s">
        <v>2</v>
      </c>
      <c r="K225" s="12" t="s">
        <v>505</v>
      </c>
      <c r="L225" s="2" t="s">
        <v>2</v>
      </c>
      <c r="M225" s="12" t="s">
        <v>2</v>
      </c>
      <c r="N225" s="14" t="s">
        <v>2</v>
      </c>
      <c r="O225" s="12" t="s">
        <v>92</v>
      </c>
      <c r="P225" s="14" t="s">
        <v>311</v>
      </c>
      <c r="Q225" s="12" t="s">
        <v>322</v>
      </c>
      <c r="R225" s="14" t="s">
        <v>321</v>
      </c>
      <c r="S225" s="12" t="s">
        <v>2</v>
      </c>
      <c r="T225" s="14" t="s">
        <v>2</v>
      </c>
      <c r="U225" s="12" t="s">
        <v>314</v>
      </c>
      <c r="V225" s="4" t="s">
        <v>0</v>
      </c>
      <c r="W225" s="3" t="str">
        <f t="shared" si="9"/>
        <v>PIL-L0.30m-P0.50m-CON-RET</v>
      </c>
      <c r="X225" s="3" t="str">
        <f t="shared" si="10"/>
        <v>PIL-L0.30m-P0.50m-CON-RET-224</v>
      </c>
      <c r="Y225" s="3" t="str">
        <f t="shared" si="11"/>
        <v>Pilar 0.30m 0.50m concreto retangular. Localização: bloco A</v>
      </c>
    </row>
    <row r="226" spans="1:25" ht="8.25" customHeight="1" x14ac:dyDescent="0.25">
      <c r="A226" s="13">
        <v>225</v>
      </c>
      <c r="B226" s="3" t="s">
        <v>302</v>
      </c>
      <c r="C226" s="12" t="s">
        <v>303</v>
      </c>
      <c r="D226" s="3" t="s">
        <v>302</v>
      </c>
      <c r="E226" s="12" t="s">
        <v>248</v>
      </c>
      <c r="F226" s="2" t="s">
        <v>536</v>
      </c>
      <c r="G226" s="12" t="s">
        <v>249</v>
      </c>
      <c r="H226" s="2" t="s">
        <v>550</v>
      </c>
      <c r="I226" s="12" t="s">
        <v>0</v>
      </c>
      <c r="J226" s="2" t="s">
        <v>2</v>
      </c>
      <c r="K226" s="12" t="s">
        <v>505</v>
      </c>
      <c r="L226" s="2" t="s">
        <v>2</v>
      </c>
      <c r="M226" s="12" t="s">
        <v>2</v>
      </c>
      <c r="N226" s="14" t="s">
        <v>2</v>
      </c>
      <c r="O226" s="12" t="s">
        <v>92</v>
      </c>
      <c r="P226" s="14" t="s">
        <v>311</v>
      </c>
      <c r="Q226" s="12" t="s">
        <v>322</v>
      </c>
      <c r="R226" s="14" t="s">
        <v>321</v>
      </c>
      <c r="S226" s="12" t="s">
        <v>324</v>
      </c>
      <c r="T226" s="14" t="s">
        <v>325</v>
      </c>
      <c r="U226" s="12" t="s">
        <v>314</v>
      </c>
      <c r="V226" s="4" t="s">
        <v>0</v>
      </c>
      <c r="W226" s="3" t="str">
        <f t="shared" si="9"/>
        <v>PIL-L0.40m-P0.54m-CON-RET-JDI</v>
      </c>
      <c r="X226" s="3" t="str">
        <f t="shared" si="10"/>
        <v>PIL-L0.40m-P0.54m-CON-RET-JDI-225</v>
      </c>
      <c r="Y226" s="3" t="str">
        <f t="shared" si="11"/>
        <v>Pilar 0.40m 0.54m concreto retangular  com junta de dilatação. Localização: bloco A</v>
      </c>
    </row>
    <row r="227" spans="1:25" ht="8.25" customHeight="1" x14ac:dyDescent="0.25">
      <c r="A227" s="13">
        <v>226</v>
      </c>
      <c r="B227" s="3" t="s">
        <v>302</v>
      </c>
      <c r="C227" s="12" t="s">
        <v>303</v>
      </c>
      <c r="D227" s="3" t="s">
        <v>302</v>
      </c>
      <c r="E227" s="12" t="s">
        <v>248</v>
      </c>
      <c r="F227" s="2" t="s">
        <v>531</v>
      </c>
      <c r="G227" s="12" t="s">
        <v>249</v>
      </c>
      <c r="H227" s="2" t="s">
        <v>551</v>
      </c>
      <c r="I227" s="12" t="s">
        <v>0</v>
      </c>
      <c r="J227" s="2" t="s">
        <v>2</v>
      </c>
      <c r="K227" s="12" t="s">
        <v>505</v>
      </c>
      <c r="L227" s="2" t="s">
        <v>2</v>
      </c>
      <c r="M227" s="12" t="s">
        <v>263</v>
      </c>
      <c r="N227" s="14" t="s">
        <v>467</v>
      </c>
      <c r="O227" s="12" t="s">
        <v>92</v>
      </c>
      <c r="P227" s="14" t="s">
        <v>311</v>
      </c>
      <c r="Q227" s="12" t="s">
        <v>322</v>
      </c>
      <c r="R227" s="14" t="s">
        <v>321</v>
      </c>
      <c r="S227" s="12" t="s">
        <v>2</v>
      </c>
      <c r="T227" s="14" t="s">
        <v>2</v>
      </c>
      <c r="U227" s="12" t="s">
        <v>314</v>
      </c>
      <c r="V227" s="4" t="s">
        <v>0</v>
      </c>
      <c r="W227" s="3" t="str">
        <f t="shared" si="9"/>
        <v>PIL-L0.15m-P0.35m-BRI-CON-RET</v>
      </c>
      <c r="X227" s="3" t="str">
        <f t="shared" si="10"/>
        <v>PIL-L0.15m-P0.35m-BRI-CON-RET-226</v>
      </c>
      <c r="Y227" s="3" t="str">
        <f t="shared" si="11"/>
        <v>Pilar 0.15m 0.35m em brise de fachada concreto retangular. Localização: bloco A</v>
      </c>
    </row>
    <row r="228" spans="1:25" ht="8.25" customHeight="1" x14ac:dyDescent="0.25">
      <c r="A228" s="13">
        <v>227</v>
      </c>
      <c r="B228" s="3" t="s">
        <v>302</v>
      </c>
      <c r="C228" s="12" t="s">
        <v>303</v>
      </c>
      <c r="D228" s="3" t="s">
        <v>302</v>
      </c>
      <c r="E228" s="12" t="s">
        <v>248</v>
      </c>
      <c r="F228" s="2" t="s">
        <v>531</v>
      </c>
      <c r="G228" s="12" t="s">
        <v>249</v>
      </c>
      <c r="H228" s="2" t="s">
        <v>510</v>
      </c>
      <c r="I228" s="12" t="s">
        <v>0</v>
      </c>
      <c r="J228" s="2" t="s">
        <v>2</v>
      </c>
      <c r="K228" s="12" t="s">
        <v>505</v>
      </c>
      <c r="L228" s="2" t="s">
        <v>2</v>
      </c>
      <c r="M228" s="12" t="s">
        <v>263</v>
      </c>
      <c r="N228" s="14" t="s">
        <v>467</v>
      </c>
      <c r="O228" s="12" t="s">
        <v>92</v>
      </c>
      <c r="P228" s="14" t="s">
        <v>311</v>
      </c>
      <c r="Q228" s="12" t="s">
        <v>322</v>
      </c>
      <c r="R228" s="14" t="s">
        <v>321</v>
      </c>
      <c r="S228" s="12" t="s">
        <v>2</v>
      </c>
      <c r="T228" s="14" t="s">
        <v>2</v>
      </c>
      <c r="U228" s="12" t="s">
        <v>314</v>
      </c>
      <c r="V228" s="4" t="s">
        <v>0</v>
      </c>
      <c r="W228" s="3" t="str">
        <f t="shared" si="9"/>
        <v>PIL-L0.15m-P1.50m-BRI-CON-RET</v>
      </c>
      <c r="X228" s="3" t="str">
        <f t="shared" si="10"/>
        <v>PIL-L0.15m-P1.50m-BRI-CON-RET-227</v>
      </c>
      <c r="Y228" s="3" t="str">
        <f t="shared" si="11"/>
        <v>Pilar 0.15m 1.50m em brise de fachada concreto retangular. Localização: bloco A</v>
      </c>
    </row>
    <row r="229" spans="1:25" ht="8.25" customHeight="1" x14ac:dyDescent="0.25">
      <c r="A229" s="13">
        <v>228</v>
      </c>
      <c r="B229" s="3" t="s">
        <v>302</v>
      </c>
      <c r="C229" s="12" t="s">
        <v>303</v>
      </c>
      <c r="D229" s="3" t="s">
        <v>302</v>
      </c>
      <c r="E229" s="12" t="s">
        <v>248</v>
      </c>
      <c r="F229" s="2" t="s">
        <v>536</v>
      </c>
      <c r="G229" s="12" t="s">
        <v>249</v>
      </c>
      <c r="H229" s="2" t="s">
        <v>2</v>
      </c>
      <c r="I229" s="12" t="s">
        <v>0</v>
      </c>
      <c r="J229" s="2" t="s">
        <v>2</v>
      </c>
      <c r="K229" s="12" t="s">
        <v>505</v>
      </c>
      <c r="L229" s="2" t="s">
        <v>2</v>
      </c>
      <c r="M229" s="12" t="s">
        <v>314</v>
      </c>
      <c r="N229" s="14" t="s">
        <v>470</v>
      </c>
      <c r="O229" s="12" t="s">
        <v>92</v>
      </c>
      <c r="P229" s="14" t="s">
        <v>311</v>
      </c>
      <c r="Q229" s="12" t="s">
        <v>237</v>
      </c>
      <c r="R229" s="14" t="s">
        <v>317</v>
      </c>
      <c r="S229" s="12" t="s">
        <v>2</v>
      </c>
      <c r="T229" s="14" t="s">
        <v>2</v>
      </c>
      <c r="U229" s="12" t="s">
        <v>314</v>
      </c>
      <c r="V229" s="4" t="s">
        <v>0</v>
      </c>
      <c r="W229" s="3" t="str">
        <f t="shared" si="9"/>
        <v>PIL-L0.40m-BLC-CON-CIR</v>
      </c>
      <c r="X229" s="3" t="str">
        <f t="shared" si="10"/>
        <v>PIL-L0.40m-BLC-CON-CIR-228</v>
      </c>
      <c r="Y229" s="3" t="str">
        <f t="shared" si="11"/>
        <v>Pilar 0.40m em bloco do CT concreto circular. Localização: bloco A</v>
      </c>
    </row>
    <row r="230" spans="1:25" ht="8.25" customHeight="1" x14ac:dyDescent="0.25">
      <c r="A230" s="13">
        <v>229</v>
      </c>
      <c r="B230" s="3" t="s">
        <v>302</v>
      </c>
      <c r="C230" s="12" t="s">
        <v>303</v>
      </c>
      <c r="D230" s="3" t="s">
        <v>302</v>
      </c>
      <c r="E230" s="12" t="s">
        <v>248</v>
      </c>
      <c r="F230" s="2" t="s">
        <v>537</v>
      </c>
      <c r="G230" s="12" t="s">
        <v>249</v>
      </c>
      <c r="H230" s="2" t="s">
        <v>2</v>
      </c>
      <c r="I230" s="12" t="s">
        <v>0</v>
      </c>
      <c r="J230" s="2" t="s">
        <v>2</v>
      </c>
      <c r="K230" s="12" t="s">
        <v>505</v>
      </c>
      <c r="L230" s="2" t="s">
        <v>2</v>
      </c>
      <c r="M230" s="12" t="s">
        <v>314</v>
      </c>
      <c r="N230" s="14" t="s">
        <v>470</v>
      </c>
      <c r="O230" s="12" t="s">
        <v>92</v>
      </c>
      <c r="P230" s="14" t="s">
        <v>311</v>
      </c>
      <c r="Q230" s="12" t="s">
        <v>237</v>
      </c>
      <c r="R230" s="14" t="s">
        <v>317</v>
      </c>
      <c r="S230" s="12" t="s">
        <v>2</v>
      </c>
      <c r="T230" s="14" t="s">
        <v>2</v>
      </c>
      <c r="U230" s="12" t="s">
        <v>314</v>
      </c>
      <c r="V230" s="4" t="s">
        <v>0</v>
      </c>
      <c r="W230" s="3" t="str">
        <f t="shared" si="9"/>
        <v>PIL-L0.75m-BLC-CON-CIR</v>
      </c>
      <c r="X230" s="3" t="str">
        <f t="shared" si="10"/>
        <v>PIL-L0.75m-BLC-CON-CIR-229</v>
      </c>
      <c r="Y230" s="3" t="str">
        <f t="shared" si="11"/>
        <v>Pilar 0.75m em bloco do CT concreto circular. Localização: bloco A</v>
      </c>
    </row>
    <row r="231" spans="1:25" ht="8.25" customHeight="1" x14ac:dyDescent="0.25">
      <c r="A231" s="13">
        <v>230</v>
      </c>
      <c r="B231" s="3" t="s">
        <v>302</v>
      </c>
      <c r="C231" s="12" t="s">
        <v>303</v>
      </c>
      <c r="D231" s="3" t="s">
        <v>302</v>
      </c>
      <c r="E231" s="12" t="s">
        <v>248</v>
      </c>
      <c r="F231" s="2" t="s">
        <v>536</v>
      </c>
      <c r="G231" s="12" t="s">
        <v>249</v>
      </c>
      <c r="H231" s="2" t="s">
        <v>2</v>
      </c>
      <c r="I231" s="12" t="s">
        <v>0</v>
      </c>
      <c r="J231" s="2" t="s">
        <v>2</v>
      </c>
      <c r="K231" s="12" t="s">
        <v>505</v>
      </c>
      <c r="L231" s="2" t="s">
        <v>2</v>
      </c>
      <c r="M231" s="12" t="s">
        <v>314</v>
      </c>
      <c r="N231" s="14" t="s">
        <v>470</v>
      </c>
      <c r="O231" s="12" t="s">
        <v>92</v>
      </c>
      <c r="P231" s="14" t="s">
        <v>311</v>
      </c>
      <c r="Q231" s="12" t="s">
        <v>237</v>
      </c>
      <c r="R231" s="14" t="s">
        <v>317</v>
      </c>
      <c r="S231" s="12" t="s">
        <v>324</v>
      </c>
      <c r="T231" s="14" t="s">
        <v>325</v>
      </c>
      <c r="U231" s="12" t="s">
        <v>314</v>
      </c>
      <c r="V231" s="4" t="s">
        <v>0</v>
      </c>
      <c r="W231" s="3" t="str">
        <f t="shared" si="9"/>
        <v>PIL-L0.40m-BLC-CON-CIR-JDI</v>
      </c>
      <c r="X231" s="3" t="str">
        <f t="shared" si="10"/>
        <v>PIL-L0.40m-BLC-CON-CIR-JDI-230</v>
      </c>
      <c r="Y231" s="3" t="str">
        <f t="shared" si="11"/>
        <v>Pilar 0.40m em bloco do CT concreto circular  com junta de dilatação. Localização: bloco A</v>
      </c>
    </row>
    <row r="232" spans="1:25" ht="8.25" customHeight="1" x14ac:dyDescent="0.25">
      <c r="A232" s="13">
        <v>231</v>
      </c>
      <c r="B232" s="3" t="s">
        <v>302</v>
      </c>
      <c r="C232" s="12" t="s">
        <v>303</v>
      </c>
      <c r="D232" s="3" t="s">
        <v>302</v>
      </c>
      <c r="E232" s="12" t="s">
        <v>248</v>
      </c>
      <c r="F232" s="2" t="s">
        <v>537</v>
      </c>
      <c r="G232" s="12" t="s">
        <v>249</v>
      </c>
      <c r="H232" s="2" t="s">
        <v>2</v>
      </c>
      <c r="I232" s="12" t="s">
        <v>0</v>
      </c>
      <c r="J232" s="2" t="s">
        <v>2</v>
      </c>
      <c r="K232" s="12" t="s">
        <v>505</v>
      </c>
      <c r="L232" s="2" t="s">
        <v>2</v>
      </c>
      <c r="M232" s="12" t="s">
        <v>314</v>
      </c>
      <c r="N232" s="14" t="s">
        <v>470</v>
      </c>
      <c r="O232" s="12" t="s">
        <v>92</v>
      </c>
      <c r="P232" s="14" t="s">
        <v>311</v>
      </c>
      <c r="Q232" s="12" t="s">
        <v>237</v>
      </c>
      <c r="R232" s="14" t="s">
        <v>317</v>
      </c>
      <c r="S232" s="12" t="s">
        <v>324</v>
      </c>
      <c r="T232" s="14" t="s">
        <v>325</v>
      </c>
      <c r="U232" s="12" t="s">
        <v>314</v>
      </c>
      <c r="V232" s="4" t="s">
        <v>0</v>
      </c>
      <c r="W232" s="3" t="str">
        <f t="shared" si="9"/>
        <v>PIL-L0.75m-BLC-CON-CIR-JDI</v>
      </c>
      <c r="X232" s="3" t="str">
        <f t="shared" si="10"/>
        <v>PIL-L0.75m-BLC-CON-CIR-JDI-231</v>
      </c>
      <c r="Y232" s="3" t="str">
        <f t="shared" si="11"/>
        <v>Pilar 0.75m em bloco do CT concreto circular  com junta de dilatação. Localização: bloco A</v>
      </c>
    </row>
    <row r="233" spans="1:25" ht="8.25" customHeight="1" x14ac:dyDescent="0.25">
      <c r="A233" s="13">
        <v>232</v>
      </c>
      <c r="B233" s="3" t="s">
        <v>302</v>
      </c>
      <c r="C233" s="12" t="s">
        <v>303</v>
      </c>
      <c r="D233" s="3" t="s">
        <v>302</v>
      </c>
      <c r="E233" s="12" t="s">
        <v>248</v>
      </c>
      <c r="F233" s="2" t="s">
        <v>530</v>
      </c>
      <c r="G233" s="12" t="s">
        <v>249</v>
      </c>
      <c r="H233" s="2" t="s">
        <v>2</v>
      </c>
      <c r="I233" s="12" t="s">
        <v>0</v>
      </c>
      <c r="J233" s="2" t="s">
        <v>2</v>
      </c>
      <c r="K233" s="12" t="s">
        <v>505</v>
      </c>
      <c r="L233" s="2" t="s">
        <v>2</v>
      </c>
      <c r="M233" s="12" t="s">
        <v>314</v>
      </c>
      <c r="N233" s="14" t="s">
        <v>470</v>
      </c>
      <c r="O233" s="12" t="s">
        <v>92</v>
      </c>
      <c r="P233" s="14" t="s">
        <v>311</v>
      </c>
      <c r="Q233" s="12" t="s">
        <v>310</v>
      </c>
      <c r="R233" s="14" t="s">
        <v>318</v>
      </c>
      <c r="S233" s="12" t="s">
        <v>2</v>
      </c>
      <c r="T233" s="14" t="s">
        <v>2</v>
      </c>
      <c r="U233" s="12" t="s">
        <v>314</v>
      </c>
      <c r="V233" s="4" t="s">
        <v>0</v>
      </c>
      <c r="W233" s="3" t="str">
        <f t="shared" si="9"/>
        <v>PIL-L0.50m-BLC-CON-OSI</v>
      </c>
      <c r="X233" s="3" t="str">
        <f t="shared" si="10"/>
        <v>PIL-L0.50m-BLC-CON-OSI-232</v>
      </c>
      <c r="Y233" s="3" t="str">
        <f t="shared" si="11"/>
        <v>Pilar 0.50m em bloco do CT concreto oval simétrico. Localização: bloco A</v>
      </c>
    </row>
    <row r="234" spans="1:25" ht="8.25" customHeight="1" x14ac:dyDescent="0.25">
      <c r="A234" s="13">
        <v>233</v>
      </c>
      <c r="B234" s="3" t="s">
        <v>302</v>
      </c>
      <c r="C234" s="12" t="s">
        <v>303</v>
      </c>
      <c r="D234" s="3" t="s">
        <v>302</v>
      </c>
      <c r="E234" s="12" t="s">
        <v>248</v>
      </c>
      <c r="F234" s="2" t="s">
        <v>530</v>
      </c>
      <c r="G234" s="12" t="s">
        <v>249</v>
      </c>
      <c r="H234" s="2" t="s">
        <v>2</v>
      </c>
      <c r="I234" s="12" t="s">
        <v>0</v>
      </c>
      <c r="J234" s="2" t="s">
        <v>2</v>
      </c>
      <c r="K234" s="12" t="s">
        <v>505</v>
      </c>
      <c r="L234" s="2" t="s">
        <v>2</v>
      </c>
      <c r="M234" s="12" t="s">
        <v>314</v>
      </c>
      <c r="N234" s="14" t="s">
        <v>470</v>
      </c>
      <c r="O234" s="12" t="s">
        <v>92</v>
      </c>
      <c r="P234" s="14" t="s">
        <v>311</v>
      </c>
      <c r="Q234" s="12" t="s">
        <v>309</v>
      </c>
      <c r="R234" s="14" t="s">
        <v>319</v>
      </c>
      <c r="S234" s="12" t="s">
        <v>2</v>
      </c>
      <c r="T234" s="14" t="s">
        <v>2</v>
      </c>
      <c r="U234" s="12" t="s">
        <v>314</v>
      </c>
      <c r="V234" s="4" t="s">
        <v>0</v>
      </c>
      <c r="W234" s="3" t="str">
        <f t="shared" si="9"/>
        <v>PIL-L0.50m-BLC-CON-OAS</v>
      </c>
      <c r="X234" s="3" t="str">
        <f t="shared" si="10"/>
        <v>PIL-L0.50m-BLC-CON-OAS-233</v>
      </c>
      <c r="Y234" s="3" t="str">
        <f t="shared" si="11"/>
        <v>Pilar 0.50m em bloco do CT concreto oval asimétrico. Localização: bloco A</v>
      </c>
    </row>
    <row r="235" spans="1:25" ht="8.25" customHeight="1" x14ac:dyDescent="0.25">
      <c r="A235" s="13">
        <v>234</v>
      </c>
      <c r="B235" s="3" t="s">
        <v>302</v>
      </c>
      <c r="C235" s="12" t="s">
        <v>303</v>
      </c>
      <c r="D235" s="3" t="s">
        <v>302</v>
      </c>
      <c r="E235" s="12" t="s">
        <v>248</v>
      </c>
      <c r="F235" s="2" t="s">
        <v>528</v>
      </c>
      <c r="G235" s="12" t="s">
        <v>249</v>
      </c>
      <c r="H235" s="2" t="s">
        <v>2</v>
      </c>
      <c r="I235" s="12" t="s">
        <v>0</v>
      </c>
      <c r="J235" s="2" t="s">
        <v>2</v>
      </c>
      <c r="K235" s="12" t="s">
        <v>505</v>
      </c>
      <c r="L235" s="2" t="s">
        <v>2</v>
      </c>
      <c r="M235" s="12" t="s">
        <v>316</v>
      </c>
      <c r="N235" s="14" t="s">
        <v>359</v>
      </c>
      <c r="O235" s="12" t="s">
        <v>313</v>
      </c>
      <c r="P235" s="14" t="s">
        <v>312</v>
      </c>
      <c r="Q235" s="12" t="s">
        <v>322</v>
      </c>
      <c r="R235" s="14" t="s">
        <v>321</v>
      </c>
      <c r="S235" s="12" t="s">
        <v>2</v>
      </c>
      <c r="T235" s="14" t="s">
        <v>2</v>
      </c>
      <c r="U235" s="12" t="s">
        <v>314</v>
      </c>
      <c r="V235" s="4" t="s">
        <v>0</v>
      </c>
      <c r="W235" s="3" t="str">
        <f t="shared" si="9"/>
        <v>PIL-L0.10m-MZN-MET-RET</v>
      </c>
      <c r="X235" s="3" t="str">
        <f t="shared" si="10"/>
        <v>PIL-L0.10m-MZN-MET-RET-234</v>
      </c>
      <c r="Y235" s="3" t="str">
        <f t="shared" si="11"/>
        <v>Pilar 0.10m em mezanino metálico retangular. Localização: bloco A</v>
      </c>
    </row>
    <row r="236" spans="1:25" ht="8.25" customHeight="1" x14ac:dyDescent="0.25">
      <c r="A236" s="13">
        <v>235</v>
      </c>
      <c r="B236" s="3" t="s">
        <v>302</v>
      </c>
      <c r="C236" s="12" t="s">
        <v>303</v>
      </c>
      <c r="D236" s="3" t="s">
        <v>302</v>
      </c>
      <c r="E236" s="12" t="s">
        <v>248</v>
      </c>
      <c r="F236" s="2" t="s">
        <v>528</v>
      </c>
      <c r="G236" s="12" t="s">
        <v>249</v>
      </c>
      <c r="H236" s="2" t="s">
        <v>2</v>
      </c>
      <c r="I236" s="12" t="s">
        <v>0</v>
      </c>
      <c r="J236" s="2" t="s">
        <v>2</v>
      </c>
      <c r="K236" s="12" t="s">
        <v>505</v>
      </c>
      <c r="L236" s="2" t="s">
        <v>2</v>
      </c>
      <c r="M236" s="12" t="s">
        <v>38</v>
      </c>
      <c r="N236" s="14" t="s">
        <v>326</v>
      </c>
      <c r="O236" s="12" t="s">
        <v>313</v>
      </c>
      <c r="P236" s="14" t="s">
        <v>312</v>
      </c>
      <c r="Q236" s="12" t="s">
        <v>237</v>
      </c>
      <c r="R236" s="14" t="s">
        <v>317</v>
      </c>
      <c r="S236" s="12" t="s">
        <v>2</v>
      </c>
      <c r="T236" s="14" t="s">
        <v>2</v>
      </c>
      <c r="U236" s="12" t="s">
        <v>314</v>
      </c>
      <c r="V236" s="4" t="s">
        <v>0</v>
      </c>
      <c r="W236" s="3" t="str">
        <f t="shared" si="9"/>
        <v>PIL-L0.10m-FAC-MET-CIR</v>
      </c>
      <c r="X236" s="3" t="str">
        <f t="shared" si="10"/>
        <v>PIL-L0.10m-FAC-MET-CIR-235</v>
      </c>
      <c r="Y236" s="3" t="str">
        <f t="shared" si="11"/>
        <v>Pilar 0.10m na fachada metálico circular. Localização: bloco A</v>
      </c>
    </row>
    <row r="237" spans="1:25" ht="8.25" customHeight="1" x14ac:dyDescent="0.25">
      <c r="A237" s="13">
        <v>236</v>
      </c>
      <c r="B237" s="3" t="s">
        <v>302</v>
      </c>
      <c r="C237" s="12" t="s">
        <v>303</v>
      </c>
      <c r="D237" s="3" t="s">
        <v>302</v>
      </c>
      <c r="E237" s="12" t="s">
        <v>248</v>
      </c>
      <c r="F237" s="2" t="s">
        <v>2</v>
      </c>
      <c r="G237" s="12" t="s">
        <v>249</v>
      </c>
      <c r="H237" s="2" t="s">
        <v>2</v>
      </c>
      <c r="I237" s="12" t="s">
        <v>0</v>
      </c>
      <c r="J237" s="2" t="s">
        <v>2</v>
      </c>
      <c r="K237" s="12" t="s">
        <v>505</v>
      </c>
      <c r="L237" s="2" t="s">
        <v>2</v>
      </c>
      <c r="M237" s="12" t="s">
        <v>328</v>
      </c>
      <c r="N237" s="14" t="s">
        <v>327</v>
      </c>
      <c r="O237" s="12" t="s">
        <v>92</v>
      </c>
      <c r="P237" s="14" t="s">
        <v>311</v>
      </c>
      <c r="Q237" s="12" t="s">
        <v>2</v>
      </c>
      <c r="R237" s="14" t="s">
        <v>2</v>
      </c>
      <c r="S237" s="12" t="s">
        <v>2</v>
      </c>
      <c r="T237" s="14" t="s">
        <v>2</v>
      </c>
      <c r="U237" s="12" t="s">
        <v>314</v>
      </c>
      <c r="V237" s="4" t="s">
        <v>0</v>
      </c>
      <c r="W237" s="3" t="str">
        <f t="shared" si="9"/>
        <v>PIL-PBI-CON</v>
      </c>
      <c r="X237" s="3" t="str">
        <f t="shared" si="10"/>
        <v>PIL-PBI-CON-236</v>
      </c>
      <c r="Y237" s="3" t="str">
        <f t="shared" si="11"/>
        <v>Pilar ponte bloco I concreto. Localização: bloco A</v>
      </c>
    </row>
    <row r="238" spans="1:25" ht="8.25" customHeight="1" x14ac:dyDescent="0.25">
      <c r="A238" s="13">
        <v>237</v>
      </c>
      <c r="B238" s="3" t="s">
        <v>304</v>
      </c>
      <c r="C238" s="12" t="s">
        <v>125</v>
      </c>
      <c r="D238" s="3" t="s">
        <v>304</v>
      </c>
      <c r="E238" s="12" t="s">
        <v>248</v>
      </c>
      <c r="F238" s="2" t="s">
        <v>523</v>
      </c>
      <c r="G238" s="12" t="s">
        <v>249</v>
      </c>
      <c r="H238" s="2" t="s">
        <v>2</v>
      </c>
      <c r="I238" s="12" t="s">
        <v>0</v>
      </c>
      <c r="J238" s="2" t="s">
        <v>511</v>
      </c>
      <c r="K238" s="12" t="s">
        <v>505</v>
      </c>
      <c r="L238" s="2" t="s">
        <v>2</v>
      </c>
      <c r="M238" s="12" t="s">
        <v>314</v>
      </c>
      <c r="N238" s="14" t="s">
        <v>470</v>
      </c>
      <c r="O238" s="12" t="s">
        <v>92</v>
      </c>
      <c r="P238" s="14" t="s">
        <v>311</v>
      </c>
      <c r="Q238" s="12" t="s">
        <v>322</v>
      </c>
      <c r="R238" s="14" t="s">
        <v>321</v>
      </c>
      <c r="S238" s="12" t="s">
        <v>2</v>
      </c>
      <c r="T238" s="14" t="s">
        <v>2</v>
      </c>
      <c r="U238" s="12" t="s">
        <v>314</v>
      </c>
      <c r="V238" s="4" t="s">
        <v>0</v>
      </c>
      <c r="W238" s="3" t="str">
        <f t="shared" si="9"/>
        <v>VIG-L0.07m-A1.35m-BLC-CON-RET</v>
      </c>
      <c r="X238" s="3" t="str">
        <f t="shared" si="10"/>
        <v>VIG-L0.07m-A1.35m-BLC-CON-RET-237</v>
      </c>
      <c r="Y238" s="3" t="str">
        <f t="shared" si="11"/>
        <v>Viga 0.07m 1.35m em bloco do CT concreto retangular. Localização: bloco A</v>
      </c>
    </row>
    <row r="239" spans="1:25" ht="8.25" customHeight="1" x14ac:dyDescent="0.25">
      <c r="A239" s="13">
        <v>238</v>
      </c>
      <c r="B239" s="3" t="s">
        <v>304</v>
      </c>
      <c r="C239" s="12" t="s">
        <v>125</v>
      </c>
      <c r="D239" s="3" t="s">
        <v>304</v>
      </c>
      <c r="E239" s="12" t="s">
        <v>248</v>
      </c>
      <c r="F239" s="2" t="s">
        <v>523</v>
      </c>
      <c r="G239" s="12" t="s">
        <v>249</v>
      </c>
      <c r="H239" s="2" t="s">
        <v>2</v>
      </c>
      <c r="I239" s="12" t="s">
        <v>0</v>
      </c>
      <c r="J239" s="2" t="s">
        <v>512</v>
      </c>
      <c r="K239" s="12" t="s">
        <v>505</v>
      </c>
      <c r="L239" s="2" t="s">
        <v>2</v>
      </c>
      <c r="M239" s="12" t="s">
        <v>38</v>
      </c>
      <c r="N239" s="14" t="s">
        <v>326</v>
      </c>
      <c r="O239" s="12" t="s">
        <v>92</v>
      </c>
      <c r="P239" s="14" t="s">
        <v>311</v>
      </c>
      <c r="Q239" s="12" t="s">
        <v>322</v>
      </c>
      <c r="R239" s="14" t="s">
        <v>321</v>
      </c>
      <c r="S239" s="12" t="s">
        <v>349</v>
      </c>
      <c r="T239" s="14" t="s">
        <v>332</v>
      </c>
      <c r="U239" s="12" t="s">
        <v>314</v>
      </c>
      <c r="V239" s="4" t="s">
        <v>0</v>
      </c>
      <c r="W239" s="3" t="str">
        <f t="shared" si="9"/>
        <v>VIG-L0.07m-A1.45m-FAC-CON-RET-HOR</v>
      </c>
      <c r="X239" s="3" t="str">
        <f t="shared" si="10"/>
        <v>VIG-L0.07m-A1.45m-FAC-CON-RET-HOR-238</v>
      </c>
      <c r="Y239" s="3" t="str">
        <f t="shared" si="11"/>
        <v>Viga 0.07m 1.45m na fachada concreto retangular horizontal. Localização: bloco A</v>
      </c>
    </row>
    <row r="240" spans="1:25" ht="8.25" customHeight="1" x14ac:dyDescent="0.25">
      <c r="A240" s="13">
        <v>239</v>
      </c>
      <c r="B240" s="3" t="s">
        <v>304</v>
      </c>
      <c r="C240" s="12" t="s">
        <v>125</v>
      </c>
      <c r="D240" s="3" t="s">
        <v>304</v>
      </c>
      <c r="E240" s="12" t="s">
        <v>248</v>
      </c>
      <c r="F240" s="2" t="s">
        <v>528</v>
      </c>
      <c r="G240" s="12" t="s">
        <v>249</v>
      </c>
      <c r="H240" s="2" t="s">
        <v>2</v>
      </c>
      <c r="I240" s="12" t="s">
        <v>0</v>
      </c>
      <c r="J240" s="2" t="s">
        <v>536</v>
      </c>
      <c r="K240" s="12" t="s">
        <v>505</v>
      </c>
      <c r="L240" s="2" t="s">
        <v>2</v>
      </c>
      <c r="M240" s="12" t="s">
        <v>314</v>
      </c>
      <c r="N240" s="14" t="s">
        <v>470</v>
      </c>
      <c r="O240" s="12" t="s">
        <v>92</v>
      </c>
      <c r="P240" s="14" t="s">
        <v>311</v>
      </c>
      <c r="Q240" s="12" t="s">
        <v>322</v>
      </c>
      <c r="R240" s="14" t="s">
        <v>321</v>
      </c>
      <c r="S240" s="12" t="s">
        <v>2</v>
      </c>
      <c r="T240" s="14" t="s">
        <v>2</v>
      </c>
      <c r="U240" s="12" t="s">
        <v>314</v>
      </c>
      <c r="V240" s="4" t="s">
        <v>0</v>
      </c>
      <c r="W240" s="3" t="str">
        <f t="shared" si="9"/>
        <v>VIG-L0.10m-A0.40m-BLC-CON-RET</v>
      </c>
      <c r="X240" s="3" t="str">
        <f t="shared" si="10"/>
        <v>VIG-L0.10m-A0.40m-BLC-CON-RET-239</v>
      </c>
      <c r="Y240" s="3" t="str">
        <f t="shared" si="11"/>
        <v>Viga 0.10m 0.40m em bloco do CT concreto retangular. Localização: bloco A</v>
      </c>
    </row>
    <row r="241" spans="1:25" ht="8.25" customHeight="1" x14ac:dyDescent="0.25">
      <c r="A241" s="13">
        <v>240</v>
      </c>
      <c r="B241" s="3" t="s">
        <v>304</v>
      </c>
      <c r="C241" s="12" t="s">
        <v>125</v>
      </c>
      <c r="D241" s="3" t="s">
        <v>304</v>
      </c>
      <c r="E241" s="12" t="s">
        <v>248</v>
      </c>
      <c r="F241" s="2" t="s">
        <v>528</v>
      </c>
      <c r="G241" s="12" t="s">
        <v>249</v>
      </c>
      <c r="H241" s="2" t="s">
        <v>2</v>
      </c>
      <c r="I241" s="12" t="s">
        <v>0</v>
      </c>
      <c r="J241" s="2" t="s">
        <v>530</v>
      </c>
      <c r="K241" s="12" t="s">
        <v>505</v>
      </c>
      <c r="L241" s="2" t="s">
        <v>2</v>
      </c>
      <c r="M241" s="12" t="s">
        <v>314</v>
      </c>
      <c r="N241" s="14" t="s">
        <v>470</v>
      </c>
      <c r="O241" s="12" t="s">
        <v>92</v>
      </c>
      <c r="P241" s="14" t="s">
        <v>311</v>
      </c>
      <c r="Q241" s="12" t="s">
        <v>322</v>
      </c>
      <c r="R241" s="14" t="s">
        <v>321</v>
      </c>
      <c r="S241" s="12" t="s">
        <v>2</v>
      </c>
      <c r="T241" s="14" t="s">
        <v>2</v>
      </c>
      <c r="U241" s="12" t="s">
        <v>314</v>
      </c>
      <c r="V241" s="4" t="s">
        <v>0</v>
      </c>
      <c r="W241" s="3" t="str">
        <f t="shared" si="9"/>
        <v>VIG-L0.10m-A0.50m-BLC-CON-RET</v>
      </c>
      <c r="X241" s="3" t="str">
        <f t="shared" si="10"/>
        <v>VIG-L0.10m-A0.50m-BLC-CON-RET-240</v>
      </c>
      <c r="Y241" s="3" t="str">
        <f t="shared" si="11"/>
        <v>Viga 0.10m 0.50m em bloco do CT concreto retangular. Localização: bloco A</v>
      </c>
    </row>
    <row r="242" spans="1:25" ht="8.25" customHeight="1" x14ac:dyDescent="0.25">
      <c r="A242" s="13">
        <v>241</v>
      </c>
      <c r="B242" s="3" t="s">
        <v>304</v>
      </c>
      <c r="C242" s="12" t="s">
        <v>125</v>
      </c>
      <c r="D242" s="3" t="s">
        <v>304</v>
      </c>
      <c r="E242" s="12" t="s">
        <v>248</v>
      </c>
      <c r="F242" s="2" t="s">
        <v>528</v>
      </c>
      <c r="G242" s="12" t="s">
        <v>249</v>
      </c>
      <c r="H242" s="2" t="s">
        <v>2</v>
      </c>
      <c r="I242" s="12" t="s">
        <v>0</v>
      </c>
      <c r="J242" s="2" t="s">
        <v>542</v>
      </c>
      <c r="K242" s="12" t="s">
        <v>505</v>
      </c>
      <c r="L242" s="2" t="s">
        <v>2</v>
      </c>
      <c r="M242" s="12" t="s">
        <v>314</v>
      </c>
      <c r="N242" s="14" t="s">
        <v>470</v>
      </c>
      <c r="O242" s="12" t="s">
        <v>92</v>
      </c>
      <c r="P242" s="14" t="s">
        <v>311</v>
      </c>
      <c r="Q242" s="12" t="s">
        <v>322</v>
      </c>
      <c r="R242" s="14" t="s">
        <v>321</v>
      </c>
      <c r="S242" s="12" t="s">
        <v>2</v>
      </c>
      <c r="T242" s="14" t="s">
        <v>2</v>
      </c>
      <c r="U242" s="12" t="s">
        <v>314</v>
      </c>
      <c r="V242" s="4" t="s">
        <v>0</v>
      </c>
      <c r="W242" s="3" t="str">
        <f t="shared" si="9"/>
        <v>VIG-L0.10m-A0.55m-BLC-CON-RET</v>
      </c>
      <c r="X242" s="3" t="str">
        <f t="shared" si="10"/>
        <v>VIG-L0.10m-A0.55m-BLC-CON-RET-241</v>
      </c>
      <c r="Y242" s="3" t="str">
        <f t="shared" si="11"/>
        <v>Viga 0.10m 0.55m em bloco do CT concreto retangular. Localização: bloco A</v>
      </c>
    </row>
    <row r="243" spans="1:25" ht="8.25" customHeight="1" x14ac:dyDescent="0.25">
      <c r="A243" s="13">
        <v>242</v>
      </c>
      <c r="B243" s="3" t="s">
        <v>304</v>
      </c>
      <c r="C243" s="12" t="s">
        <v>125</v>
      </c>
      <c r="D243" s="3" t="s">
        <v>304</v>
      </c>
      <c r="E243" s="12" t="s">
        <v>248</v>
      </c>
      <c r="F243" s="2" t="s">
        <v>528</v>
      </c>
      <c r="G243" s="12" t="s">
        <v>249</v>
      </c>
      <c r="H243" s="2" t="s">
        <v>2</v>
      </c>
      <c r="I243" s="12" t="s">
        <v>0</v>
      </c>
      <c r="J243" s="2" t="s">
        <v>554</v>
      </c>
      <c r="K243" s="12" t="s">
        <v>505</v>
      </c>
      <c r="L243" s="2" t="s">
        <v>2</v>
      </c>
      <c r="M243" s="12" t="s">
        <v>314</v>
      </c>
      <c r="N243" s="14" t="s">
        <v>470</v>
      </c>
      <c r="O243" s="12" t="s">
        <v>92</v>
      </c>
      <c r="P243" s="14" t="s">
        <v>311</v>
      </c>
      <c r="Q243" s="12" t="s">
        <v>322</v>
      </c>
      <c r="R243" s="14" t="s">
        <v>321</v>
      </c>
      <c r="S243" s="12" t="s">
        <v>2</v>
      </c>
      <c r="T243" s="14" t="s">
        <v>2</v>
      </c>
      <c r="U243" s="12" t="s">
        <v>314</v>
      </c>
      <c r="V243" s="4" t="s">
        <v>0</v>
      </c>
      <c r="W243" s="3" t="str">
        <f t="shared" si="9"/>
        <v>VIG-L0.10m-A0.58m-BLC-CON-RET</v>
      </c>
      <c r="X243" s="3" t="str">
        <f t="shared" si="10"/>
        <v>VIG-L0.10m-A0.58m-BLC-CON-RET-242</v>
      </c>
      <c r="Y243" s="3" t="str">
        <f t="shared" si="11"/>
        <v>Viga 0.10m 0.58m em bloco do CT concreto retangular. Localização: bloco A</v>
      </c>
    </row>
    <row r="244" spans="1:25" ht="8.25" customHeight="1" x14ac:dyDescent="0.25">
      <c r="A244" s="13">
        <v>243</v>
      </c>
      <c r="B244" s="3" t="s">
        <v>304</v>
      </c>
      <c r="C244" s="12" t="s">
        <v>125</v>
      </c>
      <c r="D244" s="3" t="s">
        <v>304</v>
      </c>
      <c r="E244" s="12" t="s">
        <v>248</v>
      </c>
      <c r="F244" s="2" t="s">
        <v>528</v>
      </c>
      <c r="G244" s="12" t="s">
        <v>249</v>
      </c>
      <c r="H244" s="2" t="s">
        <v>2</v>
      </c>
      <c r="I244" s="12" t="s">
        <v>0</v>
      </c>
      <c r="J244" s="2" t="s">
        <v>524</v>
      </c>
      <c r="K244" s="12" t="s">
        <v>505</v>
      </c>
      <c r="L244" s="2" t="s">
        <v>2</v>
      </c>
      <c r="M244" s="12" t="s">
        <v>314</v>
      </c>
      <c r="N244" s="14" t="s">
        <v>470</v>
      </c>
      <c r="O244" s="12" t="s">
        <v>92</v>
      </c>
      <c r="P244" s="14" t="s">
        <v>311</v>
      </c>
      <c r="Q244" s="12" t="s">
        <v>322</v>
      </c>
      <c r="R244" s="14" t="s">
        <v>321</v>
      </c>
      <c r="S244" s="12" t="s">
        <v>2</v>
      </c>
      <c r="T244" s="14" t="s">
        <v>2</v>
      </c>
      <c r="U244" s="12" t="s">
        <v>314</v>
      </c>
      <c r="V244" s="4" t="s">
        <v>0</v>
      </c>
      <c r="W244" s="3" t="str">
        <f t="shared" si="9"/>
        <v>VIG-L0.10m-A0.60m-BLC-CON-RET</v>
      </c>
      <c r="X244" s="3" t="str">
        <f t="shared" si="10"/>
        <v>VIG-L0.10m-A0.60m-BLC-CON-RET-243</v>
      </c>
      <c r="Y244" s="3" t="str">
        <f t="shared" si="11"/>
        <v>Viga 0.10m 0.60m em bloco do CT concreto retangular. Localização: bloco A</v>
      </c>
    </row>
    <row r="245" spans="1:25" ht="8.25" customHeight="1" x14ac:dyDescent="0.25">
      <c r="A245" s="13">
        <v>244</v>
      </c>
      <c r="B245" s="3" t="s">
        <v>304</v>
      </c>
      <c r="C245" s="12" t="s">
        <v>125</v>
      </c>
      <c r="D245" s="3" t="s">
        <v>304</v>
      </c>
      <c r="E245" s="12" t="s">
        <v>248</v>
      </c>
      <c r="F245" s="2" t="s">
        <v>528</v>
      </c>
      <c r="G245" s="12" t="s">
        <v>249</v>
      </c>
      <c r="H245" s="2" t="s">
        <v>2</v>
      </c>
      <c r="I245" s="12" t="s">
        <v>0</v>
      </c>
      <c r="J245" s="2" t="s">
        <v>511</v>
      </c>
      <c r="K245" s="12" t="s">
        <v>505</v>
      </c>
      <c r="L245" s="2" t="s">
        <v>2</v>
      </c>
      <c r="M245" s="12" t="s">
        <v>314</v>
      </c>
      <c r="N245" s="14" t="s">
        <v>470</v>
      </c>
      <c r="O245" s="12" t="s">
        <v>92</v>
      </c>
      <c r="P245" s="14" t="s">
        <v>311</v>
      </c>
      <c r="Q245" s="12" t="s">
        <v>322</v>
      </c>
      <c r="R245" s="14" t="s">
        <v>321</v>
      </c>
      <c r="S245" s="12" t="s">
        <v>2</v>
      </c>
      <c r="T245" s="14" t="s">
        <v>2</v>
      </c>
      <c r="U245" s="12" t="s">
        <v>314</v>
      </c>
      <c r="V245" s="4" t="s">
        <v>0</v>
      </c>
      <c r="W245" s="3" t="str">
        <f t="shared" si="9"/>
        <v>VIG-L0.10m-A1.35m-BLC-CON-RET</v>
      </c>
      <c r="X245" s="3" t="str">
        <f t="shared" si="10"/>
        <v>VIG-L0.10m-A1.35m-BLC-CON-RET-244</v>
      </c>
      <c r="Y245" s="3" t="str">
        <f t="shared" si="11"/>
        <v>Viga 0.10m 1.35m em bloco do CT concreto retangular. Localização: bloco A</v>
      </c>
    </row>
    <row r="246" spans="1:25" ht="8.25" customHeight="1" x14ac:dyDescent="0.25">
      <c r="A246" s="13">
        <v>245</v>
      </c>
      <c r="B246" s="3" t="s">
        <v>304</v>
      </c>
      <c r="C246" s="12" t="s">
        <v>125</v>
      </c>
      <c r="D246" s="3" t="s">
        <v>304</v>
      </c>
      <c r="E246" s="12" t="s">
        <v>248</v>
      </c>
      <c r="F246" s="2" t="s">
        <v>528</v>
      </c>
      <c r="G246" s="12" t="s">
        <v>249</v>
      </c>
      <c r="H246" s="2" t="s">
        <v>2</v>
      </c>
      <c r="I246" s="12" t="s">
        <v>0</v>
      </c>
      <c r="J246" s="2" t="s">
        <v>509</v>
      </c>
      <c r="K246" s="12" t="s">
        <v>505</v>
      </c>
      <c r="L246" s="2" t="s">
        <v>2</v>
      </c>
      <c r="M246" s="12" t="s">
        <v>314</v>
      </c>
      <c r="N246" s="14" t="s">
        <v>470</v>
      </c>
      <c r="O246" s="12" t="s">
        <v>92</v>
      </c>
      <c r="P246" s="14" t="s">
        <v>311</v>
      </c>
      <c r="Q246" s="12" t="s">
        <v>322</v>
      </c>
      <c r="R246" s="14" t="s">
        <v>321</v>
      </c>
      <c r="S246" s="12" t="s">
        <v>2</v>
      </c>
      <c r="T246" s="14" t="s">
        <v>2</v>
      </c>
      <c r="U246" s="12" t="s">
        <v>314</v>
      </c>
      <c r="V246" s="4" t="s">
        <v>0</v>
      </c>
      <c r="W246" s="3" t="str">
        <f t="shared" si="9"/>
        <v>VIG-L0.10m-A1.40m-BLC-CON-RET</v>
      </c>
      <c r="X246" s="3" t="str">
        <f t="shared" si="10"/>
        <v>VIG-L0.10m-A1.40m-BLC-CON-RET-245</v>
      </c>
      <c r="Y246" s="3" t="str">
        <f t="shared" si="11"/>
        <v>Viga 0.10m 1.40m em bloco do CT concreto retangular. Localização: bloco A</v>
      </c>
    </row>
    <row r="247" spans="1:25" ht="8.25" customHeight="1" x14ac:dyDescent="0.25">
      <c r="A247" s="13">
        <v>246</v>
      </c>
      <c r="B247" s="3" t="s">
        <v>304</v>
      </c>
      <c r="C247" s="12" t="s">
        <v>125</v>
      </c>
      <c r="D247" s="3" t="s">
        <v>304</v>
      </c>
      <c r="E247" s="12" t="s">
        <v>248</v>
      </c>
      <c r="F247" s="2" t="s">
        <v>531</v>
      </c>
      <c r="G247" s="12" t="s">
        <v>249</v>
      </c>
      <c r="H247" s="2" t="s">
        <v>2</v>
      </c>
      <c r="I247" s="12" t="s">
        <v>0</v>
      </c>
      <c r="J247" s="2" t="s">
        <v>533</v>
      </c>
      <c r="K247" s="12" t="s">
        <v>505</v>
      </c>
      <c r="L247" s="2" t="s">
        <v>2</v>
      </c>
      <c r="M247" s="12" t="s">
        <v>314</v>
      </c>
      <c r="N247" s="14" t="s">
        <v>470</v>
      </c>
      <c r="O247" s="12" t="s">
        <v>92</v>
      </c>
      <c r="P247" s="14" t="s">
        <v>311</v>
      </c>
      <c r="Q247" s="12" t="s">
        <v>322</v>
      </c>
      <c r="R247" s="14" t="s">
        <v>321</v>
      </c>
      <c r="S247" s="12" t="s">
        <v>2</v>
      </c>
      <c r="T247" s="14" t="s">
        <v>2</v>
      </c>
      <c r="U247" s="12" t="s">
        <v>314</v>
      </c>
      <c r="V247" s="4" t="s">
        <v>0</v>
      </c>
      <c r="W247" s="3" t="str">
        <f t="shared" si="9"/>
        <v>VIG-L0.15m-A0.30m-BLC-CON-RET</v>
      </c>
      <c r="X247" s="3" t="str">
        <f t="shared" si="10"/>
        <v>VIG-L0.15m-A0.30m-BLC-CON-RET-246</v>
      </c>
      <c r="Y247" s="3" t="str">
        <f t="shared" si="11"/>
        <v>Viga 0.15m 0.30m em bloco do CT concreto retangular. Localização: bloco A</v>
      </c>
    </row>
    <row r="248" spans="1:25" ht="8.25" customHeight="1" x14ac:dyDescent="0.25">
      <c r="A248" s="13">
        <v>247</v>
      </c>
      <c r="B248" s="3" t="s">
        <v>304</v>
      </c>
      <c r="C248" s="12" t="s">
        <v>125</v>
      </c>
      <c r="D248" s="3" t="s">
        <v>304</v>
      </c>
      <c r="E248" s="12" t="s">
        <v>248</v>
      </c>
      <c r="F248" s="2" t="s">
        <v>531</v>
      </c>
      <c r="G248" s="12" t="s">
        <v>249</v>
      </c>
      <c r="H248" s="2" t="s">
        <v>2</v>
      </c>
      <c r="I248" s="12" t="s">
        <v>0</v>
      </c>
      <c r="J248" s="2" t="s">
        <v>536</v>
      </c>
      <c r="K248" s="12" t="s">
        <v>505</v>
      </c>
      <c r="L248" s="2" t="s">
        <v>2</v>
      </c>
      <c r="M248" s="12" t="s">
        <v>314</v>
      </c>
      <c r="N248" s="14" t="s">
        <v>470</v>
      </c>
      <c r="O248" s="12" t="s">
        <v>92</v>
      </c>
      <c r="P248" s="14" t="s">
        <v>311</v>
      </c>
      <c r="Q248" s="12" t="s">
        <v>322</v>
      </c>
      <c r="R248" s="14" t="s">
        <v>321</v>
      </c>
      <c r="S248" s="12" t="s">
        <v>2</v>
      </c>
      <c r="T248" s="14" t="s">
        <v>2</v>
      </c>
      <c r="U248" s="12" t="s">
        <v>314</v>
      </c>
      <c r="V248" s="4" t="s">
        <v>0</v>
      </c>
      <c r="W248" s="3" t="str">
        <f t="shared" si="9"/>
        <v>VIG-L0.15m-A0.40m-BLC-CON-RET</v>
      </c>
      <c r="X248" s="3" t="str">
        <f t="shared" si="10"/>
        <v>VIG-L0.15m-A0.40m-BLC-CON-RET-247</v>
      </c>
      <c r="Y248" s="3" t="str">
        <f t="shared" si="11"/>
        <v>Viga 0.15m 0.40m em bloco do CT concreto retangular. Localização: bloco A</v>
      </c>
    </row>
    <row r="249" spans="1:25" ht="8.25" customHeight="1" x14ac:dyDescent="0.25">
      <c r="A249" s="13">
        <v>248</v>
      </c>
      <c r="B249" s="3" t="s">
        <v>304</v>
      </c>
      <c r="C249" s="12" t="s">
        <v>125</v>
      </c>
      <c r="D249" s="3" t="s">
        <v>304</v>
      </c>
      <c r="E249" s="12" t="s">
        <v>248</v>
      </c>
      <c r="F249" s="2" t="s">
        <v>531</v>
      </c>
      <c r="G249" s="12" t="s">
        <v>249</v>
      </c>
      <c r="H249" s="2" t="s">
        <v>2</v>
      </c>
      <c r="I249" s="12" t="s">
        <v>0</v>
      </c>
      <c r="J249" s="2" t="s">
        <v>530</v>
      </c>
      <c r="K249" s="12" t="s">
        <v>505</v>
      </c>
      <c r="L249" s="2" t="s">
        <v>2</v>
      </c>
      <c r="M249" s="12" t="s">
        <v>314</v>
      </c>
      <c r="N249" s="14" t="s">
        <v>470</v>
      </c>
      <c r="O249" s="12" t="s">
        <v>92</v>
      </c>
      <c r="P249" s="14" t="s">
        <v>311</v>
      </c>
      <c r="Q249" s="12" t="s">
        <v>322</v>
      </c>
      <c r="R249" s="14" t="s">
        <v>321</v>
      </c>
      <c r="S249" s="12" t="s">
        <v>2</v>
      </c>
      <c r="T249" s="14" t="s">
        <v>2</v>
      </c>
      <c r="U249" s="12" t="s">
        <v>314</v>
      </c>
      <c r="V249" s="4" t="s">
        <v>0</v>
      </c>
      <c r="W249" s="3" t="str">
        <f t="shared" si="9"/>
        <v>VIG-L0.15m-A0.50m-BLC-CON-RET</v>
      </c>
      <c r="X249" s="3" t="str">
        <f t="shared" si="10"/>
        <v>VIG-L0.15m-A0.50m-BLC-CON-RET-248</v>
      </c>
      <c r="Y249" s="3" t="str">
        <f t="shared" si="11"/>
        <v>Viga 0.15m 0.50m em bloco do CT concreto retangular. Localização: bloco A</v>
      </c>
    </row>
    <row r="250" spans="1:25" ht="8.25" customHeight="1" x14ac:dyDescent="0.25">
      <c r="A250" s="13">
        <v>249</v>
      </c>
      <c r="B250" s="3" t="s">
        <v>304</v>
      </c>
      <c r="C250" s="12" t="s">
        <v>125</v>
      </c>
      <c r="D250" s="3" t="s">
        <v>304</v>
      </c>
      <c r="E250" s="12" t="s">
        <v>248</v>
      </c>
      <c r="F250" s="2" t="s">
        <v>531</v>
      </c>
      <c r="G250" s="12" t="s">
        <v>249</v>
      </c>
      <c r="H250" s="2" t="s">
        <v>2</v>
      </c>
      <c r="I250" s="12" t="s">
        <v>0</v>
      </c>
      <c r="J250" s="2" t="s">
        <v>524</v>
      </c>
      <c r="K250" s="12" t="s">
        <v>505</v>
      </c>
      <c r="L250" s="2" t="s">
        <v>2</v>
      </c>
      <c r="M250" s="12" t="s">
        <v>314</v>
      </c>
      <c r="N250" s="14" t="s">
        <v>470</v>
      </c>
      <c r="O250" s="12" t="s">
        <v>92</v>
      </c>
      <c r="P250" s="14" t="s">
        <v>311</v>
      </c>
      <c r="Q250" s="12" t="s">
        <v>322</v>
      </c>
      <c r="R250" s="14" t="s">
        <v>321</v>
      </c>
      <c r="S250" s="12" t="s">
        <v>2</v>
      </c>
      <c r="T250" s="14" t="s">
        <v>2</v>
      </c>
      <c r="U250" s="12" t="s">
        <v>314</v>
      </c>
      <c r="V250" s="4" t="s">
        <v>0</v>
      </c>
      <c r="W250" s="3" t="str">
        <f t="shared" si="9"/>
        <v>VIG-L0.15m-A0.60m-BLC-CON-RET</v>
      </c>
      <c r="X250" s="3" t="str">
        <f t="shared" si="10"/>
        <v>VIG-L0.15m-A0.60m-BLC-CON-RET-249</v>
      </c>
      <c r="Y250" s="3" t="str">
        <f t="shared" si="11"/>
        <v>Viga 0.15m 0.60m em bloco do CT concreto retangular. Localização: bloco A</v>
      </c>
    </row>
    <row r="251" spans="1:25" ht="8.25" customHeight="1" x14ac:dyDescent="0.25">
      <c r="A251" s="13">
        <v>250</v>
      </c>
      <c r="B251" s="3" t="s">
        <v>304</v>
      </c>
      <c r="C251" s="12" t="s">
        <v>125</v>
      </c>
      <c r="D251" s="3" t="s">
        <v>304</v>
      </c>
      <c r="E251" s="12" t="s">
        <v>248</v>
      </c>
      <c r="F251" s="2" t="s">
        <v>531</v>
      </c>
      <c r="G251" s="12" t="s">
        <v>249</v>
      </c>
      <c r="H251" s="2" t="s">
        <v>2</v>
      </c>
      <c r="I251" s="12" t="s">
        <v>0</v>
      </c>
      <c r="J251" s="2" t="s">
        <v>506</v>
      </c>
      <c r="K251" s="12" t="s">
        <v>505</v>
      </c>
      <c r="L251" s="2" t="s">
        <v>2</v>
      </c>
      <c r="M251" s="12" t="s">
        <v>314</v>
      </c>
      <c r="N251" s="14" t="s">
        <v>470</v>
      </c>
      <c r="O251" s="12" t="s">
        <v>92</v>
      </c>
      <c r="P251" s="14" t="s">
        <v>311</v>
      </c>
      <c r="Q251" s="12" t="s">
        <v>322</v>
      </c>
      <c r="R251" s="14" t="s">
        <v>321</v>
      </c>
      <c r="S251" s="12" t="s">
        <v>2</v>
      </c>
      <c r="T251" s="14" t="s">
        <v>2</v>
      </c>
      <c r="U251" s="12" t="s">
        <v>314</v>
      </c>
      <c r="V251" s="4" t="s">
        <v>0</v>
      </c>
      <c r="W251" s="3" t="str">
        <f t="shared" si="9"/>
        <v>VIG-L0.15m-A1.20m-BLC-CON-RET</v>
      </c>
      <c r="X251" s="3" t="str">
        <f t="shared" si="10"/>
        <v>VIG-L0.15m-A1.20m-BLC-CON-RET-250</v>
      </c>
      <c r="Y251" s="3" t="str">
        <f t="shared" si="11"/>
        <v>Viga 0.15m 1.20m em bloco do CT concreto retangular. Localização: bloco A</v>
      </c>
    </row>
    <row r="252" spans="1:25" ht="8.25" customHeight="1" x14ac:dyDescent="0.25">
      <c r="A252" s="13">
        <v>251</v>
      </c>
      <c r="B252" s="3" t="s">
        <v>304</v>
      </c>
      <c r="C252" s="12" t="s">
        <v>125</v>
      </c>
      <c r="D252" s="3" t="s">
        <v>304</v>
      </c>
      <c r="E252" s="12" t="s">
        <v>248</v>
      </c>
      <c r="F252" s="2" t="s">
        <v>531</v>
      </c>
      <c r="G252" s="12" t="s">
        <v>249</v>
      </c>
      <c r="H252" s="2" t="s">
        <v>2</v>
      </c>
      <c r="I252" s="12" t="s">
        <v>0</v>
      </c>
      <c r="J252" s="2" t="s">
        <v>513</v>
      </c>
      <c r="K252" s="12" t="s">
        <v>505</v>
      </c>
      <c r="L252" s="2" t="s">
        <v>2</v>
      </c>
      <c r="M252" s="12" t="s">
        <v>314</v>
      </c>
      <c r="N252" s="14" t="s">
        <v>470</v>
      </c>
      <c r="O252" s="12" t="s">
        <v>92</v>
      </c>
      <c r="P252" s="14" t="s">
        <v>311</v>
      </c>
      <c r="Q252" s="12" t="s">
        <v>322</v>
      </c>
      <c r="R252" s="14" t="s">
        <v>321</v>
      </c>
      <c r="S252" s="12" t="s">
        <v>2</v>
      </c>
      <c r="T252" s="14" t="s">
        <v>2</v>
      </c>
      <c r="U252" s="12" t="s">
        <v>314</v>
      </c>
      <c r="V252" s="4" t="s">
        <v>0</v>
      </c>
      <c r="W252" s="3" t="str">
        <f t="shared" si="9"/>
        <v>VIG-L0.15m-A1.68m-BLC-CON-RET</v>
      </c>
      <c r="X252" s="3" t="str">
        <f t="shared" si="10"/>
        <v>VIG-L0.15m-A1.68m-BLC-CON-RET-251</v>
      </c>
      <c r="Y252" s="3" t="str">
        <f t="shared" si="11"/>
        <v>Viga 0.15m 1.68m em bloco do CT concreto retangular. Localização: bloco A</v>
      </c>
    </row>
    <row r="253" spans="1:25" ht="8.25" customHeight="1" x14ac:dyDescent="0.25">
      <c r="A253" s="13">
        <v>252</v>
      </c>
      <c r="B253" s="3" t="s">
        <v>304</v>
      </c>
      <c r="C253" s="12" t="s">
        <v>125</v>
      </c>
      <c r="D253" s="3" t="s">
        <v>304</v>
      </c>
      <c r="E253" s="12" t="s">
        <v>248</v>
      </c>
      <c r="F253" s="2" t="s">
        <v>535</v>
      </c>
      <c r="G253" s="12" t="s">
        <v>249</v>
      </c>
      <c r="H253" s="2" t="s">
        <v>2</v>
      </c>
      <c r="I253" s="12" t="s">
        <v>0</v>
      </c>
      <c r="J253" s="2" t="s">
        <v>535</v>
      </c>
      <c r="K253" s="12" t="s">
        <v>505</v>
      </c>
      <c r="L253" s="2" t="s">
        <v>2</v>
      </c>
      <c r="M253" s="12" t="s">
        <v>314</v>
      </c>
      <c r="N253" s="14" t="s">
        <v>470</v>
      </c>
      <c r="O253" s="12" t="s">
        <v>92</v>
      </c>
      <c r="P253" s="14" t="s">
        <v>311</v>
      </c>
      <c r="Q253" s="12" t="s">
        <v>322</v>
      </c>
      <c r="R253" s="14" t="s">
        <v>321</v>
      </c>
      <c r="S253" s="12" t="s">
        <v>2</v>
      </c>
      <c r="T253" s="14" t="s">
        <v>2</v>
      </c>
      <c r="U253" s="12" t="s">
        <v>314</v>
      </c>
      <c r="V253" s="4" t="s">
        <v>0</v>
      </c>
      <c r="W253" s="3" t="str">
        <f t="shared" si="9"/>
        <v>VIG-L0.20m-A0.20m-BLC-CON-RET</v>
      </c>
      <c r="X253" s="3" t="str">
        <f t="shared" si="10"/>
        <v>VIG-L0.20m-A0.20m-BLC-CON-RET-252</v>
      </c>
      <c r="Y253" s="3" t="str">
        <f t="shared" si="11"/>
        <v>Viga 0.20m 0.20m em bloco do CT concreto retangular. Localização: bloco A</v>
      </c>
    </row>
    <row r="254" spans="1:25" ht="8.25" customHeight="1" x14ac:dyDescent="0.25">
      <c r="A254" s="13">
        <v>253</v>
      </c>
      <c r="B254" s="3" t="s">
        <v>304</v>
      </c>
      <c r="C254" s="12" t="s">
        <v>125</v>
      </c>
      <c r="D254" s="3" t="s">
        <v>304</v>
      </c>
      <c r="E254" s="12" t="s">
        <v>248</v>
      </c>
      <c r="F254" s="2" t="s">
        <v>535</v>
      </c>
      <c r="G254" s="12" t="s">
        <v>249</v>
      </c>
      <c r="H254" s="2" t="s">
        <v>2</v>
      </c>
      <c r="I254" s="12" t="s">
        <v>0</v>
      </c>
      <c r="J254" s="2" t="s">
        <v>542</v>
      </c>
      <c r="K254" s="12" t="s">
        <v>505</v>
      </c>
      <c r="L254" s="2" t="s">
        <v>2</v>
      </c>
      <c r="M254" s="12" t="s">
        <v>314</v>
      </c>
      <c r="N254" s="14" t="s">
        <v>470</v>
      </c>
      <c r="O254" s="12" t="s">
        <v>92</v>
      </c>
      <c r="P254" s="14" t="s">
        <v>311</v>
      </c>
      <c r="Q254" s="12" t="s">
        <v>322</v>
      </c>
      <c r="R254" s="14" t="s">
        <v>321</v>
      </c>
      <c r="S254" s="12" t="s">
        <v>2</v>
      </c>
      <c r="T254" s="14" t="s">
        <v>2</v>
      </c>
      <c r="U254" s="12" t="s">
        <v>314</v>
      </c>
      <c r="V254" s="4" t="s">
        <v>0</v>
      </c>
      <c r="W254" s="3" t="str">
        <f t="shared" si="9"/>
        <v>VIG-L0.20m-A0.55m-BLC-CON-RET</v>
      </c>
      <c r="X254" s="3" t="str">
        <f t="shared" si="10"/>
        <v>VIG-L0.20m-A0.55m-BLC-CON-RET-253</v>
      </c>
      <c r="Y254" s="3" t="str">
        <f t="shared" si="11"/>
        <v>Viga 0.20m 0.55m em bloco do CT concreto retangular. Localização: bloco A</v>
      </c>
    </row>
    <row r="255" spans="1:25" ht="8.25" customHeight="1" x14ac:dyDescent="0.25">
      <c r="A255" s="13">
        <v>254</v>
      </c>
      <c r="B255" s="3" t="s">
        <v>304</v>
      </c>
      <c r="C255" s="12" t="s">
        <v>125</v>
      </c>
      <c r="D255" s="3" t="s">
        <v>304</v>
      </c>
      <c r="E255" s="12" t="s">
        <v>248</v>
      </c>
      <c r="F255" s="2" t="s">
        <v>535</v>
      </c>
      <c r="G255" s="12" t="s">
        <v>249</v>
      </c>
      <c r="H255" s="2" t="s">
        <v>2</v>
      </c>
      <c r="I255" s="12" t="s">
        <v>0</v>
      </c>
      <c r="J255" s="2" t="s">
        <v>554</v>
      </c>
      <c r="K255" s="12" t="s">
        <v>505</v>
      </c>
      <c r="L255" s="2" t="s">
        <v>2</v>
      </c>
      <c r="M255" s="12" t="s">
        <v>314</v>
      </c>
      <c r="N255" s="14" t="s">
        <v>470</v>
      </c>
      <c r="O255" s="12" t="s">
        <v>92</v>
      </c>
      <c r="P255" s="14" t="s">
        <v>311</v>
      </c>
      <c r="Q255" s="12" t="s">
        <v>322</v>
      </c>
      <c r="R255" s="14" t="s">
        <v>321</v>
      </c>
      <c r="S255" s="12" t="s">
        <v>2</v>
      </c>
      <c r="T255" s="14" t="s">
        <v>2</v>
      </c>
      <c r="U255" s="12" t="s">
        <v>314</v>
      </c>
      <c r="V255" s="4" t="s">
        <v>0</v>
      </c>
      <c r="W255" s="3" t="str">
        <f t="shared" si="9"/>
        <v>VIG-L0.20m-A0.58m-BLC-CON-RET</v>
      </c>
      <c r="X255" s="3" t="str">
        <f t="shared" si="10"/>
        <v>VIG-L0.20m-A0.58m-BLC-CON-RET-254</v>
      </c>
      <c r="Y255" s="3" t="str">
        <f t="shared" si="11"/>
        <v>Viga 0.20m 0.58m em bloco do CT concreto retangular. Localização: bloco A</v>
      </c>
    </row>
    <row r="256" spans="1:25" ht="8.25" customHeight="1" x14ac:dyDescent="0.25">
      <c r="A256" s="13">
        <v>255</v>
      </c>
      <c r="B256" s="3" t="s">
        <v>304</v>
      </c>
      <c r="C256" s="12" t="s">
        <v>125</v>
      </c>
      <c r="D256" s="3" t="s">
        <v>304</v>
      </c>
      <c r="E256" s="12" t="s">
        <v>248</v>
      </c>
      <c r="F256" s="2" t="s">
        <v>535</v>
      </c>
      <c r="G256" s="12" t="s">
        <v>249</v>
      </c>
      <c r="H256" s="2" t="s">
        <v>2</v>
      </c>
      <c r="I256" s="12" t="s">
        <v>0</v>
      </c>
      <c r="J256" s="2" t="s">
        <v>537</v>
      </c>
      <c r="K256" s="12" t="s">
        <v>505</v>
      </c>
      <c r="L256" s="2" t="s">
        <v>2</v>
      </c>
      <c r="M256" s="12" t="s">
        <v>314</v>
      </c>
      <c r="N256" s="14" t="s">
        <v>470</v>
      </c>
      <c r="O256" s="12" t="s">
        <v>92</v>
      </c>
      <c r="P256" s="14" t="s">
        <v>311</v>
      </c>
      <c r="Q256" s="12" t="s">
        <v>322</v>
      </c>
      <c r="R256" s="14" t="s">
        <v>321</v>
      </c>
      <c r="S256" s="12" t="s">
        <v>2</v>
      </c>
      <c r="T256" s="14" t="s">
        <v>2</v>
      </c>
      <c r="U256" s="12" t="s">
        <v>314</v>
      </c>
      <c r="V256" s="4" t="s">
        <v>0</v>
      </c>
      <c r="W256" s="3" t="str">
        <f t="shared" si="9"/>
        <v>VIG-L0.20m-A0.75m-BLC-CON-RET</v>
      </c>
      <c r="X256" s="3" t="str">
        <f t="shared" si="10"/>
        <v>VIG-L0.20m-A0.75m-BLC-CON-RET-255</v>
      </c>
      <c r="Y256" s="3" t="str">
        <f t="shared" si="11"/>
        <v>Viga 0.20m 0.75m em bloco do CT concreto retangular. Localização: bloco A</v>
      </c>
    </row>
    <row r="257" spans="1:25" ht="8.25" customHeight="1" x14ac:dyDescent="0.25">
      <c r="A257" s="13">
        <v>256</v>
      </c>
      <c r="B257" s="3" t="s">
        <v>304</v>
      </c>
      <c r="C257" s="12" t="s">
        <v>125</v>
      </c>
      <c r="D257" s="3" t="s">
        <v>304</v>
      </c>
      <c r="E257" s="12" t="s">
        <v>248</v>
      </c>
      <c r="F257" s="2" t="s">
        <v>535</v>
      </c>
      <c r="G257" s="12" t="s">
        <v>249</v>
      </c>
      <c r="H257" s="2" t="s">
        <v>2</v>
      </c>
      <c r="I257" s="12" t="s">
        <v>0</v>
      </c>
      <c r="J257" s="2" t="s">
        <v>514</v>
      </c>
      <c r="K257" s="12" t="s">
        <v>505</v>
      </c>
      <c r="L257" s="2" t="s">
        <v>2</v>
      </c>
      <c r="M257" s="12" t="s">
        <v>314</v>
      </c>
      <c r="N257" s="14" t="s">
        <v>470</v>
      </c>
      <c r="O257" s="12" t="s">
        <v>92</v>
      </c>
      <c r="P257" s="14" t="s">
        <v>311</v>
      </c>
      <c r="Q257" s="12" t="s">
        <v>322</v>
      </c>
      <c r="R257" s="14" t="s">
        <v>321</v>
      </c>
      <c r="S257" s="12" t="s">
        <v>2</v>
      </c>
      <c r="T257" s="14" t="s">
        <v>2</v>
      </c>
      <c r="U257" s="12" t="s">
        <v>314</v>
      </c>
      <c r="V257" s="4" t="s">
        <v>0</v>
      </c>
      <c r="W257" s="3" t="str">
        <f t="shared" si="9"/>
        <v>VIG-L0.20m-A1.14m-BLC-CON-RET</v>
      </c>
      <c r="X257" s="3" t="str">
        <f t="shared" si="10"/>
        <v>VIG-L0.20m-A1.14m-BLC-CON-RET-256</v>
      </c>
      <c r="Y257" s="3" t="str">
        <f t="shared" si="11"/>
        <v>Viga 0.20m 1.14m em bloco do CT concreto retangular. Localização: bloco A</v>
      </c>
    </row>
    <row r="258" spans="1:25" ht="8.25" customHeight="1" x14ac:dyDescent="0.25">
      <c r="A258" s="13">
        <v>257</v>
      </c>
      <c r="B258" s="3" t="s">
        <v>304</v>
      </c>
      <c r="C258" s="12" t="s">
        <v>125</v>
      </c>
      <c r="D258" s="3" t="s">
        <v>304</v>
      </c>
      <c r="E258" s="12" t="s">
        <v>248</v>
      </c>
      <c r="F258" s="2" t="s">
        <v>535</v>
      </c>
      <c r="G258" s="12" t="s">
        <v>249</v>
      </c>
      <c r="H258" s="2" t="s">
        <v>2</v>
      </c>
      <c r="I258" s="12" t="s">
        <v>0</v>
      </c>
      <c r="J258" s="2" t="s">
        <v>515</v>
      </c>
      <c r="K258" s="12" t="s">
        <v>505</v>
      </c>
      <c r="L258" s="2" t="s">
        <v>2</v>
      </c>
      <c r="M258" s="12" t="s">
        <v>314</v>
      </c>
      <c r="N258" s="14" t="s">
        <v>470</v>
      </c>
      <c r="O258" s="12" t="s">
        <v>92</v>
      </c>
      <c r="P258" s="14" t="s">
        <v>311</v>
      </c>
      <c r="Q258" s="12" t="s">
        <v>322</v>
      </c>
      <c r="R258" s="14" t="s">
        <v>321</v>
      </c>
      <c r="S258" s="12" t="s">
        <v>2</v>
      </c>
      <c r="T258" s="14" t="s">
        <v>2</v>
      </c>
      <c r="U258" s="12" t="s">
        <v>314</v>
      </c>
      <c r="V258" s="4" t="s">
        <v>0</v>
      </c>
      <c r="W258" s="3" t="str">
        <f t="shared" ref="W258:W297" si="12">_xlfn.CONCAT(C258,IF(F258=".","",_xlfn.CONCAT("-",E258,F258)),IF(H258=".","",_xlfn.CONCAT("-",G258,H258)),IF(J258=".","",_xlfn.CONCAT("-",I258,J258)),IF(L258=".","",_xlfn.CONCAT("-",K258,L258)), IF(M258=".","",_xlfn.CONCAT("-",M258)),IF(O258=".","",_xlfn.CONCAT("-",O258)), IF(Q258=".","",_xlfn.CONCAT("-",Q258)), IF(S258=".","",_xlfn.CONCAT("-",S258)))</f>
        <v>VIG-L0.20m-A1.27m-BLC-CON-RET</v>
      </c>
      <c r="X258" s="3" t="str">
        <f t="shared" ref="X258:X297" si="13">_xlfn.CONCAT(W258,"-",A258)</f>
        <v>VIG-L0.20m-A1.27m-BLC-CON-RET-257</v>
      </c>
      <c r="Y258" s="3" t="str">
        <f t="shared" si="11"/>
        <v>Viga 0.20m 1.27m em bloco do CT concreto retangular. Localização: bloco A</v>
      </c>
    </row>
    <row r="259" spans="1:25" ht="8.25" customHeight="1" x14ac:dyDescent="0.25">
      <c r="A259" s="13">
        <v>258</v>
      </c>
      <c r="B259" s="3" t="s">
        <v>304</v>
      </c>
      <c r="C259" s="12" t="s">
        <v>125</v>
      </c>
      <c r="D259" s="3" t="s">
        <v>304</v>
      </c>
      <c r="E259" s="12" t="s">
        <v>248</v>
      </c>
      <c r="F259" s="2" t="s">
        <v>532</v>
      </c>
      <c r="G259" s="12" t="s">
        <v>249</v>
      </c>
      <c r="H259" s="2" t="s">
        <v>2</v>
      </c>
      <c r="I259" s="12" t="s">
        <v>0</v>
      </c>
      <c r="J259" s="2" t="s">
        <v>530</v>
      </c>
      <c r="K259" s="12" t="s">
        <v>505</v>
      </c>
      <c r="L259" s="2" t="s">
        <v>2</v>
      </c>
      <c r="M259" s="12" t="s">
        <v>314</v>
      </c>
      <c r="N259" s="14" t="s">
        <v>470</v>
      </c>
      <c r="O259" s="12" t="s">
        <v>92</v>
      </c>
      <c r="P259" s="14" t="s">
        <v>311</v>
      </c>
      <c r="Q259" s="12" t="s">
        <v>322</v>
      </c>
      <c r="R259" s="14" t="s">
        <v>321</v>
      </c>
      <c r="S259" s="12" t="s">
        <v>2</v>
      </c>
      <c r="T259" s="14" t="s">
        <v>2</v>
      </c>
      <c r="U259" s="12" t="s">
        <v>314</v>
      </c>
      <c r="V259" s="4" t="s">
        <v>0</v>
      </c>
      <c r="W259" s="3" t="str">
        <f t="shared" si="12"/>
        <v>VIG-L0.25m-A0.50m-BLC-CON-RET</v>
      </c>
      <c r="X259" s="3" t="str">
        <f t="shared" si="13"/>
        <v>VIG-L0.25m-A0.50m-BLC-CON-RET-258</v>
      </c>
      <c r="Y259" s="3" t="str">
        <f t="shared" ref="Y259:Y297" si="14">SUBSTITUTE(SUBSTITUTE(_xlfn.CONCAT(D259," .",F259," .",H259," .",J259," .",N259," .",P259," .",R259," .",T259,". .Localização: bloco"," .",V259)," ."," ")," .","")</f>
        <v>Viga 0.25m 0.50m em bloco do CT concreto retangular. Localização: bloco A</v>
      </c>
    </row>
    <row r="260" spans="1:25" ht="8.25" customHeight="1" x14ac:dyDescent="0.25">
      <c r="A260" s="13">
        <v>259</v>
      </c>
      <c r="B260" s="3" t="s">
        <v>304</v>
      </c>
      <c r="C260" s="12" t="s">
        <v>125</v>
      </c>
      <c r="D260" s="3" t="s">
        <v>304</v>
      </c>
      <c r="E260" s="12" t="s">
        <v>248</v>
      </c>
      <c r="F260" s="2" t="s">
        <v>532</v>
      </c>
      <c r="G260" s="12" t="s">
        <v>249</v>
      </c>
      <c r="H260" s="2" t="s">
        <v>2</v>
      </c>
      <c r="I260" s="12" t="s">
        <v>0</v>
      </c>
      <c r="J260" s="2" t="s">
        <v>525</v>
      </c>
      <c r="K260" s="12" t="s">
        <v>505</v>
      </c>
      <c r="L260" s="2" t="s">
        <v>2</v>
      </c>
      <c r="M260" s="12" t="s">
        <v>314</v>
      </c>
      <c r="N260" s="14" t="s">
        <v>470</v>
      </c>
      <c r="O260" s="12" t="s">
        <v>92</v>
      </c>
      <c r="P260" s="14" t="s">
        <v>311</v>
      </c>
      <c r="Q260" s="12" t="s">
        <v>322</v>
      </c>
      <c r="R260" s="14" t="s">
        <v>321</v>
      </c>
      <c r="S260" s="12" t="s">
        <v>2</v>
      </c>
      <c r="T260" s="14" t="s">
        <v>2</v>
      </c>
      <c r="U260" s="12" t="s">
        <v>314</v>
      </c>
      <c r="V260" s="4" t="s">
        <v>0</v>
      </c>
      <c r="W260" s="3" t="str">
        <f t="shared" si="12"/>
        <v>VIG-L0.25m-A0.70m-BLC-CON-RET</v>
      </c>
      <c r="X260" s="3" t="str">
        <f t="shared" si="13"/>
        <v>VIG-L0.25m-A0.70m-BLC-CON-RET-259</v>
      </c>
      <c r="Y260" s="3" t="str">
        <f t="shared" si="14"/>
        <v>Viga 0.25m 0.70m em bloco do CT concreto retangular. Localização: bloco A</v>
      </c>
    </row>
    <row r="261" spans="1:25" ht="8.25" customHeight="1" x14ac:dyDescent="0.25">
      <c r="A261" s="13">
        <v>260</v>
      </c>
      <c r="B261" s="3" t="s">
        <v>304</v>
      </c>
      <c r="C261" s="12" t="s">
        <v>125</v>
      </c>
      <c r="D261" s="3" t="s">
        <v>304</v>
      </c>
      <c r="E261" s="12" t="s">
        <v>248</v>
      </c>
      <c r="F261" s="2" t="s">
        <v>532</v>
      </c>
      <c r="G261" s="12" t="s">
        <v>249</v>
      </c>
      <c r="H261" s="2" t="s">
        <v>2</v>
      </c>
      <c r="I261" s="12" t="s">
        <v>0</v>
      </c>
      <c r="J261" s="2" t="s">
        <v>526</v>
      </c>
      <c r="K261" s="12" t="s">
        <v>505</v>
      </c>
      <c r="L261" s="2" t="s">
        <v>2</v>
      </c>
      <c r="M261" s="12" t="s">
        <v>314</v>
      </c>
      <c r="N261" s="14" t="s">
        <v>470</v>
      </c>
      <c r="O261" s="12" t="s">
        <v>92</v>
      </c>
      <c r="P261" s="14" t="s">
        <v>311</v>
      </c>
      <c r="Q261" s="12" t="s">
        <v>322</v>
      </c>
      <c r="R261" s="14" t="s">
        <v>321</v>
      </c>
      <c r="S261" s="12" t="s">
        <v>2</v>
      </c>
      <c r="T261" s="14" t="s">
        <v>2</v>
      </c>
      <c r="U261" s="12" t="s">
        <v>314</v>
      </c>
      <c r="V261" s="4" t="s">
        <v>0</v>
      </c>
      <c r="W261" s="3" t="str">
        <f t="shared" si="12"/>
        <v>VIG-L0.25m-A0.80m-BLC-CON-RET</v>
      </c>
      <c r="X261" s="3" t="str">
        <f t="shared" si="13"/>
        <v>VIG-L0.25m-A0.80m-BLC-CON-RET-260</v>
      </c>
      <c r="Y261" s="3" t="str">
        <f t="shared" si="14"/>
        <v>Viga 0.25m 0.80m em bloco do CT concreto retangular. Localização: bloco A</v>
      </c>
    </row>
    <row r="262" spans="1:25" ht="8.25" customHeight="1" x14ac:dyDescent="0.25">
      <c r="A262" s="13">
        <v>261</v>
      </c>
      <c r="B262" s="3" t="s">
        <v>304</v>
      </c>
      <c r="C262" s="12" t="s">
        <v>125</v>
      </c>
      <c r="D262" s="3" t="s">
        <v>304</v>
      </c>
      <c r="E262" s="12" t="s">
        <v>248</v>
      </c>
      <c r="F262" s="2" t="s">
        <v>533</v>
      </c>
      <c r="G262" s="12" t="s">
        <v>249</v>
      </c>
      <c r="H262" s="2" t="s">
        <v>2</v>
      </c>
      <c r="I262" s="12" t="s">
        <v>0</v>
      </c>
      <c r="J262" s="2" t="s">
        <v>555</v>
      </c>
      <c r="K262" s="12" t="s">
        <v>505</v>
      </c>
      <c r="L262" s="2" t="s">
        <v>2</v>
      </c>
      <c r="M262" s="12" t="s">
        <v>314</v>
      </c>
      <c r="N262" s="14" t="s">
        <v>470</v>
      </c>
      <c r="O262" s="12" t="s">
        <v>92</v>
      </c>
      <c r="P262" s="14" t="s">
        <v>311</v>
      </c>
      <c r="Q262" s="12" t="s">
        <v>322</v>
      </c>
      <c r="R262" s="14" t="s">
        <v>321</v>
      </c>
      <c r="S262" s="12" t="s">
        <v>2</v>
      </c>
      <c r="T262" s="14" t="s">
        <v>2</v>
      </c>
      <c r="U262" s="12" t="s">
        <v>314</v>
      </c>
      <c r="V262" s="4" t="s">
        <v>0</v>
      </c>
      <c r="W262" s="3" t="str">
        <f t="shared" si="12"/>
        <v>VIG-L0.30m-A0.45m-BLC-CON-RET</v>
      </c>
      <c r="X262" s="3" t="str">
        <f t="shared" si="13"/>
        <v>VIG-L0.30m-A0.45m-BLC-CON-RET-261</v>
      </c>
      <c r="Y262" s="3" t="str">
        <f t="shared" si="14"/>
        <v>Viga 0.30m 0.45m em bloco do CT concreto retangular. Localização: bloco A</v>
      </c>
    </row>
    <row r="263" spans="1:25" ht="8.25" customHeight="1" x14ac:dyDescent="0.25">
      <c r="A263" s="13">
        <v>262</v>
      </c>
      <c r="B263" s="3" t="s">
        <v>304</v>
      </c>
      <c r="C263" s="12" t="s">
        <v>125</v>
      </c>
      <c r="D263" s="3" t="s">
        <v>304</v>
      </c>
      <c r="E263" s="12" t="s">
        <v>248</v>
      </c>
      <c r="F263" s="2" t="s">
        <v>533</v>
      </c>
      <c r="G263" s="12" t="s">
        <v>249</v>
      </c>
      <c r="H263" s="2" t="s">
        <v>2</v>
      </c>
      <c r="I263" s="12" t="s">
        <v>0</v>
      </c>
      <c r="J263" s="2" t="s">
        <v>524</v>
      </c>
      <c r="K263" s="12" t="s">
        <v>505</v>
      </c>
      <c r="L263" s="2" t="s">
        <v>2</v>
      </c>
      <c r="M263" s="12" t="s">
        <v>314</v>
      </c>
      <c r="N263" s="14" t="s">
        <v>470</v>
      </c>
      <c r="O263" s="12" t="s">
        <v>92</v>
      </c>
      <c r="P263" s="14" t="s">
        <v>311</v>
      </c>
      <c r="Q263" s="12" t="s">
        <v>322</v>
      </c>
      <c r="R263" s="14" t="s">
        <v>321</v>
      </c>
      <c r="S263" s="12" t="s">
        <v>2</v>
      </c>
      <c r="T263" s="14" t="s">
        <v>2</v>
      </c>
      <c r="U263" s="12" t="s">
        <v>314</v>
      </c>
      <c r="V263" s="4" t="s">
        <v>0</v>
      </c>
      <c r="W263" s="3" t="str">
        <f t="shared" si="12"/>
        <v>VIG-L0.30m-A0.60m-BLC-CON-RET</v>
      </c>
      <c r="X263" s="3" t="str">
        <f t="shared" si="13"/>
        <v>VIG-L0.30m-A0.60m-BLC-CON-RET-262</v>
      </c>
      <c r="Y263" s="3" t="str">
        <f t="shared" si="14"/>
        <v>Viga 0.30m 0.60m em bloco do CT concreto retangular. Localização: bloco A</v>
      </c>
    </row>
    <row r="264" spans="1:25" ht="8.25" customHeight="1" x14ac:dyDescent="0.25">
      <c r="A264" s="13">
        <v>263</v>
      </c>
      <c r="B264" s="3" t="s">
        <v>304</v>
      </c>
      <c r="C264" s="12" t="s">
        <v>125</v>
      </c>
      <c r="D264" s="3" t="s">
        <v>304</v>
      </c>
      <c r="E264" s="12" t="s">
        <v>248</v>
      </c>
      <c r="F264" s="2" t="s">
        <v>533</v>
      </c>
      <c r="G264" s="12" t="s">
        <v>249</v>
      </c>
      <c r="H264" s="2" t="s">
        <v>2</v>
      </c>
      <c r="I264" s="12" t="s">
        <v>0</v>
      </c>
      <c r="J264" s="2" t="s">
        <v>556</v>
      </c>
      <c r="K264" s="12" t="s">
        <v>505</v>
      </c>
      <c r="L264" s="2" t="s">
        <v>2</v>
      </c>
      <c r="M264" s="12" t="s">
        <v>314</v>
      </c>
      <c r="N264" s="14" t="s">
        <v>470</v>
      </c>
      <c r="O264" s="12" t="s">
        <v>92</v>
      </c>
      <c r="P264" s="14" t="s">
        <v>311</v>
      </c>
      <c r="Q264" s="12" t="s">
        <v>322</v>
      </c>
      <c r="R264" s="14" t="s">
        <v>321</v>
      </c>
      <c r="S264" s="12" t="s">
        <v>2</v>
      </c>
      <c r="T264" s="14" t="s">
        <v>2</v>
      </c>
      <c r="U264" s="12" t="s">
        <v>314</v>
      </c>
      <c r="V264" s="4" t="s">
        <v>0</v>
      </c>
      <c r="W264" s="3" t="str">
        <f t="shared" si="12"/>
        <v>VIG-L0.30m-A0.77m-BLC-CON-RET</v>
      </c>
      <c r="X264" s="3" t="str">
        <f t="shared" si="13"/>
        <v>VIG-L0.30m-A0.77m-BLC-CON-RET-263</v>
      </c>
      <c r="Y264" s="3" t="str">
        <f t="shared" si="14"/>
        <v>Viga 0.30m 0.77m em bloco do CT concreto retangular. Localização: bloco A</v>
      </c>
    </row>
    <row r="265" spans="1:25" ht="8.25" customHeight="1" x14ac:dyDescent="0.25">
      <c r="A265" s="13">
        <v>264</v>
      </c>
      <c r="B265" s="3" t="s">
        <v>304</v>
      </c>
      <c r="C265" s="12" t="s">
        <v>125</v>
      </c>
      <c r="D265" s="3" t="s">
        <v>304</v>
      </c>
      <c r="E265" s="12" t="s">
        <v>248</v>
      </c>
      <c r="F265" s="2" t="s">
        <v>533</v>
      </c>
      <c r="G265" s="12" t="s">
        <v>249</v>
      </c>
      <c r="H265" s="2" t="s">
        <v>2</v>
      </c>
      <c r="I265" s="12" t="s">
        <v>0</v>
      </c>
      <c r="J265" s="2" t="s">
        <v>510</v>
      </c>
      <c r="K265" s="12" t="s">
        <v>505</v>
      </c>
      <c r="L265" s="2" t="s">
        <v>2</v>
      </c>
      <c r="M265" s="12" t="s">
        <v>314</v>
      </c>
      <c r="N265" s="14" t="s">
        <v>470</v>
      </c>
      <c r="O265" s="12" t="s">
        <v>92</v>
      </c>
      <c r="P265" s="14" t="s">
        <v>311</v>
      </c>
      <c r="Q265" s="12" t="s">
        <v>322</v>
      </c>
      <c r="R265" s="14" t="s">
        <v>321</v>
      </c>
      <c r="S265" s="12" t="s">
        <v>2</v>
      </c>
      <c r="T265" s="14" t="s">
        <v>2</v>
      </c>
      <c r="U265" s="12" t="s">
        <v>314</v>
      </c>
      <c r="V265" s="4" t="s">
        <v>0</v>
      </c>
      <c r="W265" s="3" t="str">
        <f t="shared" si="12"/>
        <v>VIG-L0.30m-A1.50m-BLC-CON-RET</v>
      </c>
      <c r="X265" s="3" t="str">
        <f t="shared" si="13"/>
        <v>VIG-L0.30m-A1.50m-BLC-CON-RET-264</v>
      </c>
      <c r="Y265" s="3" t="str">
        <f t="shared" si="14"/>
        <v>Viga 0.30m 1.50m em bloco do CT concreto retangular. Localização: bloco A</v>
      </c>
    </row>
    <row r="266" spans="1:25" ht="8.25" customHeight="1" x14ac:dyDescent="0.25">
      <c r="A266" s="13">
        <v>265</v>
      </c>
      <c r="B266" s="3" t="s">
        <v>304</v>
      </c>
      <c r="C266" s="12" t="s">
        <v>125</v>
      </c>
      <c r="D266" s="3" t="s">
        <v>304</v>
      </c>
      <c r="E266" s="12" t="s">
        <v>248</v>
      </c>
      <c r="F266" s="2" t="s">
        <v>536</v>
      </c>
      <c r="G266" s="12" t="s">
        <v>249</v>
      </c>
      <c r="H266" s="2" t="s">
        <v>2</v>
      </c>
      <c r="I266" s="12" t="s">
        <v>0</v>
      </c>
      <c r="J266" s="2" t="s">
        <v>534</v>
      </c>
      <c r="K266" s="12" t="s">
        <v>505</v>
      </c>
      <c r="L266" s="2" t="s">
        <v>2</v>
      </c>
      <c r="M266" s="12" t="s">
        <v>314</v>
      </c>
      <c r="N266" s="14" t="s">
        <v>470</v>
      </c>
      <c r="O266" s="12" t="s">
        <v>92</v>
      </c>
      <c r="P266" s="14" t="s">
        <v>311</v>
      </c>
      <c r="Q266" s="12" t="s">
        <v>322</v>
      </c>
      <c r="R266" s="14" t="s">
        <v>321</v>
      </c>
      <c r="S266" s="12" t="s">
        <v>2</v>
      </c>
      <c r="T266" s="14" t="s">
        <v>2</v>
      </c>
      <c r="U266" s="12" t="s">
        <v>314</v>
      </c>
      <c r="V266" s="4" t="s">
        <v>0</v>
      </c>
      <c r="W266" s="3" t="str">
        <f t="shared" si="12"/>
        <v>VIG-L0.40m-A0.95m-BLC-CON-RET</v>
      </c>
      <c r="X266" s="3" t="str">
        <f t="shared" si="13"/>
        <v>VIG-L0.40m-A0.95m-BLC-CON-RET-265</v>
      </c>
      <c r="Y266" s="3" t="str">
        <f t="shared" si="14"/>
        <v>Viga 0.40m 0.95m em bloco do CT concreto retangular. Localização: bloco A</v>
      </c>
    </row>
    <row r="267" spans="1:25" ht="8.25" customHeight="1" x14ac:dyDescent="0.25">
      <c r="A267" s="13">
        <v>266</v>
      </c>
      <c r="B267" s="3" t="s">
        <v>304</v>
      </c>
      <c r="C267" s="12" t="s">
        <v>125</v>
      </c>
      <c r="D267" s="3" t="s">
        <v>304</v>
      </c>
      <c r="E267" s="12" t="s">
        <v>248</v>
      </c>
      <c r="F267" s="2" t="s">
        <v>538</v>
      </c>
      <c r="G267" s="12" t="s">
        <v>249</v>
      </c>
      <c r="H267" s="2" t="s">
        <v>2</v>
      </c>
      <c r="I267" s="12" t="s">
        <v>0</v>
      </c>
      <c r="J267" s="2" t="s">
        <v>516</v>
      </c>
      <c r="K267" s="12" t="s">
        <v>505</v>
      </c>
      <c r="L267" s="2" t="s">
        <v>2</v>
      </c>
      <c r="M267" s="12" t="s">
        <v>333</v>
      </c>
      <c r="N267" s="14" t="s">
        <v>469</v>
      </c>
      <c r="O267" s="12" t="s">
        <v>92</v>
      </c>
      <c r="P267" s="14" t="s">
        <v>311</v>
      </c>
      <c r="Q267" s="12" t="s">
        <v>335</v>
      </c>
      <c r="R267" s="14" t="s">
        <v>334</v>
      </c>
      <c r="S267" s="12" t="s">
        <v>2</v>
      </c>
      <c r="T267" s="14" t="s">
        <v>2</v>
      </c>
      <c r="U267" s="12" t="s">
        <v>314</v>
      </c>
      <c r="V267" s="4" t="s">
        <v>0</v>
      </c>
      <c r="W267" s="3" t="str">
        <f t="shared" si="12"/>
        <v>VIG-L0.12m-A1.30m-PLT-CON-MST</v>
      </c>
      <c r="X267" s="3" t="str">
        <f t="shared" si="13"/>
        <v>VIG-L0.12m-A1.30m-PLT-CON-MST-266</v>
      </c>
      <c r="Y267" s="3" t="str">
        <f t="shared" si="14"/>
        <v>Viga 0.12m 1.30m em piloti do CT concreto mestra. Localização: bloco A</v>
      </c>
    </row>
    <row r="268" spans="1:25" ht="8.25" customHeight="1" x14ac:dyDescent="0.25">
      <c r="A268" s="13">
        <v>267</v>
      </c>
      <c r="B268" s="3" t="s">
        <v>304</v>
      </c>
      <c r="C268" s="12" t="s">
        <v>125</v>
      </c>
      <c r="D268" s="3" t="s">
        <v>304</v>
      </c>
      <c r="E268" s="12" t="s">
        <v>248</v>
      </c>
      <c r="F268" s="2" t="s">
        <v>538</v>
      </c>
      <c r="G268" s="12" t="s">
        <v>249</v>
      </c>
      <c r="H268" s="2" t="s">
        <v>2</v>
      </c>
      <c r="I268" s="12" t="s">
        <v>0</v>
      </c>
      <c r="J268" s="2" t="s">
        <v>516</v>
      </c>
      <c r="K268" s="12" t="s">
        <v>505</v>
      </c>
      <c r="L268" s="2" t="s">
        <v>2</v>
      </c>
      <c r="M268" s="12" t="s">
        <v>333</v>
      </c>
      <c r="N268" s="14" t="s">
        <v>469</v>
      </c>
      <c r="O268" s="12" t="s">
        <v>92</v>
      </c>
      <c r="P268" s="14" t="s">
        <v>311</v>
      </c>
      <c r="Q268" s="12" t="s">
        <v>335</v>
      </c>
      <c r="R268" s="14" t="s">
        <v>334</v>
      </c>
      <c r="S268" s="12" t="s">
        <v>324</v>
      </c>
      <c r="T268" s="14" t="s">
        <v>350</v>
      </c>
      <c r="U268" s="12" t="s">
        <v>314</v>
      </c>
      <c r="V268" s="4" t="s">
        <v>0</v>
      </c>
      <c r="W268" s="3" t="str">
        <f t="shared" si="12"/>
        <v>VIG-L0.12m-A1.30m-PLT-CON-MST-JDI</v>
      </c>
      <c r="X268" s="3" t="str">
        <f t="shared" si="13"/>
        <v>VIG-L0.12m-A1.30m-PLT-CON-MST-JDI-267</v>
      </c>
      <c r="Y268" s="3" t="str">
        <f t="shared" si="14"/>
        <v>Viga 0.12m 1.30m em piloti do CT concreto mestra com junta de dilatação. Localização: bloco A</v>
      </c>
    </row>
    <row r="269" spans="1:25" ht="8.25" customHeight="1" x14ac:dyDescent="0.25">
      <c r="A269" s="13">
        <v>268</v>
      </c>
      <c r="B269" s="3" t="s">
        <v>304</v>
      </c>
      <c r="C269" s="12" t="s">
        <v>125</v>
      </c>
      <c r="D269" s="3" t="s">
        <v>304</v>
      </c>
      <c r="E269" s="12" t="s">
        <v>248</v>
      </c>
      <c r="F269" s="2" t="s">
        <v>2</v>
      </c>
      <c r="G269" s="12" t="s">
        <v>249</v>
      </c>
      <c r="H269" s="2" t="s">
        <v>2</v>
      </c>
      <c r="I269" s="12" t="s">
        <v>0</v>
      </c>
      <c r="J269" s="2" t="s">
        <v>2</v>
      </c>
      <c r="K269" s="12" t="s">
        <v>505</v>
      </c>
      <c r="L269" s="2" t="s">
        <v>2</v>
      </c>
      <c r="M269" s="12" t="s">
        <v>314</v>
      </c>
      <c r="N269" s="14" t="s">
        <v>470</v>
      </c>
      <c r="O269" s="12" t="s">
        <v>92</v>
      </c>
      <c r="P269" s="14" t="s">
        <v>311</v>
      </c>
      <c r="Q269" s="12" t="s">
        <v>254</v>
      </c>
      <c r="R269" s="14" t="s">
        <v>342</v>
      </c>
      <c r="S269" s="12" t="s">
        <v>348</v>
      </c>
      <c r="T269" s="14" t="s">
        <v>347</v>
      </c>
      <c r="U269" s="12" t="s">
        <v>314</v>
      </c>
      <c r="V269" s="4" t="s">
        <v>0</v>
      </c>
      <c r="W269" s="3" t="str">
        <f t="shared" si="12"/>
        <v>VIG-BLC-CON-PRF-C</v>
      </c>
      <c r="X269" s="3" t="str">
        <f t="shared" si="13"/>
        <v>VIG-BLC-CON-PRF-C-268</v>
      </c>
      <c r="Y269" s="3" t="str">
        <f t="shared" si="14"/>
        <v>Viga em bloco do CT concreto perfil no bloco C. Localização: bloco A</v>
      </c>
    </row>
    <row r="270" spans="1:25" ht="8.25" customHeight="1" x14ac:dyDescent="0.25">
      <c r="A270" s="13">
        <v>269</v>
      </c>
      <c r="B270" s="3" t="s">
        <v>304</v>
      </c>
      <c r="C270" s="12" t="s">
        <v>125</v>
      </c>
      <c r="D270" s="3" t="s">
        <v>304</v>
      </c>
      <c r="E270" s="12" t="s">
        <v>248</v>
      </c>
      <c r="F270" s="2" t="s">
        <v>2</v>
      </c>
      <c r="G270" s="12" t="s">
        <v>249</v>
      </c>
      <c r="H270" s="2" t="s">
        <v>2</v>
      </c>
      <c r="I270" s="12" t="s">
        <v>0</v>
      </c>
      <c r="J270" s="2" t="s">
        <v>2</v>
      </c>
      <c r="K270" s="12" t="s">
        <v>505</v>
      </c>
      <c r="L270" s="2" t="s">
        <v>2</v>
      </c>
      <c r="M270" s="12" t="s">
        <v>314</v>
      </c>
      <c r="N270" s="14" t="s">
        <v>470</v>
      </c>
      <c r="O270" s="12" t="s">
        <v>92</v>
      </c>
      <c r="P270" s="14" t="s">
        <v>311</v>
      </c>
      <c r="Q270" s="12" t="s">
        <v>254</v>
      </c>
      <c r="R270" s="14" t="s">
        <v>342</v>
      </c>
      <c r="S270" s="12" t="s">
        <v>2</v>
      </c>
      <c r="T270" s="14" t="s">
        <v>2</v>
      </c>
      <c r="U270" s="12" t="s">
        <v>314</v>
      </c>
      <c r="V270" s="4" t="s">
        <v>0</v>
      </c>
      <c r="W270" s="3" t="str">
        <f t="shared" si="12"/>
        <v>VIG-BLC-CON-PRF</v>
      </c>
      <c r="X270" s="3" t="str">
        <f t="shared" si="13"/>
        <v>VIG-BLC-CON-PRF-269</v>
      </c>
      <c r="Y270" s="3" t="str">
        <f t="shared" si="14"/>
        <v>Viga em bloco do CT concreto perfil. Localização: bloco A</v>
      </c>
    </row>
    <row r="271" spans="1:25" ht="8.25" customHeight="1" x14ac:dyDescent="0.25">
      <c r="A271" s="13">
        <v>270</v>
      </c>
      <c r="B271" s="3" t="s">
        <v>304</v>
      </c>
      <c r="C271" s="12" t="s">
        <v>125</v>
      </c>
      <c r="D271" s="3" t="s">
        <v>304</v>
      </c>
      <c r="E271" s="12" t="s">
        <v>248</v>
      </c>
      <c r="F271" s="2" t="s">
        <v>2</v>
      </c>
      <c r="G271" s="12" t="s">
        <v>249</v>
      </c>
      <c r="H271" s="2" t="s">
        <v>2</v>
      </c>
      <c r="I271" s="12" t="s">
        <v>0</v>
      </c>
      <c r="J271" s="2" t="s">
        <v>2</v>
      </c>
      <c r="K271" s="12" t="s">
        <v>505</v>
      </c>
      <c r="L271" s="2" t="s">
        <v>2</v>
      </c>
      <c r="M271" s="12" t="s">
        <v>314</v>
      </c>
      <c r="N271" s="14" t="s">
        <v>470</v>
      </c>
      <c r="O271" s="12" t="s">
        <v>92</v>
      </c>
      <c r="P271" s="14" t="s">
        <v>311</v>
      </c>
      <c r="Q271" s="12" t="s">
        <v>346</v>
      </c>
      <c r="R271" s="14" t="s">
        <v>345</v>
      </c>
      <c r="S271" s="12" t="s">
        <v>2</v>
      </c>
      <c r="T271" s="14" t="s">
        <v>2</v>
      </c>
      <c r="U271" s="12" t="s">
        <v>314</v>
      </c>
      <c r="V271" s="4" t="s">
        <v>0</v>
      </c>
      <c r="W271" s="3" t="str">
        <f t="shared" si="12"/>
        <v>VIG-BLC-CON-TRE</v>
      </c>
      <c r="X271" s="3" t="str">
        <f t="shared" si="13"/>
        <v>VIG-BLC-CON-TRE-270</v>
      </c>
      <c r="Y271" s="3" t="str">
        <f t="shared" si="14"/>
        <v>Viga em bloco do CT concreto treliçada. Localização: bloco A</v>
      </c>
    </row>
    <row r="272" spans="1:25" ht="8.25" customHeight="1" x14ac:dyDescent="0.25">
      <c r="A272" s="13">
        <v>271</v>
      </c>
      <c r="B272" s="3" t="s">
        <v>336</v>
      </c>
      <c r="C272" s="12" t="s">
        <v>337</v>
      </c>
      <c r="D272" s="3" t="s">
        <v>336</v>
      </c>
      <c r="E272" s="12" t="s">
        <v>248</v>
      </c>
      <c r="F272" s="2" t="s">
        <v>538</v>
      </c>
      <c r="G272" s="12" t="s">
        <v>249</v>
      </c>
      <c r="H272" s="2" t="s">
        <v>2</v>
      </c>
      <c r="I272" s="12" t="s">
        <v>0</v>
      </c>
      <c r="J272" s="2" t="s">
        <v>516</v>
      </c>
      <c r="K272" s="12" t="s">
        <v>505</v>
      </c>
      <c r="L272" s="2" t="s">
        <v>2</v>
      </c>
      <c r="M272" s="12" t="s">
        <v>333</v>
      </c>
      <c r="N272" s="14" t="s">
        <v>469</v>
      </c>
      <c r="O272" s="12" t="s">
        <v>92</v>
      </c>
      <c r="P272" s="14" t="s">
        <v>311</v>
      </c>
      <c r="Q272" s="12" t="s">
        <v>339</v>
      </c>
      <c r="R272" s="14" t="s">
        <v>338</v>
      </c>
      <c r="S272" s="12" t="s">
        <v>341</v>
      </c>
      <c r="T272" s="14" t="s">
        <v>340</v>
      </c>
      <c r="U272" s="12" t="s">
        <v>314</v>
      </c>
      <c r="V272" s="4" t="s">
        <v>0</v>
      </c>
      <c r="W272" s="3" t="str">
        <f t="shared" si="12"/>
        <v>LAJ-L0.12m-A1.30m-PLT-CON-DUP-COB</v>
      </c>
      <c r="X272" s="3" t="str">
        <f t="shared" si="13"/>
        <v>LAJ-L0.12m-A1.30m-PLT-CON-DUP-COB-271</v>
      </c>
      <c r="Y272" s="3" t="str">
        <f t="shared" si="14"/>
        <v>Laje 0.12m 1.30m em piloti do CT concreto dupla de cobertura. Localização: bloco A</v>
      </c>
    </row>
    <row r="273" spans="1:25" ht="8.25" customHeight="1" x14ac:dyDescent="0.25">
      <c r="A273" s="13">
        <v>272</v>
      </c>
      <c r="B273" s="3" t="s">
        <v>336</v>
      </c>
      <c r="C273" s="12" t="s">
        <v>337</v>
      </c>
      <c r="D273" s="3" t="s">
        <v>336</v>
      </c>
      <c r="E273" s="12" t="s">
        <v>248</v>
      </c>
      <c r="F273" s="2" t="s">
        <v>538</v>
      </c>
      <c r="G273" s="12" t="s">
        <v>249</v>
      </c>
      <c r="H273" s="2" t="s">
        <v>2</v>
      </c>
      <c r="I273" s="12" t="s">
        <v>0</v>
      </c>
      <c r="J273" s="2" t="s">
        <v>516</v>
      </c>
      <c r="K273" s="12" t="s">
        <v>505</v>
      </c>
      <c r="L273" s="2" t="s">
        <v>2</v>
      </c>
      <c r="M273" s="12" t="s">
        <v>314</v>
      </c>
      <c r="N273" s="14" t="s">
        <v>470</v>
      </c>
      <c r="O273" s="12" t="s">
        <v>92</v>
      </c>
      <c r="P273" s="14" t="s">
        <v>311</v>
      </c>
      <c r="Q273" s="12" t="s">
        <v>339</v>
      </c>
      <c r="R273" s="14" t="s">
        <v>338</v>
      </c>
      <c r="S273" s="12" t="s">
        <v>341</v>
      </c>
      <c r="T273" s="14" t="s">
        <v>340</v>
      </c>
      <c r="U273" s="12" t="s">
        <v>314</v>
      </c>
      <c r="V273" s="4" t="s">
        <v>0</v>
      </c>
      <c r="W273" s="3" t="str">
        <f t="shared" si="12"/>
        <v>LAJ-L0.12m-A1.30m-BLC-CON-DUP-COB</v>
      </c>
      <c r="X273" s="3" t="str">
        <f t="shared" si="13"/>
        <v>LAJ-L0.12m-A1.30m-BLC-CON-DUP-COB-272</v>
      </c>
      <c r="Y273" s="3" t="str">
        <f t="shared" si="14"/>
        <v>Laje 0.12m 1.30m em bloco do CT concreto dupla de cobertura. Localização: bloco A</v>
      </c>
    </row>
    <row r="274" spans="1:25" ht="8.25" customHeight="1" x14ac:dyDescent="0.25">
      <c r="A274" s="13">
        <v>273</v>
      </c>
      <c r="B274" s="3" t="s">
        <v>336</v>
      </c>
      <c r="C274" s="12" t="s">
        <v>337</v>
      </c>
      <c r="D274" s="3" t="s">
        <v>336</v>
      </c>
      <c r="E274" s="12" t="s">
        <v>248</v>
      </c>
      <c r="F274" s="2" t="s">
        <v>539</v>
      </c>
      <c r="G274" s="12" t="s">
        <v>249</v>
      </c>
      <c r="H274" s="2" t="s">
        <v>2</v>
      </c>
      <c r="I274" s="12" t="s">
        <v>0</v>
      </c>
      <c r="J274" s="2" t="s">
        <v>2</v>
      </c>
      <c r="K274" s="12" t="s">
        <v>505</v>
      </c>
      <c r="L274" s="2" t="s">
        <v>2</v>
      </c>
      <c r="M274" s="12" t="s">
        <v>2</v>
      </c>
      <c r="N274" s="14" t="s">
        <v>2</v>
      </c>
      <c r="O274" s="12" t="s">
        <v>2</v>
      </c>
      <c r="P274" s="14" t="s">
        <v>2</v>
      </c>
      <c r="Q274" s="12" t="s">
        <v>316</v>
      </c>
      <c r="R274" s="14" t="s">
        <v>393</v>
      </c>
      <c r="S274" s="12" t="s">
        <v>2</v>
      </c>
      <c r="T274" s="14" t="s">
        <v>2</v>
      </c>
      <c r="U274" s="12" t="s">
        <v>314</v>
      </c>
      <c r="V274" s="4" t="s">
        <v>0</v>
      </c>
      <c r="W274" s="3" t="str">
        <f t="shared" si="12"/>
        <v>LAJ-L0.05m-MZN</v>
      </c>
      <c r="X274" s="3" t="str">
        <f t="shared" si="13"/>
        <v>LAJ-L0.05m-MZN-273</v>
      </c>
      <c r="Y274" s="3" t="str">
        <f t="shared" si="14"/>
        <v>Laje 0.05m dos mezaninos. Localização: bloco A</v>
      </c>
    </row>
    <row r="275" spans="1:25" ht="8.25" customHeight="1" x14ac:dyDescent="0.25">
      <c r="A275" s="13">
        <v>274</v>
      </c>
      <c r="B275" s="3" t="s">
        <v>336</v>
      </c>
      <c r="C275" s="12" t="s">
        <v>337</v>
      </c>
      <c r="D275" s="3" t="s">
        <v>336</v>
      </c>
      <c r="E275" s="12" t="s">
        <v>248</v>
      </c>
      <c r="F275" s="2" t="s">
        <v>540</v>
      </c>
      <c r="G275" s="12" t="s">
        <v>249</v>
      </c>
      <c r="H275" s="2" t="s">
        <v>2</v>
      </c>
      <c r="I275" s="12" t="s">
        <v>0</v>
      </c>
      <c r="J275" s="2" t="s">
        <v>2</v>
      </c>
      <c r="K275" s="12" t="s">
        <v>505</v>
      </c>
      <c r="L275" s="2" t="s">
        <v>2</v>
      </c>
      <c r="M275" s="12" t="s">
        <v>2</v>
      </c>
      <c r="N275" s="14" t="s">
        <v>2</v>
      </c>
      <c r="O275" s="12" t="s">
        <v>92</v>
      </c>
      <c r="P275" s="14" t="s">
        <v>311</v>
      </c>
      <c r="Q275" s="12" t="s">
        <v>2</v>
      </c>
      <c r="R275" s="14" t="s">
        <v>2</v>
      </c>
      <c r="S275" s="12" t="s">
        <v>2</v>
      </c>
      <c r="T275" s="14" t="s">
        <v>2</v>
      </c>
      <c r="U275" s="12" t="s">
        <v>314</v>
      </c>
      <c r="V275" s="4" t="s">
        <v>0</v>
      </c>
      <c r="W275" s="3" t="str">
        <f t="shared" si="12"/>
        <v>LAJ-L0.03m-CON</v>
      </c>
      <c r="X275" s="3" t="str">
        <f t="shared" si="13"/>
        <v>LAJ-L0.03m-CON-274</v>
      </c>
      <c r="Y275" s="3" t="str">
        <f t="shared" si="14"/>
        <v>Laje 0.03m concreto. Localização: bloco A</v>
      </c>
    </row>
    <row r="276" spans="1:25" ht="8.25" customHeight="1" x14ac:dyDescent="0.25">
      <c r="A276" s="13">
        <v>275</v>
      </c>
      <c r="B276" s="3" t="s">
        <v>336</v>
      </c>
      <c r="C276" s="12" t="s">
        <v>337</v>
      </c>
      <c r="D276" s="3" t="s">
        <v>336</v>
      </c>
      <c r="E276" s="12" t="s">
        <v>248</v>
      </c>
      <c r="F276" s="2" t="s">
        <v>539</v>
      </c>
      <c r="G276" s="12" t="s">
        <v>249</v>
      </c>
      <c r="H276" s="2" t="s">
        <v>2</v>
      </c>
      <c r="I276" s="12" t="s">
        <v>0</v>
      </c>
      <c r="J276" s="2" t="s">
        <v>2</v>
      </c>
      <c r="K276" s="12" t="s">
        <v>505</v>
      </c>
      <c r="L276" s="2" t="s">
        <v>2</v>
      </c>
      <c r="M276" s="12" t="s">
        <v>2</v>
      </c>
      <c r="N276" s="14" t="s">
        <v>2</v>
      </c>
      <c r="O276" s="12" t="s">
        <v>92</v>
      </c>
      <c r="P276" s="14" t="s">
        <v>311</v>
      </c>
      <c r="Q276" s="12" t="s">
        <v>2</v>
      </c>
      <c r="R276" s="14" t="s">
        <v>2</v>
      </c>
      <c r="S276" s="12" t="s">
        <v>2</v>
      </c>
      <c r="T276" s="14" t="s">
        <v>2</v>
      </c>
      <c r="U276" s="12" t="s">
        <v>314</v>
      </c>
      <c r="V276" s="4" t="s">
        <v>0</v>
      </c>
      <c r="W276" s="3" t="str">
        <f t="shared" si="12"/>
        <v>LAJ-L0.05m-CON</v>
      </c>
      <c r="X276" s="3" t="str">
        <f t="shared" si="13"/>
        <v>LAJ-L0.05m-CON-275</v>
      </c>
      <c r="Y276" s="3" t="str">
        <f t="shared" si="14"/>
        <v>Laje 0.05m concreto. Localização: bloco A</v>
      </c>
    </row>
    <row r="277" spans="1:25" ht="8.25" customHeight="1" x14ac:dyDescent="0.25">
      <c r="A277" s="13">
        <v>276</v>
      </c>
      <c r="B277" s="3" t="s">
        <v>336</v>
      </c>
      <c r="C277" s="12" t="s">
        <v>337</v>
      </c>
      <c r="D277" s="3" t="s">
        <v>336</v>
      </c>
      <c r="E277" s="12" t="s">
        <v>248</v>
      </c>
      <c r="F277" s="2" t="s">
        <v>523</v>
      </c>
      <c r="G277" s="12" t="s">
        <v>249</v>
      </c>
      <c r="H277" s="2" t="s">
        <v>2</v>
      </c>
      <c r="I277" s="12" t="s">
        <v>0</v>
      </c>
      <c r="J277" s="2" t="s">
        <v>2</v>
      </c>
      <c r="K277" s="12" t="s">
        <v>505</v>
      </c>
      <c r="L277" s="2" t="s">
        <v>2</v>
      </c>
      <c r="M277" s="12" t="s">
        <v>2</v>
      </c>
      <c r="N277" s="14" t="s">
        <v>2</v>
      </c>
      <c r="O277" s="12" t="s">
        <v>92</v>
      </c>
      <c r="P277" s="14" t="s">
        <v>311</v>
      </c>
      <c r="Q277" s="12" t="s">
        <v>2</v>
      </c>
      <c r="R277" s="14" t="s">
        <v>2</v>
      </c>
      <c r="S277" s="12" t="s">
        <v>2</v>
      </c>
      <c r="T277" s="14" t="s">
        <v>2</v>
      </c>
      <c r="U277" s="12" t="s">
        <v>314</v>
      </c>
      <c r="V277" s="4" t="s">
        <v>0</v>
      </c>
      <c r="W277" s="3" t="str">
        <f t="shared" si="12"/>
        <v>LAJ-L0.07m-CON</v>
      </c>
      <c r="X277" s="3" t="str">
        <f t="shared" si="13"/>
        <v>LAJ-L0.07m-CON-276</v>
      </c>
      <c r="Y277" s="3" t="str">
        <f t="shared" si="14"/>
        <v>Laje 0.07m concreto. Localização: bloco A</v>
      </c>
    </row>
    <row r="278" spans="1:25" ht="8.25" customHeight="1" x14ac:dyDescent="0.25">
      <c r="A278" s="13">
        <v>277</v>
      </c>
      <c r="B278" s="3" t="s">
        <v>336</v>
      </c>
      <c r="C278" s="12" t="s">
        <v>337</v>
      </c>
      <c r="D278" s="3" t="s">
        <v>336</v>
      </c>
      <c r="E278" s="12" t="s">
        <v>248</v>
      </c>
      <c r="F278" s="2" t="s">
        <v>523</v>
      </c>
      <c r="G278" s="12" t="s">
        <v>249</v>
      </c>
      <c r="H278" s="2" t="s">
        <v>2</v>
      </c>
      <c r="I278" s="12" t="s">
        <v>0</v>
      </c>
      <c r="J278" s="2" t="s">
        <v>2</v>
      </c>
      <c r="K278" s="12" t="s">
        <v>505</v>
      </c>
      <c r="L278" s="2" t="s">
        <v>2</v>
      </c>
      <c r="M278" s="12" t="s">
        <v>2</v>
      </c>
      <c r="N278" s="14" t="s">
        <v>2</v>
      </c>
      <c r="O278" s="12" t="s">
        <v>92</v>
      </c>
      <c r="P278" s="14" t="s">
        <v>311</v>
      </c>
      <c r="Q278" s="12" t="s">
        <v>387</v>
      </c>
      <c r="R278" s="14" t="s">
        <v>472</v>
      </c>
      <c r="S278" s="12" t="s">
        <v>389</v>
      </c>
      <c r="T278" s="14" t="s">
        <v>388</v>
      </c>
      <c r="U278" s="12" t="s">
        <v>314</v>
      </c>
      <c r="V278" s="4" t="s">
        <v>0</v>
      </c>
      <c r="W278" s="3" t="str">
        <f t="shared" si="12"/>
        <v>LAJ-L0.07m-CON-CLZ-CAM</v>
      </c>
      <c r="X278" s="3" t="str">
        <f t="shared" si="13"/>
        <v>LAJ-L0.07m-CON-CLZ-CAM-277</v>
      </c>
      <c r="Y278" s="3" t="str">
        <f t="shared" si="14"/>
        <v>Laje 0.07m concreto calçada do campus. Localização: bloco A</v>
      </c>
    </row>
    <row r="279" spans="1:25" ht="8.25" customHeight="1" x14ac:dyDescent="0.25">
      <c r="A279" s="13">
        <v>278</v>
      </c>
      <c r="B279" s="3" t="s">
        <v>336</v>
      </c>
      <c r="C279" s="12" t="s">
        <v>337</v>
      </c>
      <c r="D279" s="3" t="s">
        <v>336</v>
      </c>
      <c r="E279" s="12" t="s">
        <v>248</v>
      </c>
      <c r="F279" s="2" t="s">
        <v>523</v>
      </c>
      <c r="G279" s="12" t="s">
        <v>249</v>
      </c>
      <c r="H279" s="2" t="s">
        <v>2</v>
      </c>
      <c r="I279" s="12" t="s">
        <v>0</v>
      </c>
      <c r="J279" s="2" t="s">
        <v>2</v>
      </c>
      <c r="K279" s="12" t="s">
        <v>505</v>
      </c>
      <c r="L279" s="2" t="s">
        <v>2</v>
      </c>
      <c r="M279" s="12" t="s">
        <v>2</v>
      </c>
      <c r="N279" s="14" t="s">
        <v>2</v>
      </c>
      <c r="O279" s="12" t="s">
        <v>92</v>
      </c>
      <c r="P279" s="14" t="s">
        <v>311</v>
      </c>
      <c r="Q279" s="12" t="s">
        <v>387</v>
      </c>
      <c r="R279" s="14" t="s">
        <v>472</v>
      </c>
      <c r="S279" s="12" t="s">
        <v>391</v>
      </c>
      <c r="T279" s="14" t="s">
        <v>390</v>
      </c>
      <c r="U279" s="12" t="s">
        <v>314</v>
      </c>
      <c r="V279" s="4" t="s">
        <v>0</v>
      </c>
      <c r="W279" s="3" t="str">
        <f t="shared" si="12"/>
        <v>LAJ-L0.07m-CON-CLZ-CTE</v>
      </c>
      <c r="X279" s="3" t="str">
        <f t="shared" si="13"/>
        <v>LAJ-L0.07m-CON-CLZ-CTE-278</v>
      </c>
      <c r="Y279" s="3" t="str">
        <f t="shared" si="14"/>
        <v>Laje 0.07m concreto calçada do Centro de Tecnologia. Localização: bloco A</v>
      </c>
    </row>
    <row r="280" spans="1:25" ht="8.25" customHeight="1" x14ac:dyDescent="0.25">
      <c r="A280" s="13">
        <v>279</v>
      </c>
      <c r="B280" s="3" t="s">
        <v>336</v>
      </c>
      <c r="C280" s="12" t="s">
        <v>337</v>
      </c>
      <c r="D280" s="3" t="s">
        <v>336</v>
      </c>
      <c r="E280" s="12" t="s">
        <v>248</v>
      </c>
      <c r="F280" s="2" t="s">
        <v>523</v>
      </c>
      <c r="G280" s="12" t="s">
        <v>249</v>
      </c>
      <c r="H280" s="2" t="s">
        <v>2</v>
      </c>
      <c r="I280" s="12" t="s">
        <v>0</v>
      </c>
      <c r="J280" s="2" t="s">
        <v>2</v>
      </c>
      <c r="K280" s="12" t="s">
        <v>505</v>
      </c>
      <c r="L280" s="2" t="s">
        <v>2</v>
      </c>
      <c r="M280" s="12" t="s">
        <v>2</v>
      </c>
      <c r="N280" s="14" t="s">
        <v>2</v>
      </c>
      <c r="O280" s="12" t="s">
        <v>92</v>
      </c>
      <c r="P280" s="14" t="s">
        <v>311</v>
      </c>
      <c r="Q280" s="12" t="s">
        <v>341</v>
      </c>
      <c r="R280" s="14" t="s">
        <v>473</v>
      </c>
      <c r="S280" s="12" t="s">
        <v>2</v>
      </c>
      <c r="T280" s="14" t="s">
        <v>2</v>
      </c>
      <c r="U280" s="12" t="s">
        <v>314</v>
      </c>
      <c r="V280" s="4" t="s">
        <v>0</v>
      </c>
      <c r="W280" s="3" t="str">
        <f t="shared" si="12"/>
        <v>LAJ-L0.07m-CON-COB</v>
      </c>
      <c r="X280" s="3" t="str">
        <f t="shared" si="13"/>
        <v>LAJ-L0.07m-CON-COB-279</v>
      </c>
      <c r="Y280" s="3" t="str">
        <f t="shared" si="14"/>
        <v>Laje 0.07m concreto cobertura. Localização: bloco A</v>
      </c>
    </row>
    <row r="281" spans="1:25" ht="8.25" customHeight="1" x14ac:dyDescent="0.25">
      <c r="A281" s="13">
        <v>280</v>
      </c>
      <c r="B281" s="3" t="s">
        <v>336</v>
      </c>
      <c r="C281" s="12" t="s">
        <v>337</v>
      </c>
      <c r="D281" s="3" t="s">
        <v>336</v>
      </c>
      <c r="E281" s="12" t="s">
        <v>248</v>
      </c>
      <c r="F281" s="2" t="s">
        <v>541</v>
      </c>
      <c r="G281" s="12" t="s">
        <v>249</v>
      </c>
      <c r="H281" s="2" t="s">
        <v>2</v>
      </c>
      <c r="I281" s="12" t="s">
        <v>0</v>
      </c>
      <c r="J281" s="2" t="s">
        <v>2</v>
      </c>
      <c r="K281" s="12" t="s">
        <v>505</v>
      </c>
      <c r="L281" s="2" t="s">
        <v>2</v>
      </c>
      <c r="M281" s="12" t="s">
        <v>2</v>
      </c>
      <c r="N281" s="14" t="s">
        <v>2</v>
      </c>
      <c r="O281" s="12" t="s">
        <v>92</v>
      </c>
      <c r="P281" s="14" t="s">
        <v>311</v>
      </c>
      <c r="Q281" s="12" t="s">
        <v>253</v>
      </c>
      <c r="R281" s="14" t="s">
        <v>386</v>
      </c>
      <c r="S281" s="12" t="s">
        <v>362</v>
      </c>
      <c r="T281" s="14" t="s">
        <v>366</v>
      </c>
      <c r="U281" s="12" t="s">
        <v>314</v>
      </c>
      <c r="V281" s="4" t="s">
        <v>0</v>
      </c>
      <c r="W281" s="3" t="str">
        <f t="shared" si="12"/>
        <v>LAJ-L0.08m-CON-NUC-CCE</v>
      </c>
      <c r="X281" s="3" t="str">
        <f t="shared" si="13"/>
        <v>LAJ-L0.08m-CON-NUC-CCE-280</v>
      </c>
      <c r="Y281" s="3" t="str">
        <f t="shared" si="14"/>
        <v>Laje 0.08m concreto nuclear das circulações centrais. Localização: bloco A</v>
      </c>
    </row>
    <row r="282" spans="1:25" ht="8.25" customHeight="1" x14ac:dyDescent="0.25">
      <c r="A282" s="13">
        <v>281</v>
      </c>
      <c r="B282" s="3" t="s">
        <v>336</v>
      </c>
      <c r="C282" s="12" t="s">
        <v>337</v>
      </c>
      <c r="D282" s="3" t="s">
        <v>336</v>
      </c>
      <c r="E282" s="12" t="s">
        <v>248</v>
      </c>
      <c r="F282" s="2" t="s">
        <v>538</v>
      </c>
      <c r="G282" s="12" t="s">
        <v>249</v>
      </c>
      <c r="H282" s="2" t="s">
        <v>2</v>
      </c>
      <c r="I282" s="12" t="s">
        <v>0</v>
      </c>
      <c r="J282" s="2" t="s">
        <v>2</v>
      </c>
      <c r="K282" s="12" t="s">
        <v>505</v>
      </c>
      <c r="L282" s="2" t="s">
        <v>2</v>
      </c>
      <c r="M282" s="12" t="s">
        <v>2</v>
      </c>
      <c r="N282" s="14" t="s">
        <v>2</v>
      </c>
      <c r="O282" s="12" t="s">
        <v>92</v>
      </c>
      <c r="P282" s="14" t="s">
        <v>311</v>
      </c>
      <c r="Q282" s="12" t="s">
        <v>2</v>
      </c>
      <c r="R282" s="14" t="s">
        <v>2</v>
      </c>
      <c r="S282" s="12" t="s">
        <v>2</v>
      </c>
      <c r="T282" s="14" t="s">
        <v>2</v>
      </c>
      <c r="U282" s="12" t="s">
        <v>314</v>
      </c>
      <c r="V282" s="4" t="s">
        <v>0</v>
      </c>
      <c r="W282" s="3" t="str">
        <f t="shared" si="12"/>
        <v>LAJ-L0.12m-CON</v>
      </c>
      <c r="X282" s="3" t="str">
        <f t="shared" si="13"/>
        <v>LAJ-L0.12m-CON-281</v>
      </c>
      <c r="Y282" s="3" t="str">
        <f t="shared" si="14"/>
        <v>Laje 0.12m concreto. Localização: bloco A</v>
      </c>
    </row>
    <row r="283" spans="1:25" ht="8.25" customHeight="1" x14ac:dyDescent="0.25">
      <c r="A283" s="13">
        <v>282</v>
      </c>
      <c r="B283" s="3" t="s">
        <v>336</v>
      </c>
      <c r="C283" s="12" t="s">
        <v>337</v>
      </c>
      <c r="D283" s="3" t="s">
        <v>336</v>
      </c>
      <c r="E283" s="12" t="s">
        <v>248</v>
      </c>
      <c r="F283" s="2" t="s">
        <v>542</v>
      </c>
      <c r="G283" s="12" t="s">
        <v>249</v>
      </c>
      <c r="H283" s="2" t="s">
        <v>2</v>
      </c>
      <c r="I283" s="12" t="s">
        <v>0</v>
      </c>
      <c r="J283" s="2" t="s">
        <v>2</v>
      </c>
      <c r="K283" s="12" t="s">
        <v>505</v>
      </c>
      <c r="L283" s="2" t="s">
        <v>2</v>
      </c>
      <c r="M283" s="12" t="s">
        <v>2</v>
      </c>
      <c r="N283" s="14" t="s">
        <v>2</v>
      </c>
      <c r="O283" s="12" t="s">
        <v>92</v>
      </c>
      <c r="P283" s="14" t="s">
        <v>311</v>
      </c>
      <c r="Q283" s="12" t="s">
        <v>2</v>
      </c>
      <c r="R283" s="14" t="s">
        <v>2</v>
      </c>
      <c r="S283" s="12" t="s">
        <v>2</v>
      </c>
      <c r="T283" s="14" t="s">
        <v>2</v>
      </c>
      <c r="U283" s="12" t="s">
        <v>314</v>
      </c>
      <c r="V283" s="4" t="s">
        <v>0</v>
      </c>
      <c r="W283" s="3" t="str">
        <f t="shared" si="12"/>
        <v>LAJ-L0.55m-CON</v>
      </c>
      <c r="X283" s="3" t="str">
        <f t="shared" si="13"/>
        <v>LAJ-L0.55m-CON-282</v>
      </c>
      <c r="Y283" s="3" t="str">
        <f t="shared" si="14"/>
        <v>Laje 0.55m concreto. Localização: bloco A</v>
      </c>
    </row>
    <row r="284" spans="1:25" ht="8.25" customHeight="1" x14ac:dyDescent="0.25">
      <c r="A284" s="13">
        <v>283</v>
      </c>
      <c r="B284" s="3" t="s">
        <v>336</v>
      </c>
      <c r="C284" s="12" t="s">
        <v>337</v>
      </c>
      <c r="D284" s="3" t="s">
        <v>336</v>
      </c>
      <c r="E284" s="12" t="s">
        <v>248</v>
      </c>
      <c r="F284" s="2" t="s">
        <v>542</v>
      </c>
      <c r="G284" s="12" t="s">
        <v>249</v>
      </c>
      <c r="H284" s="2" t="s">
        <v>2</v>
      </c>
      <c r="I284" s="12" t="s">
        <v>0</v>
      </c>
      <c r="J284" s="2" t="s">
        <v>2</v>
      </c>
      <c r="K284" s="12" t="s">
        <v>505</v>
      </c>
      <c r="L284" s="2" t="s">
        <v>2</v>
      </c>
      <c r="M284" s="12" t="s">
        <v>2</v>
      </c>
      <c r="N284" s="14" t="s">
        <v>2</v>
      </c>
      <c r="O284" s="12" t="s">
        <v>92</v>
      </c>
      <c r="P284" s="14" t="s">
        <v>311</v>
      </c>
      <c r="Q284" s="12" t="s">
        <v>46</v>
      </c>
      <c r="R284" s="14" t="s">
        <v>392</v>
      </c>
      <c r="S284" s="12" t="s">
        <v>2</v>
      </c>
      <c r="T284" s="14" t="s">
        <v>2</v>
      </c>
      <c r="U284" s="12" t="s">
        <v>314</v>
      </c>
      <c r="V284" s="4" t="s">
        <v>0</v>
      </c>
      <c r="W284" s="3" t="str">
        <f t="shared" si="12"/>
        <v>LAJ-L0.55m-CON-ACE</v>
      </c>
      <c r="X284" s="3" t="str">
        <f t="shared" si="13"/>
        <v>LAJ-L0.55m-CON-ACE-283</v>
      </c>
      <c r="Y284" s="3" t="str">
        <f t="shared" si="14"/>
        <v>Laje 0.55m concreto acesso do CT. Localização: bloco A</v>
      </c>
    </row>
    <row r="285" spans="1:25" ht="8.25" customHeight="1" x14ac:dyDescent="0.25">
      <c r="A285" s="13">
        <v>284</v>
      </c>
      <c r="B285" s="3" t="s">
        <v>336</v>
      </c>
      <c r="C285" s="12" t="s">
        <v>370</v>
      </c>
      <c r="D285" s="3" t="s">
        <v>710</v>
      </c>
      <c r="E285" s="12" t="s">
        <v>248</v>
      </c>
      <c r="F285" s="2" t="s">
        <v>528</v>
      </c>
      <c r="G285" s="12" t="s">
        <v>249</v>
      </c>
      <c r="H285" s="2" t="s">
        <v>2</v>
      </c>
      <c r="I285" s="12" t="s">
        <v>0</v>
      </c>
      <c r="J285" s="2" t="s">
        <v>2</v>
      </c>
      <c r="K285" s="12" t="s">
        <v>505</v>
      </c>
      <c r="L285" s="2" t="s">
        <v>2</v>
      </c>
      <c r="M285" s="12" t="s">
        <v>2</v>
      </c>
      <c r="N285" s="14" t="s">
        <v>2</v>
      </c>
      <c r="O285" s="12" t="s">
        <v>161</v>
      </c>
      <c r="P285" s="14" t="s">
        <v>394</v>
      </c>
      <c r="Q285" s="12" t="s">
        <v>2</v>
      </c>
      <c r="R285" s="14" t="s">
        <v>2</v>
      </c>
      <c r="S285" s="12" t="s">
        <v>2</v>
      </c>
      <c r="T285" s="14" t="s">
        <v>2</v>
      </c>
      <c r="U285" s="12" t="s">
        <v>314</v>
      </c>
      <c r="V285" s="4" t="s">
        <v>0</v>
      </c>
      <c r="W285" s="3" t="str">
        <f t="shared" si="12"/>
        <v>JAR-L0.10m-GRA</v>
      </c>
      <c r="X285" s="3" t="str">
        <f t="shared" si="13"/>
        <v>JAR-L0.10m-GRA-284</v>
      </c>
      <c r="Y285" s="3" t="str">
        <f t="shared" si="14"/>
        <v>Jardim 0.10m gramado. Localização: bloco A</v>
      </c>
    </row>
    <row r="286" spans="1:25" ht="8.25" customHeight="1" x14ac:dyDescent="0.25">
      <c r="A286" s="13">
        <v>285</v>
      </c>
      <c r="B286" s="3" t="s">
        <v>336</v>
      </c>
      <c r="C286" s="12" t="s">
        <v>370</v>
      </c>
      <c r="D286" s="3" t="s">
        <v>710</v>
      </c>
      <c r="E286" s="12" t="s">
        <v>248</v>
      </c>
      <c r="F286" s="2" t="s">
        <v>535</v>
      </c>
      <c r="G286" s="12" t="s">
        <v>249</v>
      </c>
      <c r="H286" s="2" t="s">
        <v>2</v>
      </c>
      <c r="I286" s="12" t="s">
        <v>0</v>
      </c>
      <c r="J286" s="2" t="s">
        <v>2</v>
      </c>
      <c r="K286" s="12" t="s">
        <v>505</v>
      </c>
      <c r="L286" s="2" t="s">
        <v>2</v>
      </c>
      <c r="M286" s="12" t="s">
        <v>2</v>
      </c>
      <c r="N286" s="14" t="s">
        <v>2</v>
      </c>
      <c r="O286" s="12" t="s">
        <v>236</v>
      </c>
      <c r="P286" s="14" t="s">
        <v>168</v>
      </c>
      <c r="Q286" s="12" t="s">
        <v>2</v>
      </c>
      <c r="R286" s="14" t="s">
        <v>2</v>
      </c>
      <c r="S286" s="12" t="s">
        <v>2</v>
      </c>
      <c r="T286" s="14" t="s">
        <v>2</v>
      </c>
      <c r="U286" s="12" t="s">
        <v>314</v>
      </c>
      <c r="V286" s="4" t="s">
        <v>0</v>
      </c>
      <c r="W286" s="3" t="str">
        <f t="shared" si="12"/>
        <v>JAR-L0.20m-CIM</v>
      </c>
      <c r="X286" s="3" t="str">
        <f t="shared" si="13"/>
        <v>JAR-L0.20m-CIM-285</v>
      </c>
      <c r="Y286" s="3" t="str">
        <f t="shared" si="14"/>
        <v>Jardim 0.20m cimentado. Localização: bloco A</v>
      </c>
    </row>
    <row r="287" spans="1:25" ht="8.25" customHeight="1" x14ac:dyDescent="0.25">
      <c r="A287" s="13">
        <v>286</v>
      </c>
      <c r="B287" s="3" t="s">
        <v>329</v>
      </c>
      <c r="C287" s="12" t="s">
        <v>331</v>
      </c>
      <c r="D287" s="3" t="s">
        <v>329</v>
      </c>
      <c r="E287" s="12" t="s">
        <v>248</v>
      </c>
      <c r="F287" s="2" t="s">
        <v>531</v>
      </c>
      <c r="G287" s="12" t="s">
        <v>249</v>
      </c>
      <c r="H287" s="2" t="s">
        <v>2</v>
      </c>
      <c r="I287" s="12" t="s">
        <v>0</v>
      </c>
      <c r="J287" s="2" t="s">
        <v>524</v>
      </c>
      <c r="K287" s="12" t="s">
        <v>505</v>
      </c>
      <c r="L287" s="2" t="s">
        <v>2</v>
      </c>
      <c r="M287" s="12" t="s">
        <v>314</v>
      </c>
      <c r="N287" s="14" t="s">
        <v>470</v>
      </c>
      <c r="O287" s="12" t="s">
        <v>92</v>
      </c>
      <c r="P287" s="14" t="s">
        <v>311</v>
      </c>
      <c r="Q287" s="12" t="s">
        <v>322</v>
      </c>
      <c r="R287" s="14" t="s">
        <v>321</v>
      </c>
      <c r="S287" s="12" t="s">
        <v>2</v>
      </c>
      <c r="T287" s="14" t="s">
        <v>2</v>
      </c>
      <c r="U287" s="12" t="s">
        <v>314</v>
      </c>
      <c r="V287" s="4" t="s">
        <v>0</v>
      </c>
      <c r="W287" s="3" t="str">
        <f t="shared" si="12"/>
        <v>CIN-L0.15m-A0.60m-BLC-CON-RET</v>
      </c>
      <c r="X287" s="3" t="str">
        <f t="shared" si="13"/>
        <v>CIN-L0.15m-A0.60m-BLC-CON-RET-286</v>
      </c>
      <c r="Y287" s="3" t="str">
        <f t="shared" si="14"/>
        <v>Cinta 0.15m 0.60m em bloco do CT concreto retangular. Localização: bloco A</v>
      </c>
    </row>
    <row r="288" spans="1:25" ht="8.25" customHeight="1" x14ac:dyDescent="0.25">
      <c r="A288" s="13">
        <v>287</v>
      </c>
      <c r="B288" s="3" t="s">
        <v>329</v>
      </c>
      <c r="C288" s="12" t="s">
        <v>331</v>
      </c>
      <c r="D288" s="3" t="s">
        <v>329</v>
      </c>
      <c r="E288" s="12" t="s">
        <v>248</v>
      </c>
      <c r="F288" s="2" t="s">
        <v>535</v>
      </c>
      <c r="G288" s="12" t="s">
        <v>249</v>
      </c>
      <c r="H288" s="2" t="s">
        <v>2</v>
      </c>
      <c r="I288" s="12" t="s">
        <v>0</v>
      </c>
      <c r="J288" s="2" t="s">
        <v>524</v>
      </c>
      <c r="K288" s="12" t="s">
        <v>505</v>
      </c>
      <c r="L288" s="2" t="s">
        <v>2</v>
      </c>
      <c r="M288" s="12" t="s">
        <v>314</v>
      </c>
      <c r="N288" s="14" t="s">
        <v>470</v>
      </c>
      <c r="O288" s="12" t="s">
        <v>92</v>
      </c>
      <c r="P288" s="14" t="s">
        <v>311</v>
      </c>
      <c r="Q288" s="12" t="s">
        <v>322</v>
      </c>
      <c r="R288" s="14" t="s">
        <v>321</v>
      </c>
      <c r="S288" s="12" t="s">
        <v>2</v>
      </c>
      <c r="T288" s="14" t="s">
        <v>2</v>
      </c>
      <c r="U288" s="12" t="s">
        <v>314</v>
      </c>
      <c r="V288" s="4" t="s">
        <v>0</v>
      </c>
      <c r="W288" s="3" t="str">
        <f t="shared" si="12"/>
        <v>CIN-L0.20m-A0.60m-BLC-CON-RET</v>
      </c>
      <c r="X288" s="3" t="str">
        <f t="shared" si="13"/>
        <v>CIN-L0.20m-A0.60m-BLC-CON-RET-287</v>
      </c>
      <c r="Y288" s="3" t="str">
        <f t="shared" si="14"/>
        <v>Cinta 0.20m 0.60m em bloco do CT concreto retangular. Localização: bloco A</v>
      </c>
    </row>
    <row r="289" spans="1:25" ht="8.25" customHeight="1" x14ac:dyDescent="0.25">
      <c r="A289" s="13">
        <v>288</v>
      </c>
      <c r="B289" s="3" t="s">
        <v>329</v>
      </c>
      <c r="C289" s="12" t="s">
        <v>331</v>
      </c>
      <c r="D289" s="3" t="s">
        <v>329</v>
      </c>
      <c r="E289" s="12" t="s">
        <v>248</v>
      </c>
      <c r="F289" s="2" t="s">
        <v>535</v>
      </c>
      <c r="G289" s="12" t="s">
        <v>249</v>
      </c>
      <c r="H289" s="2" t="s">
        <v>2</v>
      </c>
      <c r="I289" s="12" t="s">
        <v>0</v>
      </c>
      <c r="J289" s="2" t="s">
        <v>537</v>
      </c>
      <c r="K289" s="12" t="s">
        <v>505</v>
      </c>
      <c r="L289" s="2" t="s">
        <v>2</v>
      </c>
      <c r="M289" s="12" t="s">
        <v>314</v>
      </c>
      <c r="N289" s="14" t="s">
        <v>470</v>
      </c>
      <c r="O289" s="12" t="s">
        <v>92</v>
      </c>
      <c r="P289" s="14" t="s">
        <v>311</v>
      </c>
      <c r="Q289" s="12" t="s">
        <v>322</v>
      </c>
      <c r="R289" s="14" t="s">
        <v>321</v>
      </c>
      <c r="S289" s="12" t="s">
        <v>2</v>
      </c>
      <c r="T289" s="14" t="s">
        <v>2</v>
      </c>
      <c r="U289" s="12" t="s">
        <v>314</v>
      </c>
      <c r="V289" s="4" t="s">
        <v>0</v>
      </c>
      <c r="W289" s="3" t="str">
        <f t="shared" si="12"/>
        <v>CIN-L0.20m-A0.75m-BLC-CON-RET</v>
      </c>
      <c r="X289" s="3" t="str">
        <f t="shared" si="13"/>
        <v>CIN-L0.20m-A0.75m-BLC-CON-RET-288</v>
      </c>
      <c r="Y289" s="3" t="str">
        <f t="shared" si="14"/>
        <v>Cinta 0.20m 0.75m em bloco do CT concreto retangular. Localização: bloco A</v>
      </c>
    </row>
    <row r="290" spans="1:25" ht="8.25" customHeight="1" x14ac:dyDescent="0.25">
      <c r="A290" s="13">
        <v>289</v>
      </c>
      <c r="B290" s="3" t="s">
        <v>329</v>
      </c>
      <c r="C290" s="12" t="s">
        <v>331</v>
      </c>
      <c r="D290" s="3" t="s">
        <v>329</v>
      </c>
      <c r="E290" s="12" t="s">
        <v>248</v>
      </c>
      <c r="F290" s="2" t="s">
        <v>535</v>
      </c>
      <c r="G290" s="12" t="s">
        <v>249</v>
      </c>
      <c r="H290" s="2" t="s">
        <v>2</v>
      </c>
      <c r="I290" s="12" t="s">
        <v>0</v>
      </c>
      <c r="J290" s="2" t="s">
        <v>507</v>
      </c>
      <c r="K290" s="12" t="s">
        <v>505</v>
      </c>
      <c r="L290" s="2" t="s">
        <v>2</v>
      </c>
      <c r="M290" s="12" t="s">
        <v>314</v>
      </c>
      <c r="N290" s="14" t="s">
        <v>470</v>
      </c>
      <c r="O290" s="12" t="s">
        <v>92</v>
      </c>
      <c r="P290" s="14" t="s">
        <v>311</v>
      </c>
      <c r="Q290" s="12" t="s">
        <v>322</v>
      </c>
      <c r="R290" s="14" t="s">
        <v>321</v>
      </c>
      <c r="S290" s="12" t="s">
        <v>2</v>
      </c>
      <c r="T290" s="14" t="s">
        <v>2</v>
      </c>
      <c r="U290" s="12" t="s">
        <v>314</v>
      </c>
      <c r="V290" s="4" t="s">
        <v>0</v>
      </c>
      <c r="W290" s="3" t="str">
        <f t="shared" si="12"/>
        <v>CIN-L0.20m-A1.00m-BLC-CON-RET</v>
      </c>
      <c r="X290" s="3" t="str">
        <f t="shared" si="13"/>
        <v>CIN-L0.20m-A1.00m-BLC-CON-RET-289</v>
      </c>
      <c r="Y290" s="3" t="str">
        <f t="shared" si="14"/>
        <v>Cinta 0.20m 1.00m em bloco do CT concreto retangular. Localização: bloco A</v>
      </c>
    </row>
    <row r="291" spans="1:25" ht="8.25" customHeight="1" x14ac:dyDescent="0.25">
      <c r="A291" s="13">
        <v>290</v>
      </c>
      <c r="B291" s="3" t="s">
        <v>329</v>
      </c>
      <c r="C291" s="12" t="s">
        <v>331</v>
      </c>
      <c r="D291" s="3" t="s">
        <v>329</v>
      </c>
      <c r="E291" s="12" t="s">
        <v>248</v>
      </c>
      <c r="F291" s="2" t="s">
        <v>530</v>
      </c>
      <c r="G291" s="12" t="s">
        <v>249</v>
      </c>
      <c r="H291" s="2" t="s">
        <v>2</v>
      </c>
      <c r="I291" s="12" t="s">
        <v>0</v>
      </c>
      <c r="J291" s="2" t="s">
        <v>510</v>
      </c>
      <c r="K291" s="12" t="s">
        <v>505</v>
      </c>
      <c r="L291" s="2" t="s">
        <v>2</v>
      </c>
      <c r="M291" s="12" t="s">
        <v>314</v>
      </c>
      <c r="N291" s="14" t="s">
        <v>470</v>
      </c>
      <c r="O291" s="12" t="s">
        <v>92</v>
      </c>
      <c r="P291" s="14" t="s">
        <v>311</v>
      </c>
      <c r="Q291" s="12" t="s">
        <v>322</v>
      </c>
      <c r="R291" s="14" t="s">
        <v>321</v>
      </c>
      <c r="S291" s="12" t="s">
        <v>344</v>
      </c>
      <c r="T291" s="14" t="s">
        <v>343</v>
      </c>
      <c r="U291" s="12" t="s">
        <v>314</v>
      </c>
      <c r="V291" s="4" t="s">
        <v>0</v>
      </c>
      <c r="W291" s="3" t="str">
        <f t="shared" si="12"/>
        <v>CIN-L0.50m-A1.50m-BLC-CON-RET-TAC</v>
      </c>
      <c r="X291" s="3" t="str">
        <f t="shared" si="13"/>
        <v>CIN-L0.50m-A1.50m-BLC-CON-RET-TAC-290</v>
      </c>
      <c r="Y291" s="3" t="str">
        <f t="shared" si="14"/>
        <v>Cinta 0.50m 1.50m em bloco do CT concreto retangular com estacas. Localização: bloco A</v>
      </c>
    </row>
    <row r="292" spans="1:25" ht="8.25" customHeight="1" x14ac:dyDescent="0.25">
      <c r="A292" s="13">
        <v>291</v>
      </c>
      <c r="B292" s="3" t="s">
        <v>330</v>
      </c>
      <c r="C292" s="12" t="s">
        <v>323</v>
      </c>
      <c r="D292" s="3" t="s">
        <v>330</v>
      </c>
      <c r="E292" s="12" t="s">
        <v>248</v>
      </c>
      <c r="F292" s="2" t="s">
        <v>2</v>
      </c>
      <c r="G292" s="12" t="s">
        <v>249</v>
      </c>
      <c r="H292" s="2" t="s">
        <v>2</v>
      </c>
      <c r="I292" s="12" t="s">
        <v>0</v>
      </c>
      <c r="J292" s="2" t="s">
        <v>2</v>
      </c>
      <c r="K292" s="12" t="s">
        <v>505</v>
      </c>
      <c r="L292" s="2" t="s">
        <v>2</v>
      </c>
      <c r="M292" s="12" t="s">
        <v>2</v>
      </c>
      <c r="N292" s="14" t="s">
        <v>2</v>
      </c>
      <c r="O292" s="12" t="s">
        <v>2</v>
      </c>
      <c r="P292" s="14" t="s">
        <v>2</v>
      </c>
      <c r="Q292" s="12" t="s">
        <v>2</v>
      </c>
      <c r="R292" s="14" t="s">
        <v>2</v>
      </c>
      <c r="S292" s="12" t="s">
        <v>2</v>
      </c>
      <c r="T292" s="14" t="s">
        <v>2</v>
      </c>
      <c r="U292" s="12" t="s">
        <v>314</v>
      </c>
      <c r="V292" s="4" t="s">
        <v>0</v>
      </c>
      <c r="W292" s="3" t="str">
        <f t="shared" si="12"/>
        <v>FUN</v>
      </c>
      <c r="X292" s="3" t="str">
        <f t="shared" si="13"/>
        <v>FUN-291</v>
      </c>
      <c r="Y292" s="3" t="str">
        <f t="shared" si="14"/>
        <v>Fundação. Localização: bloco A</v>
      </c>
    </row>
    <row r="293" spans="1:25" ht="8.25" customHeight="1" x14ac:dyDescent="0.25">
      <c r="A293" s="13">
        <v>292</v>
      </c>
      <c r="B293" s="3" t="s">
        <v>454</v>
      </c>
      <c r="C293" s="12" t="s">
        <v>396</v>
      </c>
      <c r="D293" s="3" t="s">
        <v>395</v>
      </c>
      <c r="E293" s="12" t="s">
        <v>248</v>
      </c>
      <c r="F293" s="2" t="s">
        <v>2</v>
      </c>
      <c r="G293" s="12" t="s">
        <v>249</v>
      </c>
      <c r="H293" s="2" t="s">
        <v>2</v>
      </c>
      <c r="I293" s="12" t="s">
        <v>0</v>
      </c>
      <c r="J293" s="2" t="s">
        <v>2</v>
      </c>
      <c r="K293" s="12" t="s">
        <v>505</v>
      </c>
      <c r="L293" s="2" t="s">
        <v>2</v>
      </c>
      <c r="M293" s="12" t="s">
        <v>398</v>
      </c>
      <c r="N293" s="14" t="s">
        <v>397</v>
      </c>
      <c r="O293" s="12" t="s">
        <v>614</v>
      </c>
      <c r="P293" s="14" t="s">
        <v>399</v>
      </c>
      <c r="Q293" s="12" t="s">
        <v>708</v>
      </c>
      <c r="R293" s="14" t="s">
        <v>708</v>
      </c>
      <c r="S293" s="12" t="s">
        <v>2</v>
      </c>
      <c r="T293" s="14" t="s">
        <v>2</v>
      </c>
      <c r="U293" s="12" t="s">
        <v>314</v>
      </c>
      <c r="V293" s="4" t="s">
        <v>708</v>
      </c>
      <c r="W293" s="3" t="str">
        <f t="shared" si="12"/>
        <v>EIX-NOR-BLO-K</v>
      </c>
      <c r="X293" s="3" t="str">
        <f t="shared" si="13"/>
        <v>EIX-NOR-BLO-K-292</v>
      </c>
      <c r="Y293" s="3" t="str">
        <f t="shared" si="14"/>
        <v>Eixo Normal Bloco K. Localização: bloco K</v>
      </c>
    </row>
    <row r="294" spans="1:25" ht="8.25" customHeight="1" x14ac:dyDescent="0.25">
      <c r="A294" s="13">
        <v>293</v>
      </c>
      <c r="B294" s="3" t="s">
        <v>454</v>
      </c>
      <c r="C294" s="12" t="s">
        <v>396</v>
      </c>
      <c r="D294" s="3" t="s">
        <v>395</v>
      </c>
      <c r="E294" s="12" t="s">
        <v>248</v>
      </c>
      <c r="F294" s="2" t="s">
        <v>2</v>
      </c>
      <c r="G294" s="12" t="s">
        <v>249</v>
      </c>
      <c r="H294" s="2" t="s">
        <v>2</v>
      </c>
      <c r="I294" s="12" t="s">
        <v>0</v>
      </c>
      <c r="J294" s="2" t="s">
        <v>2</v>
      </c>
      <c r="K294" s="12" t="s">
        <v>505</v>
      </c>
      <c r="L294" s="2" t="s">
        <v>2</v>
      </c>
      <c r="M294" s="12" t="s">
        <v>324</v>
      </c>
      <c r="N294" s="14" t="s">
        <v>464</v>
      </c>
      <c r="O294" s="12" t="s">
        <v>614</v>
      </c>
      <c r="P294" s="14" t="s">
        <v>399</v>
      </c>
      <c r="Q294" s="12" t="s">
        <v>408</v>
      </c>
      <c r="R294" s="14" t="s">
        <v>408</v>
      </c>
      <c r="S294" s="12" t="s">
        <v>2</v>
      </c>
      <c r="T294" s="14" t="s">
        <v>2</v>
      </c>
      <c r="U294" s="12" t="s">
        <v>314</v>
      </c>
      <c r="V294" s="4" t="s">
        <v>408</v>
      </c>
      <c r="W294" s="3" t="str">
        <f t="shared" si="12"/>
        <v>EIX-JDI-BLO-J</v>
      </c>
      <c r="X294" s="3" t="str">
        <f t="shared" si="13"/>
        <v>EIX-JDI-BLO-J-293</v>
      </c>
      <c r="Y294" s="3" t="str">
        <f t="shared" si="14"/>
        <v>Eixo na junta de dilatação Bloco J. Localização: bloco J</v>
      </c>
    </row>
    <row r="295" spans="1:25" ht="8.25" customHeight="1" x14ac:dyDescent="0.25">
      <c r="A295" s="13">
        <v>294</v>
      </c>
      <c r="B295" s="3" t="s">
        <v>454</v>
      </c>
      <c r="C295" s="12" t="s">
        <v>396</v>
      </c>
      <c r="D295" s="3" t="s">
        <v>395</v>
      </c>
      <c r="E295" s="12" t="s">
        <v>248</v>
      </c>
      <c r="F295" s="2" t="s">
        <v>2</v>
      </c>
      <c r="G295" s="12" t="s">
        <v>249</v>
      </c>
      <c r="H295" s="2" t="s">
        <v>2</v>
      </c>
      <c r="I295" s="12" t="s">
        <v>0</v>
      </c>
      <c r="J295" s="2" t="s">
        <v>2</v>
      </c>
      <c r="K295" s="12" t="s">
        <v>505</v>
      </c>
      <c r="L295" s="2" t="s">
        <v>2</v>
      </c>
      <c r="M295" s="12" t="s">
        <v>36</v>
      </c>
      <c r="N295" s="14" t="s">
        <v>494</v>
      </c>
      <c r="O295" s="12" t="s">
        <v>2</v>
      </c>
      <c r="P295" s="14" t="s">
        <v>2</v>
      </c>
      <c r="Q295" s="12" t="s">
        <v>2</v>
      </c>
      <c r="R295" s="14" t="s">
        <v>2</v>
      </c>
      <c r="S295" s="12" t="s">
        <v>2</v>
      </c>
      <c r="T295" s="14" t="s">
        <v>2</v>
      </c>
      <c r="U295" s="12" t="s">
        <v>314</v>
      </c>
      <c r="V295" s="4" t="s">
        <v>2</v>
      </c>
      <c r="W295" s="3" t="str">
        <f t="shared" si="12"/>
        <v>EIX-SIM</v>
      </c>
      <c r="X295" s="3" t="str">
        <f t="shared" si="13"/>
        <v>EIX-SIM-294</v>
      </c>
      <c r="Y295" s="3" t="str">
        <f t="shared" si="14"/>
        <v>Eixo de simetria. Localização: bloco</v>
      </c>
    </row>
    <row r="296" spans="1:25" ht="8.25" customHeight="1" x14ac:dyDescent="0.25">
      <c r="A296" s="13">
        <v>295</v>
      </c>
      <c r="B296" s="3" t="s">
        <v>454</v>
      </c>
      <c r="C296" s="12" t="s">
        <v>396</v>
      </c>
      <c r="D296" s="3" t="s">
        <v>395</v>
      </c>
      <c r="E296" s="12" t="s">
        <v>248</v>
      </c>
      <c r="F296" s="2" t="s">
        <v>2</v>
      </c>
      <c r="G296" s="12" t="s">
        <v>249</v>
      </c>
      <c r="H296" s="2" t="s">
        <v>2</v>
      </c>
      <c r="I296" s="12" t="s">
        <v>0</v>
      </c>
      <c r="J296" s="2" t="s">
        <v>2</v>
      </c>
      <c r="K296" s="12" t="s">
        <v>505</v>
      </c>
      <c r="L296" s="2" t="s">
        <v>2</v>
      </c>
      <c r="M296" s="12" t="s">
        <v>288</v>
      </c>
      <c r="N296" s="14" t="s">
        <v>495</v>
      </c>
      <c r="O296" s="12" t="s">
        <v>2</v>
      </c>
      <c r="P296" s="14" t="s">
        <v>2</v>
      </c>
      <c r="Q296" s="12" t="s">
        <v>2</v>
      </c>
      <c r="R296" s="14" t="s">
        <v>2</v>
      </c>
      <c r="S296" s="12" t="s">
        <v>2</v>
      </c>
      <c r="T296" s="14" t="s">
        <v>2</v>
      </c>
      <c r="U296" s="12" t="s">
        <v>314</v>
      </c>
      <c r="V296" s="4" t="s">
        <v>2</v>
      </c>
      <c r="W296" s="3" t="str">
        <f t="shared" si="12"/>
        <v>EIX-REF</v>
      </c>
      <c r="X296" s="3" t="str">
        <f t="shared" si="13"/>
        <v>EIX-REF-295</v>
      </c>
      <c r="Y296" s="3" t="str">
        <f t="shared" si="14"/>
        <v>Eixo de referência. Localização: bloco</v>
      </c>
    </row>
    <row r="297" spans="1:25" ht="8.25" customHeight="1" x14ac:dyDescent="0.25">
      <c r="A297" s="13">
        <v>296</v>
      </c>
      <c r="B297" s="3" t="s">
        <v>455</v>
      </c>
      <c r="C297" s="12" t="s">
        <v>629</v>
      </c>
      <c r="D297" s="3" t="s">
        <v>711</v>
      </c>
      <c r="E297" s="12" t="s">
        <v>248</v>
      </c>
      <c r="F297" s="2" t="s">
        <v>2</v>
      </c>
      <c r="G297" s="12" t="s">
        <v>249</v>
      </c>
      <c r="H297" s="2" t="s">
        <v>2</v>
      </c>
      <c r="I297" s="12" t="s">
        <v>0</v>
      </c>
      <c r="J297" s="2" t="s">
        <v>2</v>
      </c>
      <c r="K297" s="12" t="s">
        <v>505</v>
      </c>
      <c r="L297" s="2" t="s">
        <v>2</v>
      </c>
      <c r="M297" s="12" t="s">
        <v>398</v>
      </c>
      <c r="N297" s="14" t="s">
        <v>397</v>
      </c>
      <c r="O297" s="12" t="s">
        <v>2</v>
      </c>
      <c r="P297" s="14" t="s">
        <v>2</v>
      </c>
      <c r="Q297" s="12" t="s">
        <v>2</v>
      </c>
      <c r="R297" s="14" t="s">
        <v>2</v>
      </c>
      <c r="S297" s="12" t="s">
        <v>2</v>
      </c>
      <c r="T297" s="14" t="s">
        <v>2</v>
      </c>
      <c r="U297" s="12" t="s">
        <v>314</v>
      </c>
      <c r="V297" s="4" t="s">
        <v>2</v>
      </c>
      <c r="W297" s="3" t="str">
        <f t="shared" si="12"/>
        <v>AND-NOR</v>
      </c>
      <c r="X297" s="3" t="str">
        <f t="shared" si="13"/>
        <v>AND-NOR-296</v>
      </c>
      <c r="Y297" s="3" t="str">
        <f t="shared" si="14"/>
        <v>Andar Normal. Localização: bloco</v>
      </c>
    </row>
  </sheetData>
  <sortState xmlns:xlrd2="http://schemas.microsoft.com/office/spreadsheetml/2017/richdata2" ref="A2:Y298">
    <sortCondition ref="A1:A298"/>
  </sortState>
  <conditionalFormatting sqref="X1:X1048576">
    <cfRule type="duplicateValues" dxfId="0" priority="1"/>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024E3-25BF-44DE-BB93-F66007CF2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Projeto</vt:lpstr>
      <vt:lpstr>Classes</vt:lpstr>
      <vt:lpstr>Interop</vt:lpstr>
      <vt:lpstr>Disjunt</vt:lpstr>
      <vt:lpstr>FatosIn</vt:lpstr>
      <vt:lpstr>Siglas</vt:lpstr>
      <vt:lpstr>Mapa_Locação</vt:lpstr>
      <vt:lpstr>Códigos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2021-01-05T14:40:12Z</dcterms:created>
  <dcterms:modified xsi:type="dcterms:W3CDTF">2026-09-11T14:04:58Z</dcterms:modified>
</cp:coreProperties>
</file>