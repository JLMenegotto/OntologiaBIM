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A3339F50-34A2-46F5-8BBD-451C4365868A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U25" i="17"/>
  <c r="O25" i="17"/>
  <c r="N25" i="17"/>
  <c r="M25" i="17"/>
  <c r="L25" i="17"/>
  <c r="U21" i="17"/>
  <c r="O21" i="17"/>
  <c r="N21" i="17"/>
  <c r="M21" i="17"/>
  <c r="L21" i="17"/>
  <c r="O2" i="17"/>
  <c r="O3" i="17"/>
  <c r="O4" i="17"/>
  <c r="O5" i="17"/>
  <c r="O6" i="17"/>
  <c r="O7" i="17"/>
  <c r="O8" i="17"/>
  <c r="O9" i="17"/>
  <c r="O11" i="17"/>
  <c r="O12" i="17"/>
  <c r="O13" i="17"/>
  <c r="O14" i="17"/>
  <c r="O15" i="17"/>
  <c r="O16" i="17"/>
  <c r="O17" i="17"/>
  <c r="O18" i="17"/>
  <c r="O19" i="17"/>
  <c r="O20" i="17"/>
  <c r="O22" i="17"/>
  <c r="O23" i="17"/>
  <c r="O24" i="17"/>
  <c r="O10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8" i="17"/>
  <c r="N8" i="17"/>
  <c r="M8" i="17"/>
  <c r="L8" i="17"/>
  <c r="U9" i="17"/>
  <c r="N9" i="17"/>
  <c r="M9" i="17"/>
  <c r="L9" i="17"/>
  <c r="U7" i="17"/>
  <c r="N7" i="17"/>
  <c r="M7" i="17"/>
  <c r="L7" i="17"/>
  <c r="U6" i="17"/>
  <c r="N6" i="17"/>
  <c r="M6" i="17"/>
  <c r="L6" i="17"/>
  <c r="U5" i="17"/>
  <c r="N5" i="17"/>
  <c r="M5" i="17"/>
  <c r="L5" i="17"/>
  <c r="U4" i="17"/>
  <c r="N4" i="17"/>
  <c r="M4" i="17"/>
  <c r="L4" i="17"/>
  <c r="U3" i="17"/>
  <c r="N3" i="17"/>
  <c r="M3" i="17"/>
  <c r="L3" i="17"/>
  <c r="U13" i="17" l="1"/>
  <c r="N13" i="17"/>
  <c r="M13" i="17"/>
  <c r="L13" i="17"/>
  <c r="U14" i="17"/>
  <c r="N14" i="17"/>
  <c r="M14" i="17"/>
  <c r="L14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2" i="17"/>
  <c r="N2" i="17"/>
  <c r="M2" i="17"/>
  <c r="L2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<sst xmlns="http://schemas.openxmlformats.org/spreadsheetml/2006/main" count="739" uniqueCount="244">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</sst>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5" customWidth="1"/>
    <col min="2" max="2" width="40.15234375" style="55" customWidth="1"/>
    <col min="3" max="3" width="3.3828125" style="41" bestFit="1" customWidth="1"/>
    <col min="4" max="16384" width="9.15234375" style="55"/>
  </cols>
  <sheetData>
    <row r="1" spans="1:3" ht="20.25" customHeight="1" x14ac:dyDescent="0.4">
      <c r="A1" s="12" t="s">
        <v>44</v>
      </c>
      <c r="B1" s="12" t="s">
        <v>45</v>
      </c>
      <c r="C1" s="39" t="s">
        <v>89</v>
      </c>
    </row>
    <row r="2" spans="1:3" ht="9" customHeight="1" x14ac:dyDescent="0.4">
      <c r="A2" s="13" t="s">
        <v>46</v>
      </c>
      <c r="B2" s="13" t="s">
        <v>47</v>
      </c>
      <c r="C2" s="40" t="s">
        <v>90</v>
      </c>
    </row>
    <row r="3" spans="1:3" ht="9" customHeight="1" x14ac:dyDescent="0.4">
      <c r="A3" s="13" t="s">
        <v>48</v>
      </c>
      <c r="B3" s="13" t="s">
        <v>113</v>
      </c>
      <c r="C3" s="40" t="s">
        <v>90</v>
      </c>
    </row>
    <row r="4" spans="1:3" ht="9" customHeight="1" x14ac:dyDescent="0.4">
      <c r="A4" s="14" t="s">
        <v>49</v>
      </c>
      <c r="B4" s="14" t="s">
        <v>32</v>
      </c>
      <c r="C4" s="40" t="s">
        <v>90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90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90</v>
      </c>
    </row>
    <row r="7" spans="1:3" ht="9" customHeight="1" x14ac:dyDescent="0.4">
      <c r="A7" s="14" t="s">
        <v>52</v>
      </c>
      <c r="B7" s="14" t="s">
        <v>53</v>
      </c>
      <c r="C7" s="40" t="s">
        <v>90</v>
      </c>
    </row>
    <row r="8" spans="1:3" s="38" customFormat="1" ht="9" customHeight="1" x14ac:dyDescent="0.4">
      <c r="A8" s="37" t="s">
        <v>54</v>
      </c>
      <c r="B8" s="37" t="s">
        <v>87</v>
      </c>
      <c r="C8" s="40" t="s">
        <v>90</v>
      </c>
    </row>
    <row r="9" spans="1:3" ht="9" customHeight="1" x14ac:dyDescent="0.4">
      <c r="A9" s="14" t="s">
        <v>55</v>
      </c>
      <c r="B9" s="14" t="s">
        <v>56</v>
      </c>
      <c r="C9" s="40" t="s">
        <v>90</v>
      </c>
    </row>
    <row r="10" spans="1:3" ht="9" customHeight="1" x14ac:dyDescent="0.4">
      <c r="A10" s="14" t="s">
        <v>57</v>
      </c>
      <c r="B10" s="14" t="s">
        <v>58</v>
      </c>
      <c r="C10" s="40" t="s">
        <v>90</v>
      </c>
    </row>
    <row r="11" spans="1:3" ht="9" customHeight="1" x14ac:dyDescent="0.4">
      <c r="A11" s="14" t="s">
        <v>59</v>
      </c>
      <c r="B11" s="14" t="s">
        <v>58</v>
      </c>
      <c r="C11" s="40" t="s">
        <v>90</v>
      </c>
    </row>
    <row r="12" spans="1:3" ht="9" customHeight="1" x14ac:dyDescent="0.4">
      <c r="A12" s="14" t="s">
        <v>60</v>
      </c>
      <c r="B12" s="14" t="s">
        <v>58</v>
      </c>
      <c r="C12" s="40" t="s">
        <v>90</v>
      </c>
    </row>
    <row r="13" spans="1:3" ht="9" customHeight="1" x14ac:dyDescent="0.4">
      <c r="A13" s="14" t="s">
        <v>61</v>
      </c>
      <c r="B13" s="14" t="s">
        <v>58</v>
      </c>
      <c r="C13" s="40" t="s">
        <v>90</v>
      </c>
    </row>
    <row r="14" spans="1:3" ht="9" customHeight="1" x14ac:dyDescent="0.4">
      <c r="A14" s="14" t="s">
        <v>62</v>
      </c>
      <c r="B14" s="14" t="s">
        <v>58</v>
      </c>
      <c r="C14" s="40" t="s">
        <v>90</v>
      </c>
    </row>
    <row r="15" spans="1:3" ht="9" customHeight="1" x14ac:dyDescent="0.4">
      <c r="A15" s="14" t="s">
        <v>63</v>
      </c>
      <c r="B15" s="14" t="s">
        <v>58</v>
      </c>
      <c r="C15" s="40" t="s">
        <v>90</v>
      </c>
    </row>
    <row r="16" spans="1:3" ht="9" customHeight="1" x14ac:dyDescent="0.4">
      <c r="A16" s="14" t="s">
        <v>64</v>
      </c>
      <c r="B16" s="14" t="s">
        <v>58</v>
      </c>
      <c r="C16" s="40" t="s">
        <v>90</v>
      </c>
    </row>
    <row r="17" spans="1:3" ht="9" customHeight="1" x14ac:dyDescent="0.4">
      <c r="A17" s="14" t="s">
        <v>65</v>
      </c>
      <c r="B17" s="14" t="s">
        <v>114</v>
      </c>
      <c r="C17" s="40" t="s">
        <v>90</v>
      </c>
    </row>
    <row r="18" spans="1:3" ht="9" customHeight="1" x14ac:dyDescent="0.4">
      <c r="A18" s="14" t="s">
        <v>66</v>
      </c>
      <c r="B18" s="15">
        <f ca="1">NOW()</f>
        <v>46249.440767476852</v>
      </c>
      <c r="C18" s="40" t="s">
        <v>90</v>
      </c>
    </row>
    <row r="19" spans="1:3" ht="9" customHeight="1" x14ac:dyDescent="0.4">
      <c r="A19" s="14" t="s">
        <v>67</v>
      </c>
      <c r="B19" s="15" t="s">
        <v>68</v>
      </c>
      <c r="C19" s="40" t="s">
        <v>90</v>
      </c>
    </row>
    <row r="20" spans="1:3" ht="9" customHeight="1" x14ac:dyDescent="0.4">
      <c r="A20" s="14" t="s">
        <v>69</v>
      </c>
      <c r="B20" s="14" t="s">
        <v>58</v>
      </c>
      <c r="C20" s="40" t="s">
        <v>90</v>
      </c>
    </row>
    <row r="21" spans="1:3" ht="9" customHeight="1" x14ac:dyDescent="0.4">
      <c r="A21" s="14" t="s">
        <v>70</v>
      </c>
      <c r="B21" s="14" t="s">
        <v>58</v>
      </c>
      <c r="C21" s="40" t="s">
        <v>90</v>
      </c>
    </row>
    <row r="22" spans="1:3" ht="9" customHeight="1" x14ac:dyDescent="0.4">
      <c r="A22" s="14" t="s">
        <v>71</v>
      </c>
      <c r="B22" s="16" t="s">
        <v>115</v>
      </c>
      <c r="C22" s="40" t="s">
        <v>90</v>
      </c>
    </row>
    <row r="23" spans="1:3" ht="9" customHeight="1" x14ac:dyDescent="0.4">
      <c r="A23" s="14" t="s">
        <v>72</v>
      </c>
      <c r="B23" s="16" t="s">
        <v>116</v>
      </c>
      <c r="C23" s="40" t="s">
        <v>91</v>
      </c>
    </row>
    <row r="24" spans="1:3" s="38" customFormat="1" ht="9" customHeight="1" x14ac:dyDescent="0.4">
      <c r="A24" s="14" t="s">
        <v>88</v>
      </c>
      <c r="B24" s="16" t="str">
        <f>_xlfn.TRANSLATE(B22,"pt","en")</f>
        <v>Formalize elements of the BIM project. Specific Household and Hospital Gas Objects</v>
      </c>
      <c r="C24" s="40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5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sqref="A1:XFD1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3" bestFit="1" customWidth="1"/>
    <col min="3" max="4" width="7.69140625" style="53" customWidth="1"/>
    <col min="5" max="5" width="11.69140625" style="53" customWidth="1"/>
    <col min="6" max="6" width="11.61328125" style="61" customWidth="1"/>
    <col min="7" max="11" width="6.4609375" style="53" bestFit="1" customWidth="1"/>
    <col min="12" max="12" width="7.15234375" style="53" bestFit="1" customWidth="1"/>
    <col min="13" max="13" width="7" style="53" bestFit="1" customWidth="1"/>
    <col min="14" max="14" width="10.4609375" style="53" bestFit="1" customWidth="1"/>
    <col min="15" max="15" width="11" style="53" bestFit="1" customWidth="1"/>
    <col min="16" max="16" width="32.69140625" style="53" bestFit="1" customWidth="1"/>
    <col min="17" max="17" width="34.15234375" style="53" bestFit="1" customWidth="1"/>
    <col min="18" max="18" width="3.69140625" style="53" bestFit="1" customWidth="1"/>
    <col min="19" max="19" width="4.3828125" style="53" bestFit="1" customWidth="1"/>
    <col min="20" max="20" width="4.765625" style="53" bestFit="1" customWidth="1"/>
    <col min="21" max="21" width="10.3828125" style="53" bestFit="1" customWidth="1"/>
    <col min="22" max="22" width="4.921875" style="53" bestFit="1" customWidth="1"/>
    <col min="23" max="23" width="5.3046875" style="53" bestFit="1" customWidth="1"/>
    <col min="24" max="24" width="41.69140625" style="53" bestFit="1" customWidth="1"/>
    <col min="25" max="25" width="17.23046875" style="54" bestFit="1" customWidth="1"/>
    <col min="26" max="26" width="5.07421875" style="53" bestFit="1" customWidth="1"/>
    <col min="27" max="27" width="29.23046875" style="53" bestFit="1" customWidth="1"/>
    <col min="28" max="16384" width="9.15234375" style="53"/>
  </cols>
  <sheetData>
    <row r="1" spans="1:27" ht="42.9" customHeight="1" x14ac:dyDescent="0.4">
      <c r="A1" s="43" t="s">
        <v>93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94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95</v>
      </c>
      <c r="S1" s="35" t="s">
        <v>33</v>
      </c>
      <c r="T1" s="35" t="s">
        <v>38</v>
      </c>
      <c r="U1" s="46" t="s">
        <v>35</v>
      </c>
      <c r="V1" s="35" t="s">
        <v>34</v>
      </c>
      <c r="W1" s="59" t="s">
        <v>8</v>
      </c>
      <c r="X1" s="35" t="s">
        <v>83</v>
      </c>
      <c r="Y1" s="35" t="s">
        <v>84</v>
      </c>
      <c r="Z1" s="35" t="s">
        <v>85</v>
      </c>
      <c r="AA1" s="36" t="s">
        <v>86</v>
      </c>
    </row>
    <row r="2" spans="1:27" ht="6.65" customHeight="1" x14ac:dyDescent="0.4">
      <c r="A2" s="57">
        <v>2</v>
      </c>
      <c r="B2" s="1" t="s">
        <v>238</v>
      </c>
      <c r="C2" s="42" t="s">
        <v>239</v>
      </c>
      <c r="D2" s="42" t="s">
        <v>117</v>
      </c>
      <c r="E2" s="42" t="s">
        <v>118</v>
      </c>
      <c r="F2" s="42" t="s">
        <v>160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 t="shared" ref="L2:L20" si="0">CONCATENATE("", C2)</f>
        <v>Sistemas.Prediais</v>
      </c>
      <c r="M2" s="33" t="str">
        <f t="shared" ref="M2:M20" si="1">CONCATENATE("", D2)</f>
        <v>Sistema.Gases</v>
      </c>
      <c r="N2" s="33" t="str">
        <f t="shared" ref="N2:N20" si="2">(SUBSTITUTE(SUBSTITUTE(CONCATENATE("",E2),"."," ")," De "," de "))</f>
        <v>Sistema de Gás</v>
      </c>
      <c r="O2" s="30" t="str">
        <f t="shared" ref="O2:O9" si="3">IF(ISNUMBER(FIND("Ifc",F2)),CONCATENATE("Classe IFC:   ",F2),CONCATENATE("",F2))</f>
        <v>Sistema.GAS</v>
      </c>
      <c r="P2" s="52" t="s">
        <v>140</v>
      </c>
      <c r="Q2" s="52" t="s">
        <v>141</v>
      </c>
      <c r="R2" s="30" t="s">
        <v>9</v>
      </c>
      <c r="S2" s="30" t="s">
        <v>154</v>
      </c>
      <c r="T2" s="30" t="s">
        <v>103</v>
      </c>
      <c r="U2" s="30" t="str">
        <f t="shared" ref="U2:U20" si="4">SUBSTITUTE(E2, "_", " ")</f>
        <v>Sistema.de.Gás</v>
      </c>
      <c r="V2" s="30" t="s">
        <v>104</v>
      </c>
      <c r="W2" s="58" t="str">
        <f t="shared" ref="W2:W25" si="5">CONCATENATE("Key-GAS-",A2)</f>
        <v>Key-GAS-2</v>
      </c>
      <c r="X2" s="29" t="s">
        <v>110</v>
      </c>
      <c r="Y2" s="29" t="s">
        <v>181</v>
      </c>
      <c r="Z2" s="30" t="s">
        <v>232</v>
      </c>
      <c r="AA2" s="30" t="s">
        <v>204</v>
      </c>
    </row>
    <row r="3" spans="1:27" ht="6.65" customHeight="1" x14ac:dyDescent="0.4">
      <c r="A3" s="57">
        <v>3</v>
      </c>
      <c r="B3" s="1" t="s">
        <v>238</v>
      </c>
      <c r="C3" s="42" t="s">
        <v>239</v>
      </c>
      <c r="D3" s="42" t="s">
        <v>117</v>
      </c>
      <c r="E3" s="42" t="s">
        <v>167</v>
      </c>
      <c r="F3" s="56" t="s">
        <v>161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 t="shared" ref="L3:L14" si="6">CONCATENATE("", C3)</f>
        <v>Sistemas.Prediais</v>
      </c>
      <c r="M3" s="33" t="str">
        <f t="shared" ref="M3:M14" si="7">CONCATENATE("", D3)</f>
        <v>Sistema.Gases</v>
      </c>
      <c r="N3" s="33" t="str">
        <f t="shared" ref="N3:N14" si="8">(SUBSTITUTE(SUBSTITUTE(CONCATENATE("",E3),"."," ")," De "," de "))</f>
        <v>Sistema de Gás Hospitalar</v>
      </c>
      <c r="O3" s="30" t="str">
        <f t="shared" si="3"/>
        <v>Sistema.Oxigênio</v>
      </c>
      <c r="P3" s="52" t="s">
        <v>168</v>
      </c>
      <c r="Q3" s="52" t="s">
        <v>174</v>
      </c>
      <c r="R3" s="30" t="s">
        <v>9</v>
      </c>
      <c r="S3" s="30" t="s">
        <v>154</v>
      </c>
      <c r="T3" s="30" t="s">
        <v>103</v>
      </c>
      <c r="U3" s="30" t="str">
        <f t="shared" ref="U3:U14" si="9">SUBSTITUTE(E3, "_", " ")</f>
        <v>Sistema.de.Gás.Hospitalar</v>
      </c>
      <c r="V3" s="30" t="s">
        <v>104</v>
      </c>
      <c r="W3" s="58" t="str">
        <f t="shared" si="5"/>
        <v>Key-GAS-3</v>
      </c>
      <c r="X3" s="29" t="s">
        <v>110</v>
      </c>
      <c r="Y3" s="29" t="s">
        <v>181</v>
      </c>
      <c r="Z3" s="30" t="s">
        <v>234</v>
      </c>
      <c r="AA3" s="30" t="s">
        <v>205</v>
      </c>
    </row>
    <row r="4" spans="1:27" ht="6.65" customHeight="1" x14ac:dyDescent="0.4">
      <c r="A4" s="57">
        <v>4</v>
      </c>
      <c r="B4" s="1" t="s">
        <v>238</v>
      </c>
      <c r="C4" s="42" t="s">
        <v>239</v>
      </c>
      <c r="D4" s="42" t="s">
        <v>117</v>
      </c>
      <c r="E4" s="42" t="s">
        <v>167</v>
      </c>
      <c r="F4" s="56" t="s">
        <v>162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 t="shared" si="6"/>
        <v>Sistemas.Prediais</v>
      </c>
      <c r="M4" s="33" t="str">
        <f t="shared" si="7"/>
        <v>Sistema.Gases</v>
      </c>
      <c r="N4" s="33" t="str">
        <f t="shared" si="8"/>
        <v>Sistema de Gás Hospitalar</v>
      </c>
      <c r="O4" s="30" t="str">
        <f t="shared" si="3"/>
        <v>Sistema.Ar.Medicinal</v>
      </c>
      <c r="P4" s="52" t="s">
        <v>169</v>
      </c>
      <c r="Q4" s="52" t="s">
        <v>175</v>
      </c>
      <c r="R4" s="30" t="s">
        <v>9</v>
      </c>
      <c r="S4" s="30" t="s">
        <v>154</v>
      </c>
      <c r="T4" s="30" t="s">
        <v>103</v>
      </c>
      <c r="U4" s="30" t="str">
        <f t="shared" si="9"/>
        <v>Sistema.de.Gás.Hospitalar</v>
      </c>
      <c r="V4" s="30" t="s">
        <v>104</v>
      </c>
      <c r="W4" s="58" t="str">
        <f t="shared" si="5"/>
        <v>Key-GAS-4</v>
      </c>
      <c r="X4" s="29" t="s">
        <v>110</v>
      </c>
      <c r="Y4" s="29" t="s">
        <v>181</v>
      </c>
      <c r="Z4" s="30" t="s">
        <v>234</v>
      </c>
      <c r="AA4" s="30" t="s">
        <v>206</v>
      </c>
    </row>
    <row r="5" spans="1:27" ht="6.65" customHeight="1" x14ac:dyDescent="0.4">
      <c r="A5" s="57">
        <v>5</v>
      </c>
      <c r="B5" s="1" t="s">
        <v>238</v>
      </c>
      <c r="C5" s="42" t="s">
        <v>239</v>
      </c>
      <c r="D5" s="42" t="s">
        <v>117</v>
      </c>
      <c r="E5" s="42" t="s">
        <v>167</v>
      </c>
      <c r="F5" s="56" t="s">
        <v>163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si="6"/>
        <v>Sistemas.Prediais</v>
      </c>
      <c r="M5" s="33" t="str">
        <f t="shared" si="7"/>
        <v>Sistema.Gases</v>
      </c>
      <c r="N5" s="33" t="str">
        <f t="shared" si="8"/>
        <v>Sistema de Gás Hospitalar</v>
      </c>
      <c r="O5" s="30" t="str">
        <f t="shared" si="3"/>
        <v>Sistema.Ar.Comprimido</v>
      </c>
      <c r="P5" s="52" t="s">
        <v>170</v>
      </c>
      <c r="Q5" s="52" t="s">
        <v>176</v>
      </c>
      <c r="R5" s="30" t="s">
        <v>9</v>
      </c>
      <c r="S5" s="30" t="s">
        <v>154</v>
      </c>
      <c r="T5" s="30" t="s">
        <v>103</v>
      </c>
      <c r="U5" s="30" t="str">
        <f t="shared" si="9"/>
        <v>Sistema.de.Gás.Hospitalar</v>
      </c>
      <c r="V5" s="30" t="s">
        <v>104</v>
      </c>
      <c r="W5" s="58" t="str">
        <f t="shared" si="5"/>
        <v>Key-GAS-5</v>
      </c>
      <c r="X5" s="29" t="s">
        <v>110</v>
      </c>
      <c r="Y5" s="29" t="s">
        <v>180</v>
      </c>
      <c r="Z5" s="30" t="s">
        <v>234</v>
      </c>
      <c r="AA5" s="30" t="s">
        <v>207</v>
      </c>
    </row>
    <row r="6" spans="1:27" ht="6.65" customHeight="1" x14ac:dyDescent="0.4">
      <c r="A6" s="57">
        <v>6</v>
      </c>
      <c r="B6" s="1" t="s">
        <v>238</v>
      </c>
      <c r="C6" s="42" t="s">
        <v>239</v>
      </c>
      <c r="D6" s="42" t="s">
        <v>117</v>
      </c>
      <c r="E6" s="42" t="s">
        <v>167</v>
      </c>
      <c r="F6" s="56" t="s">
        <v>164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si="6"/>
        <v>Sistemas.Prediais</v>
      </c>
      <c r="M6" s="33" t="str">
        <f t="shared" si="7"/>
        <v>Sistema.Gases</v>
      </c>
      <c r="N6" s="33" t="str">
        <f t="shared" si="8"/>
        <v>Sistema de Gás Hospitalar</v>
      </c>
      <c r="O6" s="30" t="str">
        <f t="shared" si="3"/>
        <v>Sistema.Óxido.Nitroso</v>
      </c>
      <c r="P6" s="52" t="s">
        <v>171</v>
      </c>
      <c r="Q6" s="52" t="s">
        <v>177</v>
      </c>
      <c r="R6" s="30" t="s">
        <v>9</v>
      </c>
      <c r="S6" s="30" t="s">
        <v>154</v>
      </c>
      <c r="T6" s="30" t="s">
        <v>103</v>
      </c>
      <c r="U6" s="30" t="str">
        <f t="shared" si="9"/>
        <v>Sistema.de.Gás.Hospitalar</v>
      </c>
      <c r="V6" s="30" t="s">
        <v>104</v>
      </c>
      <c r="W6" s="58" t="str">
        <f t="shared" si="5"/>
        <v>Key-GAS-6</v>
      </c>
      <c r="X6" s="29" t="s">
        <v>110</v>
      </c>
      <c r="Y6" s="29" t="s">
        <v>181</v>
      </c>
      <c r="Z6" s="30" t="s">
        <v>234</v>
      </c>
      <c r="AA6" s="30" t="s">
        <v>208</v>
      </c>
    </row>
    <row r="7" spans="1:27" ht="6.65" customHeight="1" x14ac:dyDescent="0.4">
      <c r="A7" s="57">
        <v>7</v>
      </c>
      <c r="B7" s="1" t="s">
        <v>238</v>
      </c>
      <c r="C7" s="42" t="s">
        <v>239</v>
      </c>
      <c r="D7" s="42" t="s">
        <v>117</v>
      </c>
      <c r="E7" s="42" t="s">
        <v>167</v>
      </c>
      <c r="F7" s="56" t="s">
        <v>165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6"/>
        <v>Sistemas.Prediais</v>
      </c>
      <c r="M7" s="33" t="str">
        <f t="shared" si="7"/>
        <v>Sistema.Gases</v>
      </c>
      <c r="N7" s="33" t="str">
        <f t="shared" si="8"/>
        <v>Sistema de Gás Hospitalar</v>
      </c>
      <c r="O7" s="30" t="str">
        <f t="shared" si="3"/>
        <v>Sistema.Nitrogênio</v>
      </c>
      <c r="P7" s="52" t="s">
        <v>172</v>
      </c>
      <c r="Q7" s="52" t="s">
        <v>178</v>
      </c>
      <c r="R7" s="30" t="s">
        <v>9</v>
      </c>
      <c r="S7" s="30" t="s">
        <v>154</v>
      </c>
      <c r="T7" s="30" t="s">
        <v>103</v>
      </c>
      <c r="U7" s="30" t="str">
        <f t="shared" si="9"/>
        <v>Sistema.de.Gás.Hospitalar</v>
      </c>
      <c r="V7" s="30" t="s">
        <v>104</v>
      </c>
      <c r="W7" s="58" t="str">
        <f t="shared" si="5"/>
        <v>Key-GAS-7</v>
      </c>
      <c r="X7" s="29" t="s">
        <v>110</v>
      </c>
      <c r="Y7" s="29" t="s">
        <v>181</v>
      </c>
      <c r="Z7" s="30" t="s">
        <v>234</v>
      </c>
      <c r="AA7" s="30" t="s">
        <v>209</v>
      </c>
    </row>
    <row r="8" spans="1:27" ht="6.65" customHeight="1" x14ac:dyDescent="0.4">
      <c r="A8" s="57">
        <v>8</v>
      </c>
      <c r="B8" s="1" t="s">
        <v>238</v>
      </c>
      <c r="C8" s="42" t="s">
        <v>239</v>
      </c>
      <c r="D8" s="42" t="s">
        <v>117</v>
      </c>
      <c r="E8" s="42" t="s">
        <v>167</v>
      </c>
      <c r="F8" s="56" t="s">
        <v>166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ref="L8" si="10">CONCATENATE("", C8)</f>
        <v>Sistemas.Prediais</v>
      </c>
      <c r="M8" s="33" t="str">
        <f t="shared" ref="M8" si="11">CONCATENATE("", D8)</f>
        <v>Sistema.Gases</v>
      </c>
      <c r="N8" s="33" t="str">
        <f t="shared" ref="N8" si="12">(SUBSTITUTE(SUBSTITUTE(CONCATENATE("",E8),"."," ")," De "," de "))</f>
        <v>Sistema de Gás Hospitalar</v>
      </c>
      <c r="O8" s="30" t="str">
        <f t="shared" si="3"/>
        <v>Sistema.Hélio</v>
      </c>
      <c r="P8" s="52" t="s">
        <v>173</v>
      </c>
      <c r="Q8" s="52" t="s">
        <v>179</v>
      </c>
      <c r="R8" s="30" t="s">
        <v>9</v>
      </c>
      <c r="S8" s="30" t="s">
        <v>154</v>
      </c>
      <c r="T8" s="30" t="s">
        <v>103</v>
      </c>
      <c r="U8" s="30" t="str">
        <f t="shared" ref="U8" si="13">SUBSTITUTE(E8, "_", " ")</f>
        <v>Sistema.de.Gás.Hospitalar</v>
      </c>
      <c r="V8" s="30" t="s">
        <v>104</v>
      </c>
      <c r="W8" s="58" t="str">
        <f t="shared" si="5"/>
        <v>Key-GAS-8</v>
      </c>
      <c r="X8" s="29" t="s">
        <v>110</v>
      </c>
      <c r="Y8" s="29" t="s">
        <v>181</v>
      </c>
      <c r="Z8" s="30" t="s">
        <v>234</v>
      </c>
      <c r="AA8" s="30" t="s">
        <v>210</v>
      </c>
    </row>
    <row r="9" spans="1:27" ht="6.65" customHeight="1" x14ac:dyDescent="0.4">
      <c r="A9" s="57">
        <v>9</v>
      </c>
      <c r="B9" s="1" t="s">
        <v>238</v>
      </c>
      <c r="C9" s="42" t="s">
        <v>239</v>
      </c>
      <c r="D9" s="42" t="s">
        <v>117</v>
      </c>
      <c r="E9" s="42" t="s">
        <v>167</v>
      </c>
      <c r="F9" s="56" t="s">
        <v>182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6"/>
        <v>Sistemas.Prediais</v>
      </c>
      <c r="M9" s="33" t="str">
        <f t="shared" si="7"/>
        <v>Sistema.Gases</v>
      </c>
      <c r="N9" s="33" t="str">
        <f t="shared" si="8"/>
        <v>Sistema de Gás Hospitalar</v>
      </c>
      <c r="O9" s="30" t="str">
        <f t="shared" si="3"/>
        <v>Sistema.Vacuo</v>
      </c>
      <c r="P9" s="52" t="s">
        <v>183</v>
      </c>
      <c r="Q9" s="52" t="s">
        <v>183</v>
      </c>
      <c r="R9" s="30" t="s">
        <v>9</v>
      </c>
      <c r="S9" s="30" t="s">
        <v>154</v>
      </c>
      <c r="T9" s="30" t="s">
        <v>103</v>
      </c>
      <c r="U9" s="30" t="str">
        <f t="shared" si="9"/>
        <v>Sistema.de.Gás.Hospitalar</v>
      </c>
      <c r="V9" s="30" t="s">
        <v>104</v>
      </c>
      <c r="W9" s="58" t="str">
        <f t="shared" si="5"/>
        <v>Key-GAS-9</v>
      </c>
      <c r="X9" s="29" t="s">
        <v>110</v>
      </c>
      <c r="Y9" s="29" t="s">
        <v>184</v>
      </c>
      <c r="Z9" s="30" t="s">
        <v>234</v>
      </c>
      <c r="AA9" s="30" t="s">
        <v>211</v>
      </c>
    </row>
    <row r="10" spans="1:27" ht="6.65" customHeight="1" x14ac:dyDescent="0.4">
      <c r="A10" s="57">
        <v>10</v>
      </c>
      <c r="B10" s="1" t="s">
        <v>238</v>
      </c>
      <c r="C10" s="42" t="s">
        <v>239</v>
      </c>
      <c r="D10" s="1" t="s">
        <v>229</v>
      </c>
      <c r="E10" s="42" t="s">
        <v>119</v>
      </c>
      <c r="F10" s="42" t="s">
        <v>127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6"/>
        <v>Sistemas.Prediais</v>
      </c>
      <c r="M10" s="33" t="str">
        <f t="shared" si="7"/>
        <v>Elementos.Gases</v>
      </c>
      <c r="N10" s="33" t="str">
        <f t="shared" si="8"/>
        <v>Peças Gás</v>
      </c>
      <c r="O10" s="30" t="str">
        <f>IF(ISNUMBER(FIND("Ifc",F10)),CONCATENATE("Classe IFC:   ",F10),CONCATENATE("",F10))</f>
        <v>Queimador</v>
      </c>
      <c r="P10" s="52" t="s">
        <v>139</v>
      </c>
      <c r="Q10" s="52" t="s">
        <v>149</v>
      </c>
      <c r="R10" s="30" t="s">
        <v>9</v>
      </c>
      <c r="S10" s="30" t="s">
        <v>154</v>
      </c>
      <c r="T10" s="30" t="s">
        <v>103</v>
      </c>
      <c r="U10" s="30" t="str">
        <f t="shared" si="9"/>
        <v>Peças.Gás</v>
      </c>
      <c r="V10" s="30" t="s">
        <v>104</v>
      </c>
      <c r="W10" s="58" t="str">
        <f t="shared" si="5"/>
        <v>Key-GAS-10</v>
      </c>
      <c r="X10" s="29" t="s">
        <v>156</v>
      </c>
      <c r="Y10" s="29" t="s">
        <v>155</v>
      </c>
      <c r="Z10" s="30" t="s">
        <v>232</v>
      </c>
      <c r="AA10" s="30" t="s">
        <v>212</v>
      </c>
    </row>
    <row r="11" spans="1:27" ht="6.65" customHeight="1" x14ac:dyDescent="0.4">
      <c r="A11" s="57">
        <v>11</v>
      </c>
      <c r="B11" s="1" t="s">
        <v>238</v>
      </c>
      <c r="C11" s="42" t="s">
        <v>239</v>
      </c>
      <c r="D11" s="1" t="s">
        <v>229</v>
      </c>
      <c r="E11" s="42" t="s">
        <v>119</v>
      </c>
      <c r="F11" s="42" t="s">
        <v>159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si="6"/>
        <v>Sistemas.Prediais</v>
      </c>
      <c r="M11" s="33" t="str">
        <f t="shared" si="7"/>
        <v>Elementos.Gases</v>
      </c>
      <c r="N11" s="33" t="str">
        <f t="shared" si="8"/>
        <v>Peças Gás</v>
      </c>
      <c r="O11" s="30" t="str">
        <f t="shared" ref="O11:O24" si="14">IF(ISNUMBER(FIND("Ifc",F11)),CONCATENATE("Classe IFC:   ",F11),CONCATENATE("",F11))</f>
        <v>Registro.de.Gás</v>
      </c>
      <c r="P11" s="52" t="s">
        <v>138</v>
      </c>
      <c r="Q11" s="52" t="s">
        <v>142</v>
      </c>
      <c r="R11" s="30" t="s">
        <v>9</v>
      </c>
      <c r="S11" s="30" t="s">
        <v>154</v>
      </c>
      <c r="T11" s="30" t="s">
        <v>103</v>
      </c>
      <c r="U11" s="30" t="str">
        <f t="shared" si="9"/>
        <v>Peças.Gás</v>
      </c>
      <c r="V11" s="30" t="s">
        <v>104</v>
      </c>
      <c r="W11" s="58" t="str">
        <f t="shared" si="5"/>
        <v>Key-GAS-11</v>
      </c>
      <c r="X11" s="29" t="s">
        <v>156</v>
      </c>
      <c r="Y11" s="29" t="s">
        <v>105</v>
      </c>
      <c r="Z11" s="30" t="s">
        <v>232</v>
      </c>
      <c r="AA11" s="30" t="s">
        <v>213</v>
      </c>
    </row>
    <row r="12" spans="1:27" ht="6.65" customHeight="1" x14ac:dyDescent="0.4">
      <c r="A12" s="57">
        <v>12</v>
      </c>
      <c r="B12" s="1" t="s">
        <v>238</v>
      </c>
      <c r="C12" s="42" t="s">
        <v>239</v>
      </c>
      <c r="D12" s="1" t="s">
        <v>229</v>
      </c>
      <c r="E12" s="42" t="s">
        <v>119</v>
      </c>
      <c r="F12" s="42" t="s">
        <v>158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6"/>
        <v>Sistemas.Prediais</v>
      </c>
      <c r="M12" s="33" t="str">
        <f t="shared" si="7"/>
        <v>Elementos.Gases</v>
      </c>
      <c r="N12" s="33" t="str">
        <f t="shared" si="8"/>
        <v>Peças Gás</v>
      </c>
      <c r="O12" s="30" t="str">
        <f t="shared" si="14"/>
        <v>Válvula.de.Gás</v>
      </c>
      <c r="P12" s="52" t="s">
        <v>137</v>
      </c>
      <c r="Q12" s="52" t="s">
        <v>143</v>
      </c>
      <c r="R12" s="30" t="s">
        <v>9</v>
      </c>
      <c r="S12" s="30" t="s">
        <v>154</v>
      </c>
      <c r="T12" s="30" t="s">
        <v>103</v>
      </c>
      <c r="U12" s="30" t="str">
        <f t="shared" si="9"/>
        <v>Peças.Gás</v>
      </c>
      <c r="V12" s="30" t="s">
        <v>104</v>
      </c>
      <c r="W12" s="58" t="str">
        <f t="shared" si="5"/>
        <v>Key-GAS-12</v>
      </c>
      <c r="X12" s="29" t="s">
        <v>156</v>
      </c>
      <c r="Y12" s="29" t="s">
        <v>105</v>
      </c>
      <c r="Z12" s="30" t="s">
        <v>232</v>
      </c>
      <c r="AA12" s="30" t="s">
        <v>214</v>
      </c>
    </row>
    <row r="13" spans="1:27" ht="6.65" customHeight="1" x14ac:dyDescent="0.4">
      <c r="A13" s="57">
        <v>13</v>
      </c>
      <c r="B13" s="1" t="s">
        <v>238</v>
      </c>
      <c r="C13" s="42" t="s">
        <v>239</v>
      </c>
      <c r="D13" s="1" t="s">
        <v>229</v>
      </c>
      <c r="E13" s="42" t="s">
        <v>119</v>
      </c>
      <c r="F13" s="42" t="s">
        <v>157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ref="L13" si="15">CONCATENATE("", C13)</f>
        <v>Sistemas.Prediais</v>
      </c>
      <c r="M13" s="33" t="str">
        <f t="shared" ref="M13" si="16">CONCATENATE("", D13)</f>
        <v>Elementos.Gases</v>
      </c>
      <c r="N13" s="33" t="str">
        <f t="shared" ref="N13" si="17">(SUBSTITUTE(SUBSTITUTE(CONCATENATE("",E13),"."," ")," De "," de "))</f>
        <v>Peças Gás</v>
      </c>
      <c r="O13" s="30" t="str">
        <f t="shared" si="14"/>
        <v>Medidor.de.Gás</v>
      </c>
      <c r="P13" s="52" t="s">
        <v>136</v>
      </c>
      <c r="Q13" s="52" t="s">
        <v>150</v>
      </c>
      <c r="R13" s="30" t="s">
        <v>9</v>
      </c>
      <c r="S13" s="30" t="s">
        <v>154</v>
      </c>
      <c r="T13" s="30" t="s">
        <v>103</v>
      </c>
      <c r="U13" s="30" t="str">
        <f t="shared" ref="U13" si="18">SUBSTITUTE(E13, "_", " ")</f>
        <v>Peças.Gás</v>
      </c>
      <c r="V13" s="30" t="s">
        <v>104</v>
      </c>
      <c r="W13" s="58" t="str">
        <f t="shared" si="5"/>
        <v>Key-GAS-13</v>
      </c>
      <c r="X13" s="29" t="s">
        <v>156</v>
      </c>
      <c r="Y13" s="29" t="s">
        <v>185</v>
      </c>
      <c r="Z13" s="30" t="s">
        <v>232</v>
      </c>
      <c r="AA13" s="30" t="s">
        <v>215</v>
      </c>
    </row>
    <row r="14" spans="1:27" ht="6.65" customHeight="1" x14ac:dyDescent="0.4">
      <c r="A14" s="57">
        <v>14</v>
      </c>
      <c r="B14" s="1" t="s">
        <v>238</v>
      </c>
      <c r="C14" s="42" t="s">
        <v>239</v>
      </c>
      <c r="D14" s="1" t="s">
        <v>229</v>
      </c>
      <c r="E14" s="42" t="s">
        <v>119</v>
      </c>
      <c r="F14" s="42" t="s">
        <v>225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6"/>
        <v>Sistemas.Prediais</v>
      </c>
      <c r="M14" s="33" t="str">
        <f t="shared" si="7"/>
        <v>Elementos.Gases</v>
      </c>
      <c r="N14" s="33" t="str">
        <f t="shared" si="8"/>
        <v>Peças Gás</v>
      </c>
      <c r="O14" s="30" t="str">
        <f t="shared" si="14"/>
        <v>Acessório.de.Gás</v>
      </c>
      <c r="P14" s="52" t="s">
        <v>135</v>
      </c>
      <c r="Q14" s="52" t="s">
        <v>144</v>
      </c>
      <c r="R14" s="30" t="s">
        <v>9</v>
      </c>
      <c r="S14" s="30" t="s">
        <v>154</v>
      </c>
      <c r="T14" s="30" t="s">
        <v>103</v>
      </c>
      <c r="U14" s="30" t="str">
        <f t="shared" si="9"/>
        <v>Peças.Gás</v>
      </c>
      <c r="V14" s="30" t="s">
        <v>104</v>
      </c>
      <c r="W14" s="58" t="str">
        <f t="shared" si="5"/>
        <v>Key-GAS-14</v>
      </c>
      <c r="X14" s="29" t="s">
        <v>235</v>
      </c>
      <c r="Y14" s="29" t="s">
        <v>186</v>
      </c>
      <c r="Z14" s="30" t="s">
        <v>232</v>
      </c>
      <c r="AA14" s="30" t="s">
        <v>216</v>
      </c>
    </row>
    <row r="15" spans="1:27" ht="6.65" customHeight="1" x14ac:dyDescent="0.4">
      <c r="A15" s="57">
        <v>15</v>
      </c>
      <c r="B15" s="1" t="s">
        <v>238</v>
      </c>
      <c r="C15" s="42" t="s">
        <v>239</v>
      </c>
      <c r="D15" s="1" t="s">
        <v>229</v>
      </c>
      <c r="E15" s="42" t="s">
        <v>119</v>
      </c>
      <c r="F15" s="42" t="s">
        <v>120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0"/>
        <v>Sistemas.Prediais</v>
      </c>
      <c r="M15" s="33" t="str">
        <f t="shared" si="1"/>
        <v>Elementos.Gases</v>
      </c>
      <c r="N15" s="33" t="str">
        <f t="shared" si="2"/>
        <v>Peças Gás</v>
      </c>
      <c r="O15" s="30" t="str">
        <f t="shared" si="14"/>
        <v>Buchão.de.Gás</v>
      </c>
      <c r="P15" s="52" t="s">
        <v>133</v>
      </c>
      <c r="Q15" s="52" t="s">
        <v>151</v>
      </c>
      <c r="R15" s="30" t="s">
        <v>9</v>
      </c>
      <c r="S15" s="30" t="s">
        <v>154</v>
      </c>
      <c r="T15" s="30" t="s">
        <v>103</v>
      </c>
      <c r="U15" s="30" t="str">
        <f t="shared" si="4"/>
        <v>Peças.Gás</v>
      </c>
      <c r="V15" s="30" t="s">
        <v>104</v>
      </c>
      <c r="W15" s="58" t="str">
        <f t="shared" si="5"/>
        <v>Key-GAS-15</v>
      </c>
      <c r="X15" s="29" t="s">
        <v>240</v>
      </c>
      <c r="Y15" s="29" t="s">
        <v>106</v>
      </c>
      <c r="Z15" s="30" t="s">
        <v>232</v>
      </c>
      <c r="AA15" s="30" t="s">
        <v>145</v>
      </c>
    </row>
    <row r="16" spans="1:27" ht="6.65" customHeight="1" x14ac:dyDescent="0.4">
      <c r="A16" s="57">
        <v>16</v>
      </c>
      <c r="B16" s="1" t="s">
        <v>238</v>
      </c>
      <c r="C16" s="42" t="s">
        <v>239</v>
      </c>
      <c r="D16" s="1" t="s">
        <v>229</v>
      </c>
      <c r="E16" s="42" t="s">
        <v>119</v>
      </c>
      <c r="F16" s="42" t="s">
        <v>121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si="0"/>
        <v>Sistemas.Prediais</v>
      </c>
      <c r="M16" s="33" t="str">
        <f t="shared" si="1"/>
        <v>Elementos.Gases</v>
      </c>
      <c r="N16" s="33" t="str">
        <f t="shared" si="2"/>
        <v>Peças Gás</v>
      </c>
      <c r="O16" s="30" t="str">
        <f t="shared" si="14"/>
        <v>Cilindro.de.Gás</v>
      </c>
      <c r="P16" s="52" t="s">
        <v>134</v>
      </c>
      <c r="Q16" s="52" t="s">
        <v>146</v>
      </c>
      <c r="R16" s="30" t="s">
        <v>9</v>
      </c>
      <c r="S16" s="30" t="s">
        <v>154</v>
      </c>
      <c r="T16" s="30" t="s">
        <v>103</v>
      </c>
      <c r="U16" s="30" t="str">
        <f t="shared" si="4"/>
        <v>Peças.Gás</v>
      </c>
      <c r="V16" s="30" t="s">
        <v>104</v>
      </c>
      <c r="W16" s="58" t="str">
        <f t="shared" si="5"/>
        <v>Key-GAS-16</v>
      </c>
      <c r="X16" s="29" t="s">
        <v>240</v>
      </c>
      <c r="Y16" s="29" t="s">
        <v>106</v>
      </c>
      <c r="Z16" s="30" t="s">
        <v>232</v>
      </c>
      <c r="AA16" s="30" t="s">
        <v>217</v>
      </c>
    </row>
    <row r="17" spans="1:27" ht="6.65" customHeight="1" x14ac:dyDescent="0.4">
      <c r="A17" s="57">
        <v>17</v>
      </c>
      <c r="B17" s="1" t="s">
        <v>238</v>
      </c>
      <c r="C17" s="42" t="s">
        <v>239</v>
      </c>
      <c r="D17" s="1" t="s">
        <v>229</v>
      </c>
      <c r="E17" s="42" t="s">
        <v>119</v>
      </c>
      <c r="F17" s="42" t="s">
        <v>122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0"/>
        <v>Sistemas.Prediais</v>
      </c>
      <c r="M17" s="33" t="str">
        <f t="shared" si="1"/>
        <v>Elementos.Gases</v>
      </c>
      <c r="N17" s="33" t="str">
        <f t="shared" si="2"/>
        <v>Peças Gás</v>
      </c>
      <c r="O17" s="30" t="str">
        <f t="shared" si="14"/>
        <v>Tanque.de.Gás</v>
      </c>
      <c r="P17" s="52" t="s">
        <v>132</v>
      </c>
      <c r="Q17" s="52" t="s">
        <v>226</v>
      </c>
      <c r="R17" s="30" t="s">
        <v>9</v>
      </c>
      <c r="S17" s="30" t="s">
        <v>154</v>
      </c>
      <c r="T17" s="30" t="s">
        <v>103</v>
      </c>
      <c r="U17" s="30" t="str">
        <f t="shared" si="4"/>
        <v>Peças.Gás</v>
      </c>
      <c r="V17" s="30" t="s">
        <v>104</v>
      </c>
      <c r="W17" s="58" t="str">
        <f t="shared" si="5"/>
        <v>Key-GAS-17</v>
      </c>
      <c r="X17" s="29" t="s">
        <v>240</v>
      </c>
      <c r="Y17" s="29" t="s">
        <v>106</v>
      </c>
      <c r="Z17" s="30" t="s">
        <v>232</v>
      </c>
      <c r="AA17" s="30" t="s">
        <v>218</v>
      </c>
    </row>
    <row r="18" spans="1:27" ht="6.65" customHeight="1" x14ac:dyDescent="0.4">
      <c r="A18" s="57">
        <v>18</v>
      </c>
      <c r="B18" s="1" t="s">
        <v>238</v>
      </c>
      <c r="C18" s="42" t="s">
        <v>239</v>
      </c>
      <c r="D18" s="1" t="s">
        <v>229</v>
      </c>
      <c r="E18" s="42" t="s">
        <v>227</v>
      </c>
      <c r="F18" s="42" t="s">
        <v>124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0"/>
        <v>Sistemas.Prediais</v>
      </c>
      <c r="M18" s="33" t="str">
        <f t="shared" si="1"/>
        <v>Elementos.Gases</v>
      </c>
      <c r="N18" s="33" t="str">
        <f t="shared" si="2"/>
        <v>Gás Doméstico</v>
      </c>
      <c r="O18" s="30" t="str">
        <f t="shared" si="14"/>
        <v>Aquecedor.a.Gás</v>
      </c>
      <c r="P18" s="52" t="s">
        <v>128</v>
      </c>
      <c r="Q18" s="52" t="s">
        <v>152</v>
      </c>
      <c r="R18" s="30" t="s">
        <v>9</v>
      </c>
      <c r="S18" s="30" t="s">
        <v>154</v>
      </c>
      <c r="T18" s="30" t="s">
        <v>103</v>
      </c>
      <c r="U18" s="30" t="str">
        <f t="shared" si="4"/>
        <v>Gás.Doméstico</v>
      </c>
      <c r="V18" s="30" t="s">
        <v>104</v>
      </c>
      <c r="W18" s="58" t="str">
        <f t="shared" si="5"/>
        <v>Key-GAS-18</v>
      </c>
      <c r="X18" s="29" t="s">
        <v>156</v>
      </c>
      <c r="Y18" s="29" t="s">
        <v>107</v>
      </c>
      <c r="Z18" s="30" t="s">
        <v>232</v>
      </c>
      <c r="AA18" s="30" t="s">
        <v>220</v>
      </c>
    </row>
    <row r="19" spans="1:27" ht="6.65" customHeight="1" x14ac:dyDescent="0.4">
      <c r="A19" s="57">
        <v>19</v>
      </c>
      <c r="B19" s="1" t="s">
        <v>238</v>
      </c>
      <c r="C19" s="42" t="s">
        <v>239</v>
      </c>
      <c r="D19" s="1" t="s">
        <v>229</v>
      </c>
      <c r="E19" s="42" t="s">
        <v>227</v>
      </c>
      <c r="F19" s="42" t="s">
        <v>125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0"/>
        <v>Sistemas.Prediais</v>
      </c>
      <c r="M19" s="33" t="str">
        <f t="shared" si="1"/>
        <v>Elementos.Gases</v>
      </c>
      <c r="N19" s="33" t="str">
        <f t="shared" si="2"/>
        <v>Gás Doméstico</v>
      </c>
      <c r="O19" s="30" t="str">
        <f t="shared" si="14"/>
        <v>Boiler.a.Gás</v>
      </c>
      <c r="P19" s="52" t="s">
        <v>129</v>
      </c>
      <c r="Q19" s="52" t="s">
        <v>153</v>
      </c>
      <c r="R19" s="30" t="s">
        <v>9</v>
      </c>
      <c r="S19" s="30" t="s">
        <v>154</v>
      </c>
      <c r="T19" s="30" t="s">
        <v>103</v>
      </c>
      <c r="U19" s="30" t="str">
        <f t="shared" si="4"/>
        <v>Gás.Doméstico</v>
      </c>
      <c r="V19" s="30" t="s">
        <v>104</v>
      </c>
      <c r="W19" s="58" t="str">
        <f t="shared" si="5"/>
        <v>Key-GAS-19</v>
      </c>
      <c r="X19" s="29" t="s">
        <v>156</v>
      </c>
      <c r="Y19" s="29" t="s">
        <v>107</v>
      </c>
      <c r="Z19" s="30" t="s">
        <v>232</v>
      </c>
      <c r="AA19" s="30" t="s">
        <v>221</v>
      </c>
    </row>
    <row r="20" spans="1:27" ht="6.65" customHeight="1" x14ac:dyDescent="0.4">
      <c r="A20" s="57">
        <v>20</v>
      </c>
      <c r="B20" s="1" t="s">
        <v>238</v>
      </c>
      <c r="C20" s="42" t="s">
        <v>239</v>
      </c>
      <c r="D20" s="1" t="s">
        <v>229</v>
      </c>
      <c r="E20" s="42" t="s">
        <v>227</v>
      </c>
      <c r="F20" s="42" t="s">
        <v>126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0"/>
        <v>Sistemas.Prediais</v>
      </c>
      <c r="M20" s="33" t="str">
        <f t="shared" si="1"/>
        <v>Elementos.Gases</v>
      </c>
      <c r="N20" s="33" t="str">
        <f t="shared" si="2"/>
        <v>Gás Doméstico</v>
      </c>
      <c r="O20" s="30" t="str">
        <f t="shared" si="14"/>
        <v>Caldeira.a.Gás</v>
      </c>
      <c r="P20" s="52" t="s">
        <v>130</v>
      </c>
      <c r="Q20" s="52" t="s">
        <v>148</v>
      </c>
      <c r="R20" s="30" t="s">
        <v>9</v>
      </c>
      <c r="S20" s="30" t="s">
        <v>154</v>
      </c>
      <c r="T20" s="30" t="s">
        <v>103</v>
      </c>
      <c r="U20" s="30" t="str">
        <f t="shared" si="4"/>
        <v>Gás.Doméstico</v>
      </c>
      <c r="V20" s="30" t="s">
        <v>104</v>
      </c>
      <c r="W20" s="58" t="str">
        <f t="shared" si="5"/>
        <v>Key-GAS-20</v>
      </c>
      <c r="X20" s="29" t="s">
        <v>156</v>
      </c>
      <c r="Y20" s="29" t="s">
        <v>108</v>
      </c>
      <c r="Z20" s="30" t="s">
        <v>232</v>
      </c>
      <c r="AA20" s="30" t="s">
        <v>231</v>
      </c>
    </row>
    <row r="21" spans="1:27" ht="6.65" customHeight="1" x14ac:dyDescent="0.4">
      <c r="A21" s="57">
        <v>21</v>
      </c>
      <c r="B21" s="1" t="s">
        <v>238</v>
      </c>
      <c r="C21" s="42" t="s">
        <v>239</v>
      </c>
      <c r="D21" s="1" t="s">
        <v>229</v>
      </c>
      <c r="E21" s="42" t="s">
        <v>227</v>
      </c>
      <c r="F21" s="42" t="s">
        <v>123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ref="L21" si="19">CONCATENATE("", C21)</f>
        <v>Sistemas.Prediais</v>
      </c>
      <c r="M21" s="33" t="str">
        <f t="shared" ref="M21" si="20">CONCATENATE("", D21)</f>
        <v>Elementos.Gases</v>
      </c>
      <c r="N21" s="33" t="str">
        <f t="shared" ref="N21" si="21">(SUBSTITUTE(SUBSTITUTE(CONCATENATE("",E21),"."," ")," De "," de "))</f>
        <v>Gás Doméstico</v>
      </c>
      <c r="O21" s="30" t="str">
        <f t="shared" ref="O21" si="22">IF(ISNUMBER(FIND("Ifc",F21)),CONCATENATE("Classe IFC:   ",F21),CONCATENATE("",F21))</f>
        <v>Tubulação.Gás</v>
      </c>
      <c r="P21" s="52" t="s">
        <v>131</v>
      </c>
      <c r="Q21" s="52" t="s">
        <v>147</v>
      </c>
      <c r="R21" s="30" t="s">
        <v>9</v>
      </c>
      <c r="S21" s="30" t="s">
        <v>154</v>
      </c>
      <c r="T21" s="30" t="s">
        <v>103</v>
      </c>
      <c r="U21" s="30" t="str">
        <f t="shared" ref="U21" si="23">SUBSTITUTE(E21, "_", " ")</f>
        <v>Gás.Doméstico</v>
      </c>
      <c r="V21" s="30" t="s">
        <v>104</v>
      </c>
      <c r="W21" s="58" t="str">
        <f t="shared" si="5"/>
        <v>Key-GAS-21</v>
      </c>
      <c r="X21" s="29" t="s">
        <v>240</v>
      </c>
      <c r="Y21" s="29" t="s">
        <v>241</v>
      </c>
      <c r="Z21" s="30" t="s">
        <v>232</v>
      </c>
      <c r="AA21" s="30" t="s">
        <v>219</v>
      </c>
    </row>
    <row r="22" spans="1:27" ht="6.65" customHeight="1" x14ac:dyDescent="0.4">
      <c r="A22" s="57">
        <v>22</v>
      </c>
      <c r="B22" s="1" t="s">
        <v>238</v>
      </c>
      <c r="C22" s="42" t="s">
        <v>239</v>
      </c>
      <c r="D22" s="1" t="s">
        <v>229</v>
      </c>
      <c r="E22" s="42" t="s">
        <v>228</v>
      </c>
      <c r="F22" s="42" t="s">
        <v>193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ref="L22:L24" si="24">CONCATENATE("", C22)</f>
        <v>Sistemas.Prediais</v>
      </c>
      <c r="M22" s="33" t="str">
        <f t="shared" ref="M22:M24" si="25">CONCATENATE("", D22)</f>
        <v>Elementos.Gases</v>
      </c>
      <c r="N22" s="33" t="str">
        <f t="shared" ref="N22:N24" si="26">(SUBSTITUTE(SUBSTITUTE(CONCATENATE("",E22),"."," ")," De "," de "))</f>
        <v>Gás Hospitalar</v>
      </c>
      <c r="O22" s="30" t="str">
        <f t="shared" si="14"/>
        <v>Aquecedor.a.Gás.Hospitalar</v>
      </c>
      <c r="P22" s="52" t="s">
        <v>197</v>
      </c>
      <c r="Q22" s="52" t="s">
        <v>201</v>
      </c>
      <c r="R22" s="30" t="s">
        <v>9</v>
      </c>
      <c r="S22" s="30" t="s">
        <v>154</v>
      </c>
      <c r="T22" s="30" t="s">
        <v>103</v>
      </c>
      <c r="U22" s="30" t="str">
        <f t="shared" ref="U22:U24" si="27">SUBSTITUTE(E22, "_", " ")</f>
        <v>Gás.Hospitalar</v>
      </c>
      <c r="V22" s="30" t="s">
        <v>104</v>
      </c>
      <c r="W22" s="58" t="str">
        <f t="shared" si="5"/>
        <v>Key-GAS-22</v>
      </c>
      <c r="X22" s="29" t="s">
        <v>156</v>
      </c>
      <c r="Y22" s="29" t="s">
        <v>107</v>
      </c>
      <c r="Z22" s="30" t="s">
        <v>234</v>
      </c>
      <c r="AA22" s="30" t="s">
        <v>223</v>
      </c>
    </row>
    <row r="23" spans="1:27" ht="6.65" customHeight="1" x14ac:dyDescent="0.4">
      <c r="A23" s="57">
        <v>23</v>
      </c>
      <c r="B23" s="1" t="s">
        <v>238</v>
      </c>
      <c r="C23" s="42" t="s">
        <v>239</v>
      </c>
      <c r="D23" s="1" t="s">
        <v>229</v>
      </c>
      <c r="E23" s="42" t="s">
        <v>228</v>
      </c>
      <c r="F23" s="42" t="s">
        <v>194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24"/>
        <v>Sistemas.Prediais</v>
      </c>
      <c r="M23" s="33" t="str">
        <f t="shared" si="25"/>
        <v>Elementos.Gases</v>
      </c>
      <c r="N23" s="33" t="str">
        <f t="shared" si="26"/>
        <v>Gás Hospitalar</v>
      </c>
      <c r="O23" s="30" t="str">
        <f t="shared" si="14"/>
        <v>Boiler.a.Gás.Hospitalar</v>
      </c>
      <c r="P23" s="52" t="s">
        <v>198</v>
      </c>
      <c r="Q23" s="52" t="s">
        <v>202</v>
      </c>
      <c r="R23" s="30" t="s">
        <v>9</v>
      </c>
      <c r="S23" s="30" t="s">
        <v>154</v>
      </c>
      <c r="T23" s="30" t="s">
        <v>103</v>
      </c>
      <c r="U23" s="30" t="str">
        <f t="shared" si="27"/>
        <v>Gás.Hospitalar</v>
      </c>
      <c r="V23" s="30" t="s">
        <v>104</v>
      </c>
      <c r="W23" s="58" t="str">
        <f t="shared" si="5"/>
        <v>Key-GAS-23</v>
      </c>
      <c r="X23" s="29" t="s">
        <v>156</v>
      </c>
      <c r="Y23" s="29" t="s">
        <v>107</v>
      </c>
      <c r="Z23" s="30" t="s">
        <v>234</v>
      </c>
      <c r="AA23" s="30" t="s">
        <v>224</v>
      </c>
    </row>
    <row r="24" spans="1:27" ht="6.65" customHeight="1" x14ac:dyDescent="0.4">
      <c r="A24" s="57">
        <v>24</v>
      </c>
      <c r="B24" s="1" t="s">
        <v>238</v>
      </c>
      <c r="C24" s="42" t="s">
        <v>239</v>
      </c>
      <c r="D24" s="1" t="s">
        <v>229</v>
      </c>
      <c r="E24" s="42" t="s">
        <v>228</v>
      </c>
      <c r="F24" s="42" t="s">
        <v>195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si="24"/>
        <v>Sistemas.Prediais</v>
      </c>
      <c r="M24" s="33" t="str">
        <f t="shared" si="25"/>
        <v>Elementos.Gases</v>
      </c>
      <c r="N24" s="33" t="str">
        <f t="shared" si="26"/>
        <v>Gás Hospitalar</v>
      </c>
      <c r="O24" s="30" t="str">
        <f t="shared" si="14"/>
        <v>Caldeira.a.Gás.Hospitalar</v>
      </c>
      <c r="P24" s="52" t="s">
        <v>199</v>
      </c>
      <c r="Q24" s="52" t="s">
        <v>203</v>
      </c>
      <c r="R24" s="30" t="s">
        <v>9</v>
      </c>
      <c r="S24" s="30" t="s">
        <v>154</v>
      </c>
      <c r="T24" s="30" t="s">
        <v>103</v>
      </c>
      <c r="U24" s="30" t="str">
        <f t="shared" si="27"/>
        <v>Gás.Hospitalar</v>
      </c>
      <c r="V24" s="30" t="s">
        <v>104</v>
      </c>
      <c r="W24" s="58" t="str">
        <f t="shared" si="5"/>
        <v>Key-GAS-24</v>
      </c>
      <c r="X24" s="29" t="s">
        <v>156</v>
      </c>
      <c r="Y24" s="29" t="s">
        <v>108</v>
      </c>
      <c r="Z24" s="30" t="s">
        <v>234</v>
      </c>
      <c r="AA24" s="30" t="s">
        <v>230</v>
      </c>
    </row>
    <row r="25" spans="1:27" ht="6.65" customHeight="1" x14ac:dyDescent="0.4">
      <c r="A25" s="57">
        <v>25</v>
      </c>
      <c r="B25" s="1" t="s">
        <v>238</v>
      </c>
      <c r="C25" s="42" t="s">
        <v>239</v>
      </c>
      <c r="D25" s="1" t="s">
        <v>229</v>
      </c>
      <c r="E25" s="42" t="s">
        <v>228</v>
      </c>
      <c r="F25" s="42" t="s">
        <v>192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" si="28">CONCATENATE("", C25)</f>
        <v>Sistemas.Prediais</v>
      </c>
      <c r="M25" s="33" t="str">
        <f t="shared" ref="M25" si="29">CONCATENATE("", D25)</f>
        <v>Elementos.Gases</v>
      </c>
      <c r="N25" s="33" t="str">
        <f t="shared" ref="N25" si="30">(SUBSTITUTE(SUBSTITUTE(CONCATENATE("",E25),"."," ")," De "," de "))</f>
        <v>Gás Hospitalar</v>
      </c>
      <c r="O25" s="30" t="str">
        <f t="shared" ref="O25" si="31">IF(ISNUMBER(FIND("Ifc",F25)),CONCATENATE("Classe IFC:   ",F25),CONCATENATE("",F25))</f>
        <v>Tubulação.Gás.Hospitalar</v>
      </c>
      <c r="P25" s="52" t="s">
        <v>196</v>
      </c>
      <c r="Q25" s="52" t="s">
        <v>200</v>
      </c>
      <c r="R25" s="30" t="s">
        <v>9</v>
      </c>
      <c r="S25" s="30" t="s">
        <v>154</v>
      </c>
      <c r="T25" s="30" t="s">
        <v>103</v>
      </c>
      <c r="U25" s="30" t="str">
        <f t="shared" ref="U25" si="32">SUBSTITUTE(E25, "_", " ")</f>
        <v>Gás.Hospitalar</v>
      </c>
      <c r="V25" s="30" t="s">
        <v>104</v>
      </c>
      <c r="W25" s="58" t="str">
        <f t="shared" si="5"/>
        <v>Key-GAS-25</v>
      </c>
      <c r="X25" s="29" t="s">
        <v>240</v>
      </c>
      <c r="Y25" s="29" t="s">
        <v>241</v>
      </c>
      <c r="Z25" s="30" t="s">
        <v>234</v>
      </c>
      <c r="AA25" s="30" t="s">
        <v>222</v>
      </c>
    </row>
  </sheetData>
  <sortState xmlns:xlrd2="http://schemas.microsoft.com/office/spreadsheetml/2017/richdata2" ref="A2:AA886">
    <sortCondition ref="F2:F886"/>
  </sortState>
  <phoneticPr fontId="1" type="noConversion"/>
  <conditionalFormatting sqref="A2:B25 AA2:AA25">
    <cfRule type="cellIs" dxfId="15" priority="6" operator="equal">
      <formula>"null"</formula>
    </cfRule>
  </conditionalFormatting>
  <conditionalFormatting sqref="A1:D1 F1:O1 R1:X1 Z1:AA1">
    <cfRule type="cellIs" dxfId="14" priority="55" operator="equal">
      <formula>"null"</formula>
    </cfRule>
  </conditionalFormatting>
  <conditionalFormatting sqref="F1">
    <cfRule type="duplicateValues" dxfId="13" priority="1491"/>
  </conditionalFormatting>
  <conditionalFormatting sqref="F10:F1048576 F1:F2">
    <cfRule type="duplicateValues" dxfId="12" priority="1513"/>
  </conditionalFormatting>
  <conditionalFormatting sqref="F26:F1048576">
    <cfRule type="duplicateValues" dxfId="11" priority="248"/>
    <cfRule type="duplicateValues" dxfId="10" priority="250"/>
    <cfRule type="duplicateValues" dxfId="9" priority="1463"/>
    <cfRule type="duplicateValues" dxfId="8" priority="148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3515625" defaultRowHeight="7.95" customHeight="1" x14ac:dyDescent="0.4"/>
  <cols>
    <col min="1" max="1" width="1.765625" bestFit="1" customWidth="1"/>
    <col min="2" max="2" width="7.53515625" bestFit="1" customWidth="1"/>
    <col min="3" max="3" width="7.07421875" bestFit="1" customWidth="1"/>
    <col min="4" max="4" width="6.23046875" bestFit="1" customWidth="1"/>
    <col min="5" max="5" width="6.61328125" bestFit="1" customWidth="1"/>
    <col min="6" max="6" width="4" bestFit="1" customWidth="1"/>
    <col min="7" max="7" width="62" bestFit="1" customWidth="1"/>
    <col min="8" max="8" width="4" bestFit="1" customWidth="1"/>
    <col min="9" max="9" width="15.84375" bestFit="1" customWidth="1"/>
    <col min="10" max="10" width="5.84375" bestFit="1" customWidth="1"/>
    <col min="11" max="11" width="3.23046875" bestFit="1" customWidth="1"/>
    <col min="12" max="12" width="6.07421875" bestFit="1" customWidth="1"/>
    <col min="13" max="13" width="17.23046875" bestFit="1" customWidth="1"/>
    <col min="14" max="14" width="4.84375" bestFit="1" customWidth="1"/>
    <col min="15" max="15" width="4.61328125" bestFit="1" customWidth="1"/>
    <col min="16" max="16" width="3.84375" bestFit="1" customWidth="1"/>
    <col min="17" max="17" width="14.15234375" bestFit="1" customWidth="1"/>
    <col min="18" max="18" width="5.69140625" bestFit="1" customWidth="1"/>
    <col min="19" max="19" width="17.2304687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1</v>
      </c>
      <c r="B2" s="21" t="s">
        <v>96</v>
      </c>
      <c r="C2" s="42" t="s">
        <v>239</v>
      </c>
      <c r="D2" s="50" t="s">
        <v>9</v>
      </c>
      <c r="E2" s="51" t="s">
        <v>9</v>
      </c>
      <c r="F2" s="22" t="s">
        <v>77</v>
      </c>
      <c r="G2" s="23" t="s">
        <v>242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2</v>
      </c>
      <c r="B3" s="21" t="s">
        <v>187</v>
      </c>
      <c r="C3" s="42" t="s">
        <v>160</v>
      </c>
      <c r="D3" s="50" t="s">
        <v>82</v>
      </c>
      <c r="E3" s="34" t="s">
        <v>96</v>
      </c>
      <c r="F3" s="22" t="s">
        <v>77</v>
      </c>
      <c r="G3" s="23" t="s">
        <v>243</v>
      </c>
      <c r="H3" s="49" t="s">
        <v>77</v>
      </c>
      <c r="I3" s="24" t="s">
        <v>191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111</v>
      </c>
    </row>
    <row r="4" spans="1:19" ht="7.95" customHeight="1" x14ac:dyDescent="0.4">
      <c r="A4" s="20">
        <v>3</v>
      </c>
      <c r="B4" s="47" t="s">
        <v>188</v>
      </c>
      <c r="C4" s="42" t="s">
        <v>123</v>
      </c>
      <c r="D4" s="50" t="s">
        <v>102</v>
      </c>
      <c r="E4" s="34" t="s">
        <v>187</v>
      </c>
      <c r="F4" s="22" t="s">
        <v>77</v>
      </c>
      <c r="G4" s="23" t="s">
        <v>190</v>
      </c>
      <c r="H4" s="49" t="s">
        <v>9</v>
      </c>
      <c r="I4" s="24" t="s">
        <v>9</v>
      </c>
      <c r="J4" s="49" t="s">
        <v>236</v>
      </c>
      <c r="K4" s="24" t="s">
        <v>101</v>
      </c>
      <c r="L4" s="49" t="s">
        <v>237</v>
      </c>
      <c r="M4" s="24" t="s">
        <v>98</v>
      </c>
      <c r="N4" s="49" t="s">
        <v>97</v>
      </c>
      <c r="O4" s="24" t="s">
        <v>233</v>
      </c>
      <c r="P4" s="49" t="s">
        <v>99</v>
      </c>
      <c r="Q4" s="24" t="s">
        <v>109</v>
      </c>
      <c r="R4" s="49" t="s">
        <v>100</v>
      </c>
      <c r="S4" s="24" t="s">
        <v>112</v>
      </c>
    </row>
    <row r="5" spans="1:19" ht="7.95" customHeight="1" x14ac:dyDescent="0.4">
      <c r="A5" s="20">
        <v>4</v>
      </c>
      <c r="B5" s="47" t="s">
        <v>189</v>
      </c>
      <c r="C5" s="42" t="s">
        <v>123</v>
      </c>
      <c r="D5" s="50" t="s">
        <v>102</v>
      </c>
      <c r="E5" s="34" t="s">
        <v>187</v>
      </c>
      <c r="F5" s="22" t="s">
        <v>77</v>
      </c>
      <c r="G5" s="23" t="s">
        <v>190</v>
      </c>
      <c r="H5" s="49" t="s">
        <v>9</v>
      </c>
      <c r="I5" s="24" t="s">
        <v>9</v>
      </c>
      <c r="J5" s="49" t="s">
        <v>236</v>
      </c>
      <c r="K5" s="24" t="s">
        <v>101</v>
      </c>
      <c r="L5" s="49" t="s">
        <v>237</v>
      </c>
      <c r="M5" s="24" t="s">
        <v>98</v>
      </c>
      <c r="N5" s="49" t="s">
        <v>97</v>
      </c>
      <c r="O5" s="24" t="s">
        <v>233</v>
      </c>
      <c r="P5" s="49" t="s">
        <v>99</v>
      </c>
      <c r="Q5" s="24" t="s">
        <v>109</v>
      </c>
      <c r="R5" s="49" t="s">
        <v>100</v>
      </c>
      <c r="S5" s="24" t="s">
        <v>112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2026-08-15T13:34:49Z</dcterms:modified>
  <dc:language>pt-BR</dc:language>
</cp:coreProperties>
</file>